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ed - Sep 2025" sheetId="1" r:id="rId4"/>
    <sheet state="visible" name="Sep 2025" sheetId="2" r:id="rId5"/>
    <sheet state="visible" name="Evaluation Data" sheetId="3" r:id="rId6"/>
    <sheet state="visible" name="P@SHA Index" sheetId="4" r:id="rId7"/>
  </sheets>
  <definedNames/>
  <calcPr/>
</workbook>
</file>

<file path=xl/sharedStrings.xml><?xml version="1.0" encoding="utf-8"?>
<sst xmlns="http://schemas.openxmlformats.org/spreadsheetml/2006/main" count="1533" uniqueCount="387">
  <si>
    <t>SHARED SERVICES</t>
  </si>
  <si>
    <t>FAMS Tech IP</t>
  </si>
  <si>
    <t>Head Count</t>
  </si>
  <si>
    <t>Name</t>
  </si>
  <si>
    <t>Designation</t>
  </si>
  <si>
    <t>Business Unit</t>
  </si>
  <si>
    <t>Employment Status</t>
  </si>
  <si>
    <t>Years of Exp</t>
  </si>
  <si>
    <t>Relevant Exp</t>
  </si>
  <si>
    <t>No. of Years of Experience</t>
  </si>
  <si>
    <t>Current Salary (PKR)</t>
  </si>
  <si>
    <t>P@sha Index</t>
  </si>
  <si>
    <t>Min 6 months Service</t>
  </si>
  <si>
    <t>Total Marks</t>
  </si>
  <si>
    <r>
      <rPr>
        <rFont val="Arial"/>
        <b/>
        <color theme="1"/>
      </rPr>
      <t xml:space="preserve">Bi-Annual Appraisal (Calculated on the </t>
    </r>
    <r>
      <rPr>
        <rFont val="Arial"/>
        <b/>
        <color theme="1"/>
        <u/>
      </rPr>
      <t>Base Salary</t>
    </r>
    <r>
      <rPr>
        <rFont val="Arial"/>
        <b/>
        <color theme="1"/>
      </rPr>
      <t>)</t>
    </r>
  </si>
  <si>
    <t>Incremental Change in PKR</t>
  </si>
  <si>
    <t>AVG Salary</t>
  </si>
  <si>
    <t>Eligible</t>
  </si>
  <si>
    <t>Out of 100</t>
  </si>
  <si>
    <t>Last Increment</t>
  </si>
  <si>
    <t>Current Increment</t>
  </si>
  <si>
    <t>Pending Months</t>
  </si>
  <si>
    <t>Accumulation</t>
  </si>
  <si>
    <t>Increment Amount</t>
  </si>
  <si>
    <t>New Salary</t>
  </si>
  <si>
    <t>Development</t>
  </si>
  <si>
    <t>Shahzad Hamza</t>
  </si>
  <si>
    <t>Tech Lead</t>
  </si>
  <si>
    <t>Permanent</t>
  </si>
  <si>
    <t>PKR 467,612</t>
  </si>
  <si>
    <t>Yes</t>
  </si>
  <si>
    <t>83.5</t>
  </si>
  <si>
    <t>-</t>
  </si>
  <si>
    <t>6</t>
  </si>
  <si>
    <t>Criteria</t>
  </si>
  <si>
    <t>Marks</t>
  </si>
  <si>
    <t>Increment</t>
  </si>
  <si>
    <t>Muhammad Usama Ejaz</t>
  </si>
  <si>
    <t>Senior Software Engineer</t>
  </si>
  <si>
    <t>PKR 202,162</t>
  </si>
  <si>
    <t>79.5</t>
  </si>
  <si>
    <t>90 - 100</t>
  </si>
  <si>
    <t>Muhammad Shoaib Ahmed</t>
  </si>
  <si>
    <t>PKR 353,582</t>
  </si>
  <si>
    <t>81.55</t>
  </si>
  <si>
    <t>80 - 89</t>
  </si>
  <si>
    <t>Sajid Sadeeq</t>
  </si>
  <si>
    <t>PKR 232,486</t>
  </si>
  <si>
    <t>79.45</t>
  </si>
  <si>
    <t>70 - 79</t>
  </si>
  <si>
    <t>Ameer Hamza</t>
  </si>
  <si>
    <t>PKR 175,793</t>
  </si>
  <si>
    <t>No</t>
  </si>
  <si>
    <t>60 - 69</t>
  </si>
  <si>
    <t>Hassan Mujtaba</t>
  </si>
  <si>
    <t>84</t>
  </si>
  <si>
    <t>&lt;60</t>
  </si>
  <si>
    <t>Nabeel Anwar</t>
  </si>
  <si>
    <t>Software Engineer</t>
  </si>
  <si>
    <t>PKR 152,863</t>
  </si>
  <si>
    <t>Arslan Anwer</t>
  </si>
  <si>
    <t>88</t>
  </si>
  <si>
    <t>Muhammad Basit</t>
  </si>
  <si>
    <t>PKR 132,924</t>
  </si>
  <si>
    <t>Statement</t>
  </si>
  <si>
    <t xml:space="preserve">20% is the maximum cap for the yearly increment (10% cap for 6 months). </t>
  </si>
  <si>
    <t>Muhammad Umar Inayat</t>
  </si>
  <si>
    <t>PKR 115,587</t>
  </si>
  <si>
    <t>Hassan Qadir</t>
  </si>
  <si>
    <t>Sherdil Shahbaz Lodhi</t>
  </si>
  <si>
    <t>Also, anyone below 60% Performance, shall not be entitle for that duration</t>
  </si>
  <si>
    <t>Ali Rizwan Tariq</t>
  </si>
  <si>
    <t>Raheeb Aslam</t>
  </si>
  <si>
    <t>Probation</t>
  </si>
  <si>
    <t>M.Shaheryar</t>
  </si>
  <si>
    <t>Associate Software Engineer</t>
  </si>
  <si>
    <t>Increments are due for Bi-annuals and consolidated between Apr-Sep &amp; Oct-Mar each year</t>
  </si>
  <si>
    <t>Muhammad Usama Tahir</t>
  </si>
  <si>
    <t>IoT Engineer</t>
  </si>
  <si>
    <t>Muhammad Sajid</t>
  </si>
  <si>
    <t>Technical Support Representative</t>
  </si>
  <si>
    <t>DevOps</t>
  </si>
  <si>
    <t>Waqar Ahmad</t>
  </si>
  <si>
    <t>Sr DevOps Engineer</t>
  </si>
  <si>
    <t>PKR 199,501</t>
  </si>
  <si>
    <t>Market Adjustments Required</t>
  </si>
  <si>
    <t>Adnan Akhtar</t>
  </si>
  <si>
    <t>PKR 263,841</t>
  </si>
  <si>
    <t>85</t>
  </si>
  <si>
    <t>To be discussed</t>
  </si>
  <si>
    <t>Syed Munam Ali Shah</t>
  </si>
  <si>
    <t>Associate DevOps Engineer</t>
  </si>
  <si>
    <t>PKR 86,250</t>
  </si>
  <si>
    <t>92</t>
  </si>
  <si>
    <t>Action not required</t>
  </si>
  <si>
    <t>Umar Zulfiqar</t>
  </si>
  <si>
    <t>Lead DevOps Engineer</t>
  </si>
  <si>
    <t>PKR 530,678</t>
  </si>
  <si>
    <t>SQA</t>
  </si>
  <si>
    <t>Muhammad Awais Ali Ibrar</t>
  </si>
  <si>
    <t>SQA Engineer</t>
  </si>
  <si>
    <t>PKR 156,941</t>
  </si>
  <si>
    <t>80.15</t>
  </si>
  <si>
    <t>Kinza Mehmood</t>
  </si>
  <si>
    <t>Associate SQA Engineer</t>
  </si>
  <si>
    <t>PKR 89,732</t>
  </si>
  <si>
    <t>Ahsan Ullah</t>
  </si>
  <si>
    <t>PKR 103,191</t>
  </si>
  <si>
    <t>Muhammad Owais</t>
  </si>
  <si>
    <t>PKR 136,471</t>
  </si>
  <si>
    <t>Muhammad Waseem</t>
  </si>
  <si>
    <t>Sr. SQA Engineer</t>
  </si>
  <si>
    <t>PKR 180,482</t>
  </si>
  <si>
    <t>PMO</t>
  </si>
  <si>
    <t>Muhammad Furqan Ahsan</t>
  </si>
  <si>
    <t>Senior Product Manager</t>
  </si>
  <si>
    <t>PKR 170,523</t>
  </si>
  <si>
    <t>79.3</t>
  </si>
  <si>
    <t>Sana Saffqat</t>
  </si>
  <si>
    <t>Associate Project Manager</t>
  </si>
  <si>
    <t>PKR 112,122</t>
  </si>
  <si>
    <t>78.25</t>
  </si>
  <si>
    <t>Mustafa Ali</t>
  </si>
  <si>
    <t>Project Manager</t>
  </si>
  <si>
    <t>81.6</t>
  </si>
  <si>
    <t>Saad Ayub Rana</t>
  </si>
  <si>
    <t>Special Projects</t>
  </si>
  <si>
    <t>Emmad Ahmed</t>
  </si>
  <si>
    <t>Project Lead</t>
  </si>
  <si>
    <t>PKR 618,417</t>
  </si>
  <si>
    <t>12</t>
  </si>
  <si>
    <t>Prodcut Design</t>
  </si>
  <si>
    <t>Muhammad Shaheer</t>
  </si>
  <si>
    <t>Product Designer</t>
  </si>
  <si>
    <t>Voltro GCC</t>
  </si>
  <si>
    <t>PKR 117,966</t>
  </si>
  <si>
    <t>Bushra Munawer</t>
  </si>
  <si>
    <t>PKR 77,565</t>
  </si>
  <si>
    <t>Muhammad Usman Inayat</t>
  </si>
  <si>
    <t>PKR 89,199</t>
  </si>
  <si>
    <t>APP development (Mobile Application)</t>
  </si>
  <si>
    <t>Mian Mudassir Mansoor</t>
  </si>
  <si>
    <t>Lead - Mobile Development</t>
  </si>
  <si>
    <t>PKR 201,896</t>
  </si>
  <si>
    <t>84.75</t>
  </si>
  <si>
    <t>Ali Raza</t>
  </si>
  <si>
    <t>PKR 152,662</t>
  </si>
  <si>
    <t>95.75</t>
  </si>
  <si>
    <t>Hafiz Muhammad Salman</t>
  </si>
  <si>
    <t>78.75</t>
  </si>
  <si>
    <t>Ahsan Qayyum</t>
  </si>
  <si>
    <t>Associate Flutter Developer</t>
  </si>
  <si>
    <t>PKR 100,378</t>
  </si>
  <si>
    <t>91</t>
  </si>
  <si>
    <t>Waqas Khadim Malik</t>
  </si>
  <si>
    <t>Remote</t>
  </si>
  <si>
    <t>7-8 Years</t>
  </si>
  <si>
    <t>90</t>
  </si>
  <si>
    <t>Masoom Raza</t>
  </si>
  <si>
    <t>Mid Level Flutter Developer</t>
  </si>
  <si>
    <t>PKR 132,750</t>
  </si>
  <si>
    <t>91.25</t>
  </si>
  <si>
    <t>Irfan Sarwar</t>
  </si>
  <si>
    <t>87.75</t>
  </si>
  <si>
    <t>Abubaker Saddique</t>
  </si>
  <si>
    <t>Flutter Developer</t>
  </si>
  <si>
    <t>JETCLASS</t>
  </si>
  <si>
    <t>Mehboob Ali</t>
  </si>
  <si>
    <t>JetClass</t>
  </si>
  <si>
    <t>89.55</t>
  </si>
  <si>
    <t>Sayyam Ali</t>
  </si>
  <si>
    <t>92.75</t>
  </si>
  <si>
    <t>Muhammad Safee</t>
  </si>
  <si>
    <t>Mahad Ahmad</t>
  </si>
  <si>
    <t>Jawad Akhtar</t>
  </si>
  <si>
    <t>Moiez Ahmed</t>
  </si>
  <si>
    <t>GROUP SHARED SERVICES</t>
  </si>
  <si>
    <t>HR</t>
  </si>
  <si>
    <t>Fatima Khalid</t>
  </si>
  <si>
    <t>Assistant Manager - Talent Acquisition</t>
  </si>
  <si>
    <t>Group Shared Services</t>
  </si>
  <si>
    <t>PKR 111,027</t>
  </si>
  <si>
    <t>82</t>
  </si>
  <si>
    <t>Rameesha Ijaz</t>
  </si>
  <si>
    <t>HR Executive</t>
  </si>
  <si>
    <t>PKR 63,480</t>
  </si>
  <si>
    <t>90.25</t>
  </si>
  <si>
    <t>Muhammad Arslan</t>
  </si>
  <si>
    <t>Assistant Manager HR &amp; OD</t>
  </si>
  <si>
    <t>81.75</t>
  </si>
  <si>
    <t>Laiba Arshad</t>
  </si>
  <si>
    <t>PKR 55,200</t>
  </si>
  <si>
    <t>Faisal Birjees</t>
  </si>
  <si>
    <t>Admin Manager</t>
  </si>
  <si>
    <t>PKR 168,858</t>
  </si>
  <si>
    <t>Shahid Masih</t>
  </si>
  <si>
    <t>Office Boy</t>
  </si>
  <si>
    <t>Imran</t>
  </si>
  <si>
    <t>VOLTRO</t>
  </si>
  <si>
    <t>CMS</t>
  </si>
  <si>
    <t>Hafiz Sufyan</t>
  </si>
  <si>
    <t>CMS Lead</t>
  </si>
  <si>
    <t>PKR 159,601</t>
  </si>
  <si>
    <t>74.5</t>
  </si>
  <si>
    <t>Zain Ijaz</t>
  </si>
  <si>
    <t>Senior CMS Developer</t>
  </si>
  <si>
    <t>PKR 279,143</t>
  </si>
  <si>
    <t>67.5</t>
  </si>
  <si>
    <t>Taimoor Raza</t>
  </si>
  <si>
    <t>CMS Developer</t>
  </si>
  <si>
    <t>PKR 138,784</t>
  </si>
  <si>
    <t>82.75</t>
  </si>
  <si>
    <t>Abdullah Birjees</t>
  </si>
  <si>
    <t>E-Commerce Executive</t>
  </si>
  <si>
    <t>PKR 120,681</t>
  </si>
  <si>
    <t>76</t>
  </si>
  <si>
    <t>Nouman Bin Sabir</t>
  </si>
  <si>
    <t>Associate CMS Developer</t>
  </si>
  <si>
    <t>PKR 104,940</t>
  </si>
  <si>
    <t>79</t>
  </si>
  <si>
    <t>Muhammad Waleed Mumtaz</t>
  </si>
  <si>
    <t>.NET Developer</t>
  </si>
  <si>
    <t>Usama Sarfaraz</t>
  </si>
  <si>
    <t>Voltro/MKFED</t>
  </si>
  <si>
    <t>PKR 242,733</t>
  </si>
  <si>
    <t>87</t>
  </si>
  <si>
    <t>Creative</t>
  </si>
  <si>
    <t>Hamza Malik</t>
  </si>
  <si>
    <t>Graphic Designer</t>
  </si>
  <si>
    <t>PKR 414,990</t>
  </si>
  <si>
    <t>76.5</t>
  </si>
  <si>
    <t>Usama Tahir</t>
  </si>
  <si>
    <t>3D Video Editor</t>
  </si>
  <si>
    <t>Shifa Rehman</t>
  </si>
  <si>
    <t>Sr. Graphic Designer</t>
  </si>
  <si>
    <t>PKR 179,412</t>
  </si>
  <si>
    <t>Marketing</t>
  </si>
  <si>
    <t>Muzammil Sammad</t>
  </si>
  <si>
    <t>SEO Content Writer</t>
  </si>
  <si>
    <t>Voltro HQ</t>
  </si>
  <si>
    <t>PKR 140,715</t>
  </si>
  <si>
    <t>Syed Minhal Raza</t>
  </si>
  <si>
    <t>SEO Specialist</t>
  </si>
  <si>
    <t>PKR 92,522</t>
  </si>
  <si>
    <t>SALES &amp; BUSINESS DEVELOPMENT</t>
  </si>
  <si>
    <t>FAMS TELEMATICS PVT LTD (PK)</t>
  </si>
  <si>
    <t>Hassan Nawaz</t>
  </si>
  <si>
    <t>Business Unit Head</t>
  </si>
  <si>
    <t>FAMS Telematics Pvt Ltd</t>
  </si>
  <si>
    <t>PKR 389,164</t>
  </si>
  <si>
    <t>Manan Younas</t>
  </si>
  <si>
    <t>Business Development Executive</t>
  </si>
  <si>
    <t>PKR 146,301</t>
  </si>
  <si>
    <t>FAMS TELEMATICS GCC (UAE)</t>
  </si>
  <si>
    <t>Muazzam Saleem Butt</t>
  </si>
  <si>
    <t>Business Development Representative</t>
  </si>
  <si>
    <t>FAMS Telematics GCC</t>
  </si>
  <si>
    <t>PKR 127,218</t>
  </si>
  <si>
    <t>Muhammad Danyyal Maqbool</t>
  </si>
  <si>
    <t>PKR 110,625</t>
  </si>
  <si>
    <t>Amna Tajammal</t>
  </si>
  <si>
    <t>Ahsan Abbas</t>
  </si>
  <si>
    <t>PKR 96,195</t>
  </si>
  <si>
    <t>FAMS PK</t>
  </si>
  <si>
    <t>Muhammad Hashim Khan</t>
  </si>
  <si>
    <t>Recovery Manager</t>
  </si>
  <si>
    <t>Tallat Sultan</t>
  </si>
  <si>
    <t>Technical Manager</t>
  </si>
  <si>
    <t>Sami Ur Rehman</t>
  </si>
  <si>
    <t>Supervisor CR</t>
  </si>
  <si>
    <t>Zaeem Khan</t>
  </si>
  <si>
    <t>CRO</t>
  </si>
  <si>
    <t>Muhammad Abdullah Anwaar</t>
  </si>
  <si>
    <t>Usama Ali</t>
  </si>
  <si>
    <t>M.Zahid</t>
  </si>
  <si>
    <t>Installer</t>
  </si>
  <si>
    <t>Contract</t>
  </si>
  <si>
    <t>Saif ullah</t>
  </si>
  <si>
    <t>Abdul Hasseb</t>
  </si>
  <si>
    <t>CSR</t>
  </si>
  <si>
    <t>Saqib Javed</t>
  </si>
  <si>
    <t>Installer Khi for APL</t>
  </si>
  <si>
    <t>Rana Hanzala</t>
  </si>
  <si>
    <t>Installer Isb for APL</t>
  </si>
  <si>
    <t>Nabeel Ahmed</t>
  </si>
  <si>
    <t>Daniyal</t>
  </si>
  <si>
    <t>Operations Lead &amp; V2 Support Officer</t>
  </si>
  <si>
    <t>Abbas Ali</t>
  </si>
  <si>
    <t>Muhammad Abdullah Bhatti</t>
  </si>
  <si>
    <t>Joining Date</t>
  </si>
  <si>
    <r>
      <rPr>
        <rFont val="Arial"/>
        <b/>
        <color theme="1"/>
      </rPr>
      <t xml:space="preserve">Bi-Annual Appraisal (Calculated on the </t>
    </r>
    <r>
      <rPr>
        <rFont val="Arial"/>
        <b/>
        <color theme="1"/>
        <u/>
      </rPr>
      <t>Base Salary</t>
    </r>
    <r>
      <rPr>
        <rFont val="Arial"/>
        <b/>
        <color theme="1"/>
      </rPr>
      <t>)</t>
    </r>
  </si>
  <si>
    <t>Hypothetical Increment Jul 25 - Dec 25 in PKR</t>
  </si>
  <si>
    <t>Min</t>
  </si>
  <si>
    <t>Max</t>
  </si>
  <si>
    <t>Percentage</t>
  </si>
  <si>
    <t>Months</t>
  </si>
  <si>
    <t>Incremented Salary</t>
  </si>
  <si>
    <t>15</t>
  </si>
  <si>
    <t>N/A</t>
  </si>
  <si>
    <t>7</t>
  </si>
  <si>
    <t>Sr. No.</t>
  </si>
  <si>
    <t>Completion Date</t>
  </si>
  <si>
    <t>Self (Out of 25)</t>
  </si>
  <si>
    <t>HR (Out of 25)</t>
  </si>
  <si>
    <t>Team Lead (Out of 50)</t>
  </si>
  <si>
    <t>Evaluated By</t>
  </si>
  <si>
    <t>Total Points (Out of 100)</t>
  </si>
  <si>
    <t>Evaluation Form</t>
  </si>
  <si>
    <t>Anand</t>
  </si>
  <si>
    <t>Mehboob Ali.xlsx</t>
  </si>
  <si>
    <t>Ajeesh + Mustafa</t>
  </si>
  <si>
    <t>Shoaib Ahmed.xlsx</t>
  </si>
  <si>
    <t>Emmad + Azad</t>
  </si>
  <si>
    <t>Shahzad Hamza.xlsx</t>
  </si>
  <si>
    <t>Sayyam Ali.xlsx</t>
  </si>
  <si>
    <t>M.Sajid</t>
  </si>
  <si>
    <t>Sajid Sadeeq.xlsx</t>
  </si>
  <si>
    <t>Abusufean</t>
  </si>
  <si>
    <t>Usama Sarfaraz.xlsx</t>
  </si>
  <si>
    <t>Furqan</t>
  </si>
  <si>
    <t>Muhammad Usama Ejaz.xlsx</t>
  </si>
  <si>
    <t>Shahzad</t>
  </si>
  <si>
    <t>Hassan Mujtaba.xlsx</t>
  </si>
  <si>
    <t>Shoaib</t>
  </si>
  <si>
    <t>Arslan Anwer.xlsx</t>
  </si>
  <si>
    <t>Adnan</t>
  </si>
  <si>
    <t>Munam Ali Shah.xlsx</t>
  </si>
  <si>
    <t>Emaad + Azad</t>
  </si>
  <si>
    <t>Adnan Akhtar.xlsx</t>
  </si>
  <si>
    <t>Muhammad Awais Ali Ibrar.xlsx</t>
  </si>
  <si>
    <t>Mustafa</t>
  </si>
  <si>
    <t>Kinza Mehmood.xlsx</t>
  </si>
  <si>
    <t>Muhammad Owais.xlsx</t>
  </si>
  <si>
    <t>Mian Mudassir Mansoor.xlsx</t>
  </si>
  <si>
    <t>Mudassir</t>
  </si>
  <si>
    <t>Ali Raza.xlsx</t>
  </si>
  <si>
    <t>Hafiz Muhammad Salman.xlsx</t>
  </si>
  <si>
    <t>Ahsan Qayyum.xlsx</t>
  </si>
  <si>
    <t>Waqas Malik.xlsx</t>
  </si>
  <si>
    <t>Masoom Raza.xlsx</t>
  </si>
  <si>
    <t>Irfan Sarwar.xlsx</t>
  </si>
  <si>
    <t>Muhammad Shaheer.xlsx</t>
  </si>
  <si>
    <t>Benjamin</t>
  </si>
  <si>
    <t>Muhammad Furqan Ahsan.xlsx</t>
  </si>
  <si>
    <t>Sana Shafqat</t>
  </si>
  <si>
    <t>Sana Shafqat.xlsx</t>
  </si>
  <si>
    <t>Mustafa Ali.xlsx</t>
  </si>
  <si>
    <t>Salman Virani</t>
  </si>
  <si>
    <t>Fatima Khalid.xlsx</t>
  </si>
  <si>
    <t>Fatima &amp; Arslan</t>
  </si>
  <si>
    <t>Rameesha Ijaz.xlsx</t>
  </si>
  <si>
    <t>Muhammad Arslan.xlsx</t>
  </si>
  <si>
    <t>Faisal Birjees.xlsx</t>
  </si>
  <si>
    <t>Hafiz Sufyan.xlsx</t>
  </si>
  <si>
    <t>Zain Ijaz.xlsx</t>
  </si>
  <si>
    <t>Taimoor Raza.xlsx</t>
  </si>
  <si>
    <t>Abdullah Birjees.xlsx</t>
  </si>
  <si>
    <t>Nouman bin Sabir.xlsx</t>
  </si>
  <si>
    <t>Hamza Malik.xlsx</t>
  </si>
  <si>
    <t>Usama Tahir.xlsx</t>
  </si>
  <si>
    <t>Muzammil Sammad.xlsx</t>
  </si>
  <si>
    <t>Syed Minhal Raza.xlsx</t>
  </si>
  <si>
    <t>No.</t>
  </si>
  <si>
    <t>Description</t>
  </si>
  <si>
    <t>Experience (Years)</t>
  </si>
  <si>
    <t>Minimum</t>
  </si>
  <si>
    <t>Maximum</t>
  </si>
  <si>
    <t>File</t>
  </si>
  <si>
    <t>P@sha Salary Survey Report.pdf</t>
  </si>
  <si>
    <t>PHP / Laravel</t>
  </si>
  <si>
    <t>0-1</t>
  </si>
  <si>
    <t>PHP / Laravel / Codeignitor / YAML</t>
  </si>
  <si>
    <t>Node</t>
  </si>
  <si>
    <t>React Native / JS</t>
  </si>
  <si>
    <t>React Native / JS / Vue JS</t>
  </si>
  <si>
    <t>React Native / JS / Vue JS / Angular</t>
  </si>
  <si>
    <t>QA (Automation - Cypress)</t>
  </si>
  <si>
    <t>Technical Support Engineer</t>
  </si>
  <si>
    <t>DevOps Engineer</t>
  </si>
  <si>
    <t>Mid Level</t>
  </si>
  <si>
    <t>Senior Level</t>
  </si>
  <si>
    <t>Experienced Level</t>
  </si>
  <si>
    <t>MEAN/MERN</t>
  </si>
  <si>
    <t>Human Resources</t>
  </si>
  <si>
    <t>Junior Level</t>
  </si>
  <si>
    <t>Content Writer</t>
  </si>
  <si>
    <t>Sales/BD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</si>
</sst>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 yyyy"/>
    <numFmt numFmtId="165" formatCode="[$Rs. ]#,##0"/>
    <numFmt numFmtId="166" formatCode="d-mmm-yy"/>
    <numFmt numFmtId="167" formatCode="dd-mmm-yy"/>
    <numFmt numFmtId="168" formatCode="[$PKR ]#,##0.00"/>
    <numFmt numFmtId="169" formatCode="dd-mmmm-yy"/>
    <numFmt numFmtId="170" formatCode="d-mmmm-yy"/>
    <numFmt numFmtId="171" formatCode="d&quot;-&quot;mmm&quot;-&quot;yy"/>
    <numFmt numFmtId="172" formatCode="d/m/yyyy"/>
    <numFmt numFmtId="173" formatCode="d-m"/>
  </numFmts>
  <fonts count="30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b/>
      <sz val="12.0"/>
      <color rgb="FFFFFFFF"/>
      <name val="Arial"/>
    </font>
    <font>
      <b/>
      <color theme="1"/>
      <name val="Arial"/>
    </font>
    <font>
      <b/>
      <color rgb="FF222222"/>
      <name val="Arial"/>
    </font>
    <font/>
    <font>
      <sz val="8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b/>
      <sz val="13.0"/>
      <color rgb="FF000000"/>
      <name val="Arial"/>
      <scheme val="minor"/>
    </font>
    <font>
      <sz val="8.0"/>
      <color theme="1"/>
      <name val="Arial"/>
      <scheme val="minor"/>
    </font>
    <font>
      <b/>
      <sz val="12.0"/>
      <color rgb="FFFFFFFF"/>
      <name val="Arial"/>
      <scheme val="minor"/>
    </font>
    <font>
      <b/>
      <color rgb="FF000000"/>
      <name val="Arial"/>
    </font>
    <font>
      <b/>
      <sz val="10.0"/>
      <color rgb="FF222222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8.0"/>
      <color rgb="FF000000"/>
      <name val="Arial"/>
    </font>
    <font>
      <b/>
      <sz val="8.0"/>
      <color rgb="FF000000"/>
      <name val="Arial"/>
    </font>
    <font>
      <color rgb="FF000000"/>
      <name val="Arial"/>
    </font>
    <font>
      <b/>
      <sz val="9.0"/>
      <color theme="1"/>
      <name val="Arial"/>
      <scheme val="minor"/>
    </font>
    <font>
      <b/>
      <sz val="8.0"/>
      <color theme="1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3C78D8"/>
        <bgColor rgb="FF3C78D8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top style="medium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vertical="bottom"/>
    </xf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2" fillId="4" fontId="4" numFmtId="3" xfId="0" applyAlignment="1" applyBorder="1" applyFont="1" applyNumberFormat="1">
      <alignment horizontal="center" shrinkToFit="0" vertical="center" wrapText="1"/>
    </xf>
    <xf borderId="2" fillId="5" fontId="2" numFmtId="0" xfId="0" applyAlignment="1" applyBorder="1" applyFill="1" applyFont="1">
      <alignment vertical="bottom"/>
    </xf>
    <xf borderId="1" fillId="5" fontId="2" numFmtId="0" xfId="0" applyAlignment="1" applyBorder="1" applyFont="1">
      <alignment horizontal="center" vertical="bottom"/>
    </xf>
    <xf borderId="1" fillId="6" fontId="2" numFmtId="0" xfId="0" applyAlignment="1" applyBorder="1" applyFill="1" applyFont="1">
      <alignment horizontal="center" vertical="bottom"/>
    </xf>
    <xf borderId="1" fillId="6" fontId="2" numFmtId="3" xfId="0" applyAlignment="1" applyBorder="1" applyFont="1" applyNumberForma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2" fontId="7" numFmtId="0" xfId="0" applyAlignment="1" applyFont="1">
      <alignment horizontal="center" readingOrder="0" vertical="bottom"/>
    </xf>
    <xf borderId="0" fillId="2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2" fontId="7" numFmtId="164" xfId="0" applyAlignment="1" applyFont="1" applyNumberFormat="1">
      <alignment horizontal="center" vertical="bottom"/>
    </xf>
    <xf borderId="0" fillId="2" fontId="7" numFmtId="165" xfId="0" applyAlignment="1" applyFont="1" applyNumberFormat="1">
      <alignment horizontal="center" vertical="bottom"/>
    </xf>
    <xf borderId="0" fillId="2" fontId="7" numFmtId="165" xfId="0" applyAlignment="1" applyFont="1" applyNumberFormat="1">
      <alignment horizontal="center" vertical="bottom"/>
    </xf>
    <xf borderId="0" fillId="0" fontId="7" numFmtId="49" xfId="0" applyAlignment="1" applyFont="1" applyNumberFormat="1">
      <alignment horizontal="center" vertical="bottom"/>
    </xf>
    <xf borderId="0" fillId="6" fontId="7" numFmtId="9" xfId="0" applyAlignment="1" applyFont="1" applyNumberFormat="1">
      <alignment horizontal="center" readingOrder="0" vertical="bottom"/>
    </xf>
    <xf borderId="0" fillId="0" fontId="7" numFmtId="49" xfId="0" applyAlignment="1" applyFont="1" applyNumberFormat="1">
      <alignment horizontal="center" readingOrder="0" vertical="bottom"/>
    </xf>
    <xf borderId="0" fillId="0" fontId="7" numFmtId="10" xfId="0" applyAlignment="1" applyFont="1" applyNumberFormat="1">
      <alignment horizontal="center" vertical="bottom"/>
    </xf>
    <xf borderId="0" fillId="0" fontId="7" numFmtId="165" xfId="0" applyAlignment="1" applyFont="1" applyNumberFormat="1">
      <alignment horizontal="center" vertical="bottom"/>
    </xf>
    <xf borderId="5" fillId="8" fontId="4" numFmtId="0" xfId="0" applyAlignment="1" applyBorder="1" applyFill="1" applyFont="1">
      <alignment horizontal="center"/>
    </xf>
    <xf borderId="1" fillId="8" fontId="4" numFmtId="0" xfId="0" applyAlignment="1" applyBorder="1" applyFont="1">
      <alignment horizontal="center" vertical="bottom"/>
    </xf>
    <xf borderId="0" fillId="0" fontId="7" numFmtId="9" xfId="0" applyAlignment="1" applyFont="1" applyNumberFormat="1">
      <alignment horizontal="center" vertical="bottom"/>
    </xf>
    <xf borderId="6" fillId="0" fontId="6" numFmtId="0" xfId="0" applyBorder="1" applyFont="1"/>
    <xf borderId="1" fillId="0" fontId="2" numFmtId="0" xfId="0" applyAlignment="1" applyBorder="1" applyFont="1">
      <alignment horizontal="center" vertical="bottom"/>
    </xf>
    <xf borderId="1" fillId="0" fontId="2" numFmtId="9" xfId="0" applyAlignment="1" applyBorder="1" applyFont="1" applyNumberFormat="1">
      <alignment horizontal="center" vertical="bottom"/>
    </xf>
    <xf borderId="0" fillId="9" fontId="7" numFmtId="9" xfId="0" applyAlignment="1" applyFill="1" applyFont="1" applyNumberFormat="1">
      <alignment horizontal="center" readingOrder="0" vertical="bottom"/>
    </xf>
    <xf borderId="0" fillId="10" fontId="2" numFmtId="49" xfId="0" applyAlignment="1" applyFill="1" applyFont="1" applyNumberFormat="1">
      <alignment vertical="bottom"/>
    </xf>
    <xf borderId="0" fillId="10" fontId="2" numFmtId="9" xfId="0" applyAlignment="1" applyFont="1" applyNumberFormat="1">
      <alignment vertical="bottom"/>
    </xf>
    <xf borderId="0" fillId="10" fontId="7" numFmtId="10" xfId="0" applyAlignment="1" applyFont="1" applyNumberFormat="1">
      <alignment horizontal="center" vertical="bottom"/>
    </xf>
    <xf borderId="0" fillId="10" fontId="7" numFmtId="165" xfId="0" applyAlignment="1" applyFont="1" applyNumberFormat="1">
      <alignment horizontal="center" vertical="bottom"/>
    </xf>
    <xf borderId="6" fillId="8" fontId="2" numFmtId="0" xfId="0" applyBorder="1" applyFont="1"/>
    <xf borderId="0" fillId="2" fontId="7" numFmtId="49" xfId="0" applyAlignment="1" applyFont="1" applyNumberFormat="1">
      <alignment horizontal="center" vertical="bottom"/>
    </xf>
    <xf borderId="0" fillId="2" fontId="7" numFmtId="0" xfId="0" applyAlignment="1" applyFont="1">
      <alignment horizontal="center" vertical="bottom"/>
    </xf>
    <xf borderId="0" fillId="2" fontId="7" numFmtId="9" xfId="0" applyAlignment="1" applyFont="1" applyNumberFormat="1">
      <alignment horizontal="center" vertical="bottom"/>
    </xf>
    <xf borderId="0" fillId="2" fontId="7" numFmtId="10" xfId="0" applyAlignment="1" applyFont="1" applyNumberFormat="1">
      <alignment horizontal="center" vertical="bottom"/>
    </xf>
    <xf borderId="7" fillId="0" fontId="6" numFmtId="0" xfId="0" applyBorder="1" applyFont="1"/>
    <xf borderId="0" fillId="2" fontId="7" numFmtId="49" xfId="0" applyAlignment="1" applyFont="1" applyNumberFormat="1">
      <alignment horizontal="center" readingOrder="0" vertical="bottom"/>
    </xf>
    <xf borderId="0" fillId="0" fontId="7" numFmtId="165" xfId="0" applyAlignment="1" applyFont="1" applyNumberFormat="1">
      <alignment horizontal="center" vertical="bottom"/>
    </xf>
    <xf borderId="0" fillId="10" fontId="7" numFmtId="9" xfId="0" applyAlignment="1" applyFont="1" applyNumberFormat="1">
      <alignment horizontal="center" vertical="bottom"/>
    </xf>
    <xf borderId="5" fillId="8" fontId="4" numFmtId="0" xfId="0" applyBorder="1" applyFont="1"/>
    <xf borderId="8" fillId="11" fontId="2" numFmtId="0" xfId="0" applyAlignment="1" applyBorder="1" applyFill="1" applyFont="1">
      <alignment shrinkToFit="0" vertical="top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8" fillId="12" fontId="2" numFmtId="0" xfId="0" applyAlignment="1" applyBorder="1" applyFill="1" applyFont="1">
      <alignment shrinkToFit="0" vertical="top" wrapText="1"/>
    </xf>
    <xf borderId="8" fillId="4" fontId="2" numFmtId="0" xfId="0" applyAlignment="1" applyBorder="1" applyFont="1">
      <alignment shrinkToFit="0" wrapText="1"/>
    </xf>
    <xf borderId="0" fillId="13" fontId="8" numFmtId="0" xfId="0" applyAlignment="1" applyFill="1" applyFont="1">
      <alignment horizontal="center" vertical="bottom"/>
    </xf>
    <xf borderId="0" fillId="13" fontId="2" numFmtId="0" xfId="0" applyAlignment="1" applyFont="1">
      <alignment vertical="bottom"/>
    </xf>
    <xf borderId="0" fillId="13" fontId="8" numFmtId="3" xfId="0" applyAlignment="1" applyFont="1" applyNumberFormat="1">
      <alignment horizontal="center" vertical="bottom"/>
    </xf>
    <xf borderId="0" fillId="13" fontId="2" numFmtId="3" xfId="0" applyAlignment="1" applyFont="1" applyNumberFormat="1">
      <alignment vertical="bottom"/>
    </xf>
    <xf borderId="0" fillId="13" fontId="9" numFmtId="165" xfId="0" applyAlignment="1" applyFont="1" applyNumberFormat="1">
      <alignment horizontal="center" vertical="bottom"/>
    </xf>
    <xf borderId="0" fillId="13" fontId="9" numFmtId="3" xfId="0" applyAlignment="1" applyFont="1" applyNumberFormat="1">
      <alignment horizontal="center" vertical="bottom"/>
    </xf>
    <xf borderId="0" fillId="2" fontId="7" numFmtId="165" xfId="0" applyAlignment="1" applyFont="1" applyNumberFormat="1">
      <alignment horizontal="center" readingOrder="0" vertical="bottom"/>
    </xf>
    <xf borderId="0" fillId="9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9" fontId="7" numFmtId="9" xfId="0" applyAlignment="1" applyFont="1" applyNumberFormat="1">
      <alignment horizontal="center" vertical="bottom"/>
    </xf>
    <xf borderId="0" fillId="13" fontId="8" numFmtId="165" xfId="0" applyAlignment="1" applyFont="1" applyNumberFormat="1">
      <alignment horizontal="center" vertical="bottom"/>
    </xf>
    <xf borderId="0" fillId="13" fontId="2" numFmtId="165" xfId="0" applyAlignment="1" applyFont="1" applyNumberFormat="1">
      <alignment vertical="bottom"/>
    </xf>
    <xf borderId="0" fillId="5" fontId="4" numFmtId="0" xfId="0" applyAlignment="1" applyFont="1">
      <alignment horizontal="center" vertical="bottom"/>
    </xf>
    <xf borderId="0" fillId="2" fontId="7" numFmtId="165" xfId="0" applyAlignment="1" applyFont="1" applyNumberFormat="1">
      <alignment horizontal="center" readingOrder="0" vertical="bottom"/>
    </xf>
    <xf borderId="0" fillId="10" fontId="2" numFmtId="10" xfId="0" applyAlignment="1" applyFont="1" applyNumberFormat="1">
      <alignment vertical="bottom"/>
    </xf>
    <xf borderId="0" fillId="0" fontId="7" numFmtId="165" xfId="0" applyAlignment="1" applyFont="1" applyNumberFormat="1">
      <alignment horizontal="center" readingOrder="0" vertical="bottom"/>
    </xf>
    <xf borderId="0" fillId="10" fontId="2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6" fontId="2" numFmtId="9" xfId="0" applyAlignment="1" applyFont="1" applyNumberFormat="1">
      <alignment vertical="bottom"/>
    </xf>
    <xf borderId="14" fillId="0" fontId="4" numFmtId="0" xfId="0" applyAlignment="1" applyBorder="1" applyFont="1">
      <alignment horizontal="center"/>
    </xf>
    <xf borderId="14" fillId="0" fontId="2" numFmtId="0" xfId="0" applyAlignment="1" applyBorder="1" applyFont="1">
      <alignment vertical="bottom"/>
    </xf>
    <xf borderId="14" fillId="0" fontId="4" numFmtId="3" xfId="0" applyAlignment="1" applyBorder="1" applyFont="1" applyNumberFormat="1">
      <alignment horizontal="center"/>
    </xf>
    <xf borderId="14" fillId="0" fontId="2" numFmtId="0" xfId="0" applyBorder="1" applyFont="1"/>
    <xf borderId="14" fillId="0" fontId="4" numFmtId="165" xfId="0" applyAlignment="1" applyBorder="1" applyFont="1" applyNumberFormat="1">
      <alignment horizontal="center"/>
    </xf>
    <xf borderId="0" fillId="14" fontId="2" numFmtId="0" xfId="0" applyAlignment="1" applyFill="1" applyFont="1">
      <alignment vertical="bottom"/>
    </xf>
    <xf borderId="0" fillId="2" fontId="2" numFmtId="164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9" fontId="4" numFmtId="0" xfId="0" applyAlignment="1" applyFont="1">
      <alignment horizontal="center"/>
    </xf>
    <xf borderId="0" fillId="9" fontId="4" numFmtId="165" xfId="0" applyAlignment="1" applyFont="1" applyNumberFormat="1">
      <alignment horizontal="center"/>
    </xf>
    <xf borderId="0" fillId="2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15" fillId="9" fontId="4" numFmtId="0" xfId="0" applyAlignment="1" applyBorder="1" applyFont="1">
      <alignment horizontal="center"/>
    </xf>
    <xf borderId="15" fillId="0" fontId="2" numFmtId="0" xfId="0" applyAlignment="1" applyBorder="1" applyFont="1">
      <alignment vertical="bottom"/>
    </xf>
    <xf borderId="15" fillId="9" fontId="4" numFmtId="165" xfId="0" applyAlignment="1" applyBorder="1" applyFont="1" applyNumberFormat="1">
      <alignment horizontal="center"/>
    </xf>
    <xf borderId="0" fillId="10" fontId="7" numFmtId="49" xfId="0" applyAlignment="1" applyFont="1" applyNumberFormat="1">
      <alignment horizontal="center" vertical="bottom"/>
    </xf>
    <xf borderId="0" fillId="10" fontId="7" numFmtId="0" xfId="0" applyAlignment="1" applyFont="1">
      <alignment horizontal="center" vertical="bottom"/>
    </xf>
    <xf borderId="0" fillId="0" fontId="2" numFmtId="165" xfId="0" applyAlignment="1" applyFont="1" applyNumberFormat="1">
      <alignment vertical="bottom"/>
    </xf>
    <xf borderId="0" fillId="2" fontId="2" numFmtId="49" xfId="0" applyAlignment="1" applyFont="1" applyNumberFormat="1">
      <alignment vertical="bottom"/>
    </xf>
    <xf borderId="16" fillId="7" fontId="4" numFmtId="0" xfId="0" applyAlignment="1" applyBorder="1" applyFont="1">
      <alignment horizontal="center" vertical="bottom"/>
    </xf>
    <xf borderId="16" fillId="0" fontId="6" numFmtId="0" xfId="0" applyBorder="1" applyFont="1"/>
    <xf borderId="0" fillId="13" fontId="4" numFmtId="0" xfId="0" applyAlignment="1" applyFont="1">
      <alignment horizontal="center" vertical="bottom"/>
    </xf>
    <xf borderId="0" fillId="0" fontId="2" numFmtId="166" xfId="0" applyAlignment="1" applyFont="1" applyNumberFormat="1">
      <alignment vertical="bottom"/>
    </xf>
    <xf borderId="0" fillId="2" fontId="2" numFmtId="167" xfId="0" applyAlignment="1" applyFont="1" applyNumberFormat="1">
      <alignment vertical="bottom"/>
    </xf>
    <xf borderId="0" fillId="2" fontId="2" numFmtId="166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2" numFmtId="168" xfId="0" applyAlignment="1" applyFont="1" applyNumberFormat="1">
      <alignment vertical="bottom"/>
    </xf>
    <xf borderId="0" fillId="15" fontId="3" numFmtId="0" xfId="0" applyAlignment="1" applyFill="1" applyFont="1">
      <alignment horizontal="center" vertical="bottom"/>
    </xf>
    <xf borderId="0" fillId="15" fontId="3" numFmtId="165" xfId="0" applyAlignment="1" applyFont="1" applyNumberFormat="1">
      <alignment horizontal="center" vertical="bottom"/>
    </xf>
    <xf borderId="0" fillId="9" fontId="4" numFmtId="10" xfId="0" applyAlignment="1" applyFont="1" applyNumberFormat="1">
      <alignment horizontal="center"/>
    </xf>
    <xf borderId="0" fillId="2" fontId="10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3" fontId="12" numFmtId="0" xfId="0" applyAlignment="1" applyFont="1">
      <alignment horizontal="center" readingOrder="0"/>
    </xf>
    <xf borderId="1" fillId="4" fontId="13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1" fillId="4" fontId="15" numFmtId="0" xfId="0" applyAlignment="1" applyBorder="1" applyFont="1">
      <alignment horizontal="center" readingOrder="0" shrinkToFit="0" vertical="center" wrapText="1"/>
    </xf>
    <xf borderId="2" fillId="4" fontId="15" numFmtId="0" xfId="0" applyAlignment="1" applyBorder="1" applyFont="1">
      <alignment horizontal="center" readingOrder="0" shrinkToFit="0" vertical="center" wrapText="1"/>
    </xf>
    <xf borderId="2" fillId="4" fontId="15" numFmtId="3" xfId="0" applyAlignment="1" applyBorder="1" applyFont="1" applyNumberFormat="1">
      <alignment horizontal="center" readingOrder="0" shrinkToFit="0" vertical="center" wrapText="1"/>
    </xf>
    <xf borderId="0" fillId="16" fontId="16" numFmtId="0" xfId="0" applyAlignment="1" applyFill="1" applyFont="1">
      <alignment shrinkToFit="0" wrapText="1"/>
    </xf>
    <xf borderId="2" fillId="14" fontId="15" numFmtId="3" xfId="0" applyAlignment="1" applyBorder="1" applyFont="1" applyNumberFormat="1">
      <alignment horizontal="center" readingOrder="0" shrinkToFit="0" vertical="center" wrapText="1"/>
    </xf>
    <xf borderId="2" fillId="5" fontId="16" numFmtId="0" xfId="0" applyAlignment="1" applyBorder="1" applyFont="1">
      <alignment horizontal="center"/>
    </xf>
    <xf borderId="1" fillId="5" fontId="16" numFmtId="0" xfId="0" applyAlignment="1" applyBorder="1" applyFont="1">
      <alignment horizontal="center" readingOrder="0"/>
    </xf>
    <xf borderId="1" fillId="6" fontId="16" numFmtId="0" xfId="0" applyAlignment="1" applyBorder="1" applyFont="1">
      <alignment horizontal="center" readingOrder="0"/>
    </xf>
    <xf borderId="1" fillId="6" fontId="16" numFmtId="3" xfId="0" applyAlignment="1" applyBorder="1" applyFont="1" applyNumberFormat="1">
      <alignment horizontal="center" readingOrder="0"/>
    </xf>
    <xf borderId="0" fillId="7" fontId="13" numFmtId="0" xfId="0" applyAlignment="1" applyFont="1">
      <alignment horizontal="center" readingOrder="0" vertical="bottom"/>
    </xf>
    <xf borderId="0" fillId="2" fontId="17" numFmtId="0" xfId="0" applyAlignment="1" applyFont="1">
      <alignment horizontal="center" readingOrder="0" vertical="bottom"/>
    </xf>
    <xf borderId="0" fillId="2" fontId="17" numFmtId="0" xfId="0" applyAlignment="1" applyFont="1">
      <alignment horizontal="left" readingOrder="0" vertical="bottom"/>
    </xf>
    <xf borderId="0" fillId="2" fontId="17" numFmtId="164" xfId="0" applyAlignment="1" applyFont="1" applyNumberFormat="1">
      <alignment horizontal="center" readingOrder="0" vertical="bottom"/>
    </xf>
    <xf borderId="0" fillId="2" fontId="17" numFmtId="166" xfId="0" applyAlignment="1" applyFont="1" applyNumberFormat="1">
      <alignment horizontal="center" readingOrder="0" vertical="bottom"/>
    </xf>
    <xf borderId="0" fillId="0" fontId="17" numFmtId="164" xfId="0" applyAlignment="1" applyFont="1" applyNumberFormat="1">
      <alignment horizontal="center" readingOrder="0" vertical="bottom"/>
    </xf>
    <xf borderId="0" fillId="2" fontId="17" numFmtId="165" xfId="0" applyAlignment="1" applyFont="1" applyNumberFormat="1">
      <alignment horizontal="center" readingOrder="0" vertical="bottom"/>
    </xf>
    <xf borderId="0" fillId="2" fontId="17" numFmtId="165" xfId="0" applyAlignment="1" applyFont="1" applyNumberForma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0" fillId="0" fontId="7" numFmtId="9" xfId="0" applyAlignment="1" applyFont="1" applyNumberFormat="1">
      <alignment horizontal="center" readingOrder="0" vertical="bottom"/>
    </xf>
    <xf borderId="0" fillId="0" fontId="7" numFmtId="10" xfId="0" applyAlignment="1" applyFont="1" applyNumberFormat="1">
      <alignment horizontal="center" readingOrder="0" vertical="bottom"/>
    </xf>
    <xf borderId="0" fillId="0" fontId="11" numFmtId="165" xfId="0" applyAlignment="1" applyFont="1" applyNumberFormat="1">
      <alignment horizontal="center"/>
    </xf>
    <xf borderId="0" fillId="16" fontId="16" numFmtId="0" xfId="0" applyFont="1"/>
    <xf borderId="0" fillId="17" fontId="11" numFmtId="9" xfId="0" applyAlignment="1" applyFill="1" applyFont="1" applyNumberFormat="1">
      <alignment horizontal="center" readingOrder="0"/>
    </xf>
    <xf borderId="0" fillId="17" fontId="11" numFmtId="3" xfId="0" applyAlignment="1" applyFont="1" applyNumberFormat="1">
      <alignment horizontal="center" readingOrder="0"/>
    </xf>
    <xf borderId="0" fillId="17" fontId="11" numFmtId="3" xfId="0" applyAlignment="1" applyFont="1" applyNumberFormat="1">
      <alignment horizontal="center"/>
    </xf>
    <xf borderId="0" fillId="2" fontId="17" numFmtId="169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5" fillId="8" fontId="15" numFmtId="0" xfId="0" applyAlignment="1" applyBorder="1" applyFont="1">
      <alignment horizontal="center" readingOrder="0" vertical="center"/>
    </xf>
    <xf borderId="1" fillId="8" fontId="15" numFmtId="0" xfId="0" applyAlignment="1" applyBorder="1" applyFont="1">
      <alignment horizontal="center" readingOrder="0"/>
    </xf>
    <xf borderId="0" fillId="10" fontId="7" numFmtId="9" xfId="0" applyAlignment="1" applyFont="1" applyNumberFormat="1">
      <alignment horizontal="center" readingOrder="0" vertical="bottom"/>
    </xf>
    <xf borderId="1" fillId="0" fontId="16" numFmtId="0" xfId="0" applyAlignment="1" applyBorder="1" applyFont="1">
      <alignment horizontal="center" readingOrder="0"/>
    </xf>
    <xf borderId="1" fillId="0" fontId="16" numFmtId="9" xfId="0" applyAlignment="1" applyBorder="1" applyFont="1" applyNumberFormat="1">
      <alignment horizontal="center" readingOrder="0"/>
    </xf>
    <xf borderId="0" fillId="0" fontId="17" numFmtId="167" xfId="0" applyAlignment="1" applyFont="1" applyNumberFormat="1">
      <alignment horizontal="center" readingOrder="0" vertical="bottom"/>
    </xf>
    <xf borderId="0" fillId="0" fontId="17" numFmtId="165" xfId="0" applyAlignment="1" applyFont="1" applyNumberFormat="1">
      <alignment horizontal="center" readingOrder="0" vertical="bottom"/>
    </xf>
    <xf borderId="0" fillId="0" fontId="17" numFmtId="165" xfId="0" applyAlignment="1" applyFont="1" applyNumberFormat="1">
      <alignment horizontal="center" readingOrder="0" vertical="bottom"/>
    </xf>
    <xf borderId="0" fillId="0" fontId="17" numFmtId="166" xfId="0" applyAlignment="1" applyFont="1" applyNumberFormat="1">
      <alignment horizontal="center" readingOrder="0" vertical="bottom"/>
    </xf>
    <xf borderId="6" fillId="8" fontId="15" numFmtId="0" xfId="0" applyAlignment="1" applyBorder="1" applyFont="1">
      <alignment horizontal="center" readingOrder="0" vertical="center"/>
    </xf>
    <xf borderId="0" fillId="0" fontId="17" numFmtId="169" xfId="0" applyAlignment="1" applyFont="1" applyNumberFormat="1">
      <alignment horizontal="center" readingOrder="0" vertical="bottom"/>
    </xf>
    <xf borderId="0" fillId="2" fontId="17" numFmtId="167" xfId="0" applyAlignment="1" applyFont="1" applyNumberFormat="1">
      <alignment horizontal="center" readingOrder="0" vertical="bottom"/>
    </xf>
    <xf borderId="0" fillId="2" fontId="7" numFmtId="9" xfId="0" applyAlignment="1" applyFont="1" applyNumberFormat="1">
      <alignment horizontal="center" readingOrder="0" vertical="bottom"/>
    </xf>
    <xf borderId="0" fillId="2" fontId="7" numFmtId="10" xfId="0" applyAlignment="1" applyFont="1" applyNumberFormat="1">
      <alignment horizontal="center" readingOrder="0" vertical="bottom"/>
    </xf>
    <xf borderId="5" fillId="8" fontId="15" numFmtId="0" xfId="0" applyAlignment="1" applyBorder="1" applyFont="1">
      <alignment readingOrder="0" vertical="center"/>
    </xf>
    <xf borderId="8" fillId="11" fontId="16" numFmtId="0" xfId="0" applyAlignment="1" applyBorder="1" applyFont="1">
      <alignment horizontal="left" readingOrder="0" shrinkToFit="0" vertical="top" wrapText="1"/>
    </xf>
    <xf borderId="0" fillId="17" fontId="11" numFmtId="0" xfId="0" applyAlignment="1" applyFont="1">
      <alignment horizontal="center"/>
    </xf>
    <xf borderId="8" fillId="12" fontId="16" numFmtId="0" xfId="0" applyAlignment="1" applyBorder="1" applyFont="1">
      <alignment horizontal="left" readingOrder="0" shrinkToFit="0" vertical="top" wrapText="1"/>
    </xf>
    <xf borderId="8" fillId="4" fontId="16" numFmtId="0" xfId="0" applyAlignment="1" applyBorder="1" applyFont="1">
      <alignment readingOrder="0" shrinkToFit="0" vertical="center" wrapText="1"/>
    </xf>
    <xf borderId="0" fillId="13" fontId="18" numFmtId="0" xfId="0" applyAlignment="1" applyFont="1">
      <alignment horizontal="center" readingOrder="0" vertical="bottom"/>
    </xf>
    <xf borderId="0" fillId="13" fontId="19" numFmtId="0" xfId="0" applyAlignment="1" applyFont="1">
      <alignment horizontal="left" vertical="bottom"/>
    </xf>
    <xf borderId="0" fillId="13" fontId="18" numFmtId="3" xfId="0" applyAlignment="1" applyFont="1" applyNumberFormat="1">
      <alignment horizontal="center" readingOrder="0" vertical="bottom"/>
    </xf>
    <xf borderId="0" fillId="13" fontId="11" numFmtId="0" xfId="0" applyAlignment="1" applyFont="1">
      <alignment horizontal="center"/>
    </xf>
    <xf borderId="0" fillId="13" fontId="20" numFmtId="165" xfId="0" applyAlignment="1" applyFont="1" applyNumberFormat="1">
      <alignment horizontal="center"/>
    </xf>
    <xf borderId="0" fillId="13" fontId="20" numFmtId="3" xfId="0" applyAlignment="1" applyFont="1" applyNumberFormat="1">
      <alignment horizontal="center"/>
    </xf>
    <xf borderId="0" fillId="2" fontId="17" numFmtId="0" xfId="0" applyAlignment="1" applyFont="1">
      <alignment horizontal="center" readingOrder="0" vertical="bottom"/>
    </xf>
    <xf borderId="0" fillId="2" fontId="7" numFmtId="0" xfId="0" applyAlignment="1" applyFont="1">
      <alignment horizontal="left" readingOrder="0"/>
    </xf>
    <xf borderId="0" fillId="2" fontId="7" numFmtId="0" xfId="0" applyAlignment="1" applyFont="1">
      <alignment horizontal="left"/>
    </xf>
    <xf borderId="0" fillId="2" fontId="7" numFmtId="3" xfId="0" applyAlignment="1" applyFont="1" applyNumberFormat="1">
      <alignment horizontal="center" readingOrder="0"/>
    </xf>
    <xf borderId="0" fillId="2" fontId="7" numFmtId="165" xfId="0" applyAlignment="1" applyFont="1" applyNumberFormat="1">
      <alignment horizontal="center" readingOrder="0"/>
    </xf>
    <xf borderId="0" fillId="2" fontId="7" numFmtId="165" xfId="0" applyAlignment="1" applyFont="1" applyNumberFormat="1">
      <alignment horizontal="center"/>
    </xf>
    <xf borderId="0" fillId="9" fontId="16" numFmtId="0" xfId="0" applyFont="1"/>
    <xf borderId="0" fillId="0" fontId="16" numFmtId="0" xfId="0" applyAlignment="1" applyFont="1">
      <alignment readingOrder="0"/>
    </xf>
    <xf borderId="0" fillId="2" fontId="17" numFmtId="0" xfId="0" applyAlignment="1" applyFont="1">
      <alignment horizontal="left" readingOrder="0" vertical="bottom"/>
    </xf>
    <xf borderId="0" fillId="0" fontId="17" numFmtId="0" xfId="0" applyAlignment="1" applyFont="1">
      <alignment horizontal="left" readingOrder="0" vertical="bottom"/>
    </xf>
    <xf borderId="0" fillId="0" fontId="17" numFmtId="0" xfId="0" applyAlignment="1" applyFont="1">
      <alignment horizontal="center" readingOrder="0" vertical="bottom"/>
    </xf>
    <xf borderId="0" fillId="0" fontId="17" numFmtId="165" xfId="0" applyAlignment="1" applyFont="1" applyNumberFormat="1">
      <alignment horizontal="center" readingOrder="0" vertical="bottom"/>
    </xf>
    <xf borderId="0" fillId="0" fontId="17" numFmtId="165" xfId="0" applyAlignment="1" applyFont="1" applyNumberFormat="1">
      <alignment horizontal="center" readingOrder="0" vertical="bottom"/>
    </xf>
    <xf borderId="0" fillId="0" fontId="17" numFmtId="49" xfId="0" applyAlignment="1" applyFont="1" applyNumberFormat="1">
      <alignment horizontal="center" readingOrder="0" vertical="bottom"/>
    </xf>
    <xf borderId="0" fillId="0" fontId="11" numFmtId="9" xfId="0" applyAlignment="1" applyFont="1" applyNumberFormat="1">
      <alignment horizontal="center" readingOrder="0"/>
    </xf>
    <xf borderId="0" fillId="9" fontId="11" numFmtId="9" xfId="0" applyAlignment="1" applyFont="1" applyNumberFormat="1">
      <alignment horizontal="center" readingOrder="0"/>
    </xf>
    <xf borderId="0" fillId="0" fontId="11" numFmtId="10" xfId="0" applyAlignment="1" applyFont="1" applyNumberFormat="1">
      <alignment horizontal="center" readingOrder="0"/>
    </xf>
    <xf borderId="0" fillId="6" fontId="16" numFmtId="0" xfId="0" applyFont="1"/>
    <xf borderId="0" fillId="13" fontId="18" numFmtId="165" xfId="0" applyAlignment="1" applyFont="1" applyNumberFormat="1">
      <alignment horizontal="center" readingOrder="0" vertical="bottom"/>
    </xf>
    <xf borderId="0" fillId="13" fontId="16" numFmtId="0" xfId="0" applyFont="1"/>
    <xf borderId="0" fillId="13" fontId="11" numFmtId="9" xfId="0" applyAlignment="1" applyFont="1" applyNumberFormat="1">
      <alignment horizontal="center" readingOrder="0"/>
    </xf>
    <xf borderId="0" fillId="13" fontId="11" numFmtId="3" xfId="0" applyAlignment="1" applyFont="1" applyNumberFormat="1">
      <alignment horizontal="center" readingOrder="0"/>
    </xf>
    <xf borderId="0" fillId="13" fontId="21" numFmtId="3" xfId="0" applyAlignment="1" applyFont="1" applyNumberFormat="1">
      <alignment horizontal="center"/>
    </xf>
    <xf borderId="0" fillId="5" fontId="13" numFmtId="0" xfId="0" applyAlignment="1" applyFont="1">
      <alignment horizontal="center" readingOrder="0" vertical="bottom"/>
    </xf>
    <xf borderId="0" fillId="2" fontId="17" numFmtId="170" xfId="0" applyAlignment="1" applyFont="1" applyNumberFormat="1">
      <alignment horizontal="center" readingOrder="0" vertical="bottom"/>
    </xf>
    <xf borderId="0" fillId="2" fontId="17" numFmtId="165" xfId="0" applyAlignment="1" applyFont="1" applyNumberFormat="1">
      <alignment horizontal="center" vertical="bottom"/>
    </xf>
    <xf borderId="0" fillId="10" fontId="17" numFmtId="49" xfId="0" applyAlignment="1" applyFont="1" applyNumberFormat="1">
      <alignment horizontal="center" readingOrder="0" vertical="bottom"/>
    </xf>
    <xf borderId="0" fillId="10" fontId="11" numFmtId="9" xfId="0" applyAlignment="1" applyFont="1" applyNumberFormat="1">
      <alignment horizontal="center" readingOrder="0"/>
    </xf>
    <xf borderId="0" fillId="10" fontId="11" numFmtId="10" xfId="0" applyAlignment="1" applyFont="1" applyNumberFormat="1">
      <alignment horizontal="center"/>
    </xf>
    <xf borderId="0" fillId="10" fontId="11" numFmtId="165" xfId="0" applyAlignment="1" applyFont="1" applyNumberFormat="1">
      <alignment horizontal="center" readingOrder="0"/>
    </xf>
    <xf borderId="0" fillId="2" fontId="17" numFmtId="0" xfId="0" applyAlignment="1" applyFont="1">
      <alignment horizontal="left" vertical="bottom"/>
    </xf>
    <xf borderId="0" fillId="10" fontId="11" numFmtId="0" xfId="0" applyAlignment="1" applyFont="1">
      <alignment horizontal="center" readingOrder="0"/>
    </xf>
    <xf borderId="0" fillId="0" fontId="17" numFmtId="0" xfId="0" applyAlignment="1" applyFont="1">
      <alignment horizontal="left" readingOrder="0" vertical="bottom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2" fontId="7" numFmtId="0" xfId="0" applyAlignment="1" applyFont="1">
      <alignment horizontal="center" readingOrder="0" shrinkToFit="0" vertical="bottom" wrapText="0"/>
    </xf>
    <xf borderId="0" fillId="10" fontId="11" numFmtId="165" xfId="0" applyAlignment="1" applyFont="1" applyNumberFormat="1">
      <alignment horizontal="center"/>
    </xf>
    <xf borderId="0" fillId="13" fontId="17" numFmtId="0" xfId="0" applyAlignment="1" applyFont="1">
      <alignment horizontal="center" vertical="bottom"/>
    </xf>
    <xf borderId="0" fillId="13" fontId="19" numFmtId="0" xfId="0" applyAlignment="1" applyFont="1">
      <alignment horizontal="center" vertical="bottom"/>
    </xf>
    <xf borderId="0" fillId="0" fontId="17" numFmtId="165" xfId="0" applyAlignment="1" applyFont="1" applyNumberFormat="1">
      <alignment horizontal="center" vertical="bottom"/>
    </xf>
    <xf borderId="0" fillId="13" fontId="19" numFmtId="0" xfId="0" applyAlignment="1" applyFont="1">
      <alignment horizontal="left" vertical="bottom"/>
    </xf>
    <xf borderId="14" fillId="0" fontId="22" numFmtId="0" xfId="0" applyAlignment="1" applyBorder="1" applyFont="1">
      <alignment horizontal="center" readingOrder="0" vertical="center"/>
    </xf>
    <xf borderId="14" fillId="0" fontId="23" numFmtId="0" xfId="0" applyAlignment="1" applyBorder="1" applyFont="1">
      <alignment horizontal="left" readingOrder="0"/>
    </xf>
    <xf borderId="14" fillId="0" fontId="21" numFmtId="0" xfId="0" applyAlignment="1" applyBorder="1" applyFont="1">
      <alignment horizontal="center" readingOrder="0"/>
    </xf>
    <xf borderId="14" fillId="0" fontId="23" numFmtId="0" xfId="0" applyAlignment="1" applyBorder="1" applyFont="1">
      <alignment horizontal="center" readingOrder="0"/>
    </xf>
    <xf borderId="14" fillId="0" fontId="22" numFmtId="3" xfId="0" applyAlignment="1" applyBorder="1" applyFont="1" applyNumberFormat="1">
      <alignment horizontal="center" readingOrder="0" vertical="center"/>
    </xf>
    <xf borderId="14" fillId="0" fontId="11" numFmtId="0" xfId="0" applyAlignment="1" applyBorder="1" applyFont="1">
      <alignment horizontal="center"/>
    </xf>
    <xf borderId="14" fillId="0" fontId="22" numFmtId="165" xfId="0" applyAlignment="1" applyBorder="1" applyFont="1" applyNumberFormat="1">
      <alignment horizontal="center" readingOrder="0" vertical="center"/>
    </xf>
    <xf borderId="14" fillId="16" fontId="22" numFmtId="0" xfId="0" applyAlignment="1" applyBorder="1" applyFont="1">
      <alignment horizontal="center"/>
    </xf>
    <xf borderId="14" fillId="0" fontId="22" numFmtId="0" xfId="0" applyAlignment="1" applyBorder="1" applyFont="1">
      <alignment horizontal="center"/>
    </xf>
    <xf borderId="14" fillId="0" fontId="22" numFmtId="3" xfId="0" applyAlignment="1" applyBorder="1" applyFont="1" applyNumberFormat="1">
      <alignment horizontal="center" readingOrder="0"/>
    </xf>
    <xf borderId="0" fillId="14" fontId="24" numFmtId="0" xfId="0" applyAlignment="1" applyFont="1">
      <alignment horizontal="center" shrinkToFit="0" vertical="bottom" wrapText="0"/>
    </xf>
    <xf borderId="0" fillId="2" fontId="25" numFmtId="0" xfId="0" applyFont="1"/>
    <xf borderId="0" fillId="2" fontId="17" numFmtId="0" xfId="0" applyAlignment="1" applyFont="1">
      <alignment horizontal="center" readingOrder="0"/>
    </xf>
    <xf borderId="0" fillId="13" fontId="20" numFmtId="0" xfId="0" applyAlignment="1" applyFont="1">
      <alignment horizontal="center"/>
    </xf>
    <xf borderId="0" fillId="13" fontId="21" numFmtId="0" xfId="0" applyAlignment="1" applyFont="1">
      <alignment horizontal="center"/>
    </xf>
    <xf borderId="0" fillId="2" fontId="17" numFmtId="165" xfId="0" applyAlignment="1" applyFont="1" applyNumberFormat="1">
      <alignment horizontal="center" vertical="bottom"/>
    </xf>
    <xf borderId="0" fillId="9" fontId="15" numFmtId="0" xfId="0" applyAlignment="1" applyFont="1">
      <alignment horizontal="center" vertical="center"/>
    </xf>
    <xf borderId="0" fillId="9" fontId="15" numFmtId="165" xfId="0" applyAlignment="1" applyFont="1" applyNumberFormat="1">
      <alignment horizontal="center" vertical="center"/>
    </xf>
    <xf borderId="0" fillId="2" fontId="24" numFmtId="0" xfId="0" applyAlignment="1" applyFont="1">
      <alignment horizontal="center" shrinkToFit="0" vertical="bottom" wrapText="0"/>
    </xf>
    <xf borderId="0" fillId="2" fontId="11" numFmtId="0" xfId="0" applyAlignment="1" applyFont="1">
      <alignment horizontal="center"/>
    </xf>
    <xf borderId="0" fillId="2" fontId="16" numFmtId="0" xfId="0" applyFont="1"/>
    <xf borderId="0" fillId="4" fontId="24" numFmtId="0" xfId="0" applyAlignment="1" applyFont="1">
      <alignment horizontal="center" shrinkToFit="0" vertical="bottom" wrapText="0"/>
    </xf>
    <xf borderId="0" fillId="3" fontId="3" numFmtId="0" xfId="0" applyAlignment="1" applyFont="1">
      <alignment horizontal="center" readingOrder="0" vertical="bottom"/>
    </xf>
    <xf borderId="15" fillId="9" fontId="15" numFmtId="0" xfId="0" applyAlignment="1" applyBorder="1" applyFont="1">
      <alignment horizontal="center" readingOrder="0" vertical="center"/>
    </xf>
    <xf borderId="15" fillId="0" fontId="16" numFmtId="0" xfId="0" applyBorder="1" applyFont="1"/>
    <xf borderId="15" fillId="9" fontId="15" numFmtId="165" xfId="0" applyAlignment="1" applyBorder="1" applyFont="1" applyNumberFormat="1">
      <alignment horizontal="center" vertical="center"/>
    </xf>
    <xf borderId="0" fillId="10" fontId="7" numFmtId="49" xfId="0" applyAlignment="1" applyFont="1" applyNumberFormat="1">
      <alignment horizontal="center" readingOrder="0" vertical="bottom"/>
    </xf>
    <xf borderId="0" fillId="10" fontId="7" numFmtId="0" xfId="0" applyAlignment="1" applyFont="1">
      <alignment horizontal="center" readingOrder="0" vertical="bottom"/>
    </xf>
    <xf borderId="0" fillId="0" fontId="19" numFmtId="0" xfId="0" applyAlignment="1" applyFont="1">
      <alignment horizontal="center" readingOrder="0" vertical="bottom"/>
    </xf>
    <xf borderId="0" fillId="0" fontId="17" numFmtId="165" xfId="0" applyAlignment="1" applyFont="1" applyNumberFormat="1">
      <alignment horizontal="center" vertical="bottom"/>
    </xf>
    <xf borderId="16" fillId="7" fontId="13" numFmtId="0" xfId="0" applyAlignment="1" applyBorder="1" applyFont="1">
      <alignment horizontal="center" readingOrder="0" vertical="bottom"/>
    </xf>
    <xf borderId="0" fillId="0" fontId="17" numFmtId="171" xfId="0" applyAlignment="1" applyFont="1" applyNumberFormat="1">
      <alignment horizontal="center" readingOrder="0" vertical="bottom"/>
    </xf>
    <xf borderId="0" fillId="13" fontId="11" numFmtId="3" xfId="0" applyAlignment="1" applyFont="1" applyNumberFormat="1">
      <alignment horizontal="center"/>
    </xf>
    <xf borderId="0" fillId="0" fontId="17" numFmtId="170" xfId="0" applyAlignment="1" applyFont="1" applyNumberFormat="1">
      <alignment horizontal="center" readingOrder="0" vertical="bottom"/>
    </xf>
    <xf borderId="0" fillId="13" fontId="13" numFmtId="0" xfId="0" applyAlignment="1" applyFont="1">
      <alignment horizontal="center" readingOrder="0" vertical="bottom"/>
    </xf>
    <xf borderId="0" fillId="2" fontId="19" numFmtId="167" xfId="0" applyAlignment="1" applyFont="1" applyNumberFormat="1">
      <alignment horizontal="center" vertical="bottom"/>
    </xf>
    <xf borderId="0" fillId="2" fontId="19" numFmtId="0" xfId="0" applyAlignment="1" applyFont="1">
      <alignment horizontal="center" vertical="bottom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left"/>
    </xf>
    <xf borderId="0" fillId="0" fontId="16" numFmtId="3" xfId="0" applyAlignment="1" applyFont="1" applyNumberFormat="1">
      <alignment horizontal="center"/>
    </xf>
    <xf borderId="0" fillId="0" fontId="16" numFmtId="168" xfId="0" applyAlignment="1" applyFont="1" applyNumberFormat="1">
      <alignment horizontal="center"/>
    </xf>
    <xf borderId="0" fillId="17" fontId="16" numFmtId="168" xfId="0" applyFont="1" applyNumberFormat="1"/>
    <xf borderId="0" fillId="0" fontId="16" numFmtId="0" xfId="0" applyAlignment="1" applyFont="1">
      <alignment horizontal="center" readingOrder="0"/>
    </xf>
    <xf borderId="0" fillId="15" fontId="12" numFmtId="0" xfId="0" applyAlignment="1" applyFont="1">
      <alignment horizontal="center"/>
    </xf>
    <xf borderId="0" fillId="15" fontId="12" numFmtId="165" xfId="0" applyAlignment="1" applyFont="1" applyNumberFormat="1">
      <alignment horizontal="center"/>
    </xf>
    <xf borderId="0" fillId="9" fontId="15" numFmtId="10" xfId="0" applyAlignment="1" applyFont="1" applyNumberFormat="1">
      <alignment horizontal="center" vertical="center"/>
    </xf>
    <xf borderId="1" fillId="18" fontId="4" numFmtId="0" xfId="0" applyAlignment="1" applyBorder="1" applyFill="1" applyFont="1">
      <alignment horizontal="center" shrinkToFit="0" vertical="center" wrapText="1"/>
    </xf>
    <xf borderId="1" fillId="18" fontId="4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ont="1">
      <alignment horizontal="center" vertical="bottom"/>
    </xf>
    <xf borderId="13" fillId="9" fontId="2" numFmtId="0" xfId="0" applyAlignment="1" applyBorder="1" applyFont="1">
      <alignment vertical="bottom"/>
    </xf>
    <xf borderId="1" fillId="9" fontId="2" numFmtId="172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0" fontId="26" numFmtId="0" xfId="0" applyAlignment="1" applyBorder="1" applyFont="1">
      <alignment horizontal="left" readingOrder="0"/>
    </xf>
    <xf borderId="1" fillId="9" fontId="2" numFmtId="0" xfId="0" applyAlignment="1" applyBorder="1" applyFont="1">
      <alignment horizontal="center" readingOrder="0" vertical="bottom"/>
    </xf>
    <xf borderId="13" fillId="9" fontId="2" numFmtId="166" xfId="0" applyAlignment="1" applyBorder="1" applyFont="1" applyNumberFormat="1">
      <alignment vertical="bottom"/>
    </xf>
    <xf borderId="0" fillId="0" fontId="27" numFmtId="0" xfId="0" applyAlignment="1" applyFont="1">
      <alignment horizontal="left" readingOrder="0"/>
    </xf>
    <xf borderId="13" fillId="9" fontId="2" numFmtId="0" xfId="0" applyAlignment="1" applyBorder="1" applyFont="1">
      <alignment readingOrder="0" vertical="bottom"/>
    </xf>
    <xf borderId="1" fillId="9" fontId="2" numFmtId="172" xfId="0" applyAlignment="1" applyBorder="1" applyFont="1" applyNumberFormat="1">
      <alignment horizontal="center" readingOrder="0" vertical="bottom"/>
    </xf>
    <xf borderId="13" fillId="9" fontId="2" numFmtId="0" xfId="0" applyBorder="1" applyFont="1"/>
    <xf borderId="1" fillId="19" fontId="2" numFmtId="0" xfId="0" applyAlignment="1" applyBorder="1" applyFill="1" applyFont="1">
      <alignment horizontal="center" vertical="bottom"/>
    </xf>
    <xf borderId="1" fillId="19" fontId="2" numFmtId="0" xfId="0" applyAlignment="1" applyBorder="1" applyFont="1">
      <alignment horizontal="center" readingOrder="0" vertical="bottom"/>
    </xf>
    <xf borderId="1" fillId="2" fontId="28" numFmtId="0" xfId="0" applyAlignment="1" applyBorder="1" applyFont="1">
      <alignment horizontal="left" readingOrder="0"/>
    </xf>
    <xf borderId="13" fillId="9" fontId="2" numFmtId="0" xfId="0" applyAlignment="1" applyBorder="1" applyFont="1">
      <alignment readingOrder="0" shrinkToFit="0" vertical="bottom" wrapText="0"/>
    </xf>
    <xf borderId="13" fillId="9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horizontal="center" readingOrder="0" vertical="bottom"/>
    </xf>
    <xf borderId="1" fillId="9" fontId="2" numFmtId="0" xfId="0" applyAlignment="1" applyBorder="1" applyFont="1">
      <alignment horizontal="left" readingOrder="0" vertical="bottom"/>
    </xf>
    <xf borderId="1" fillId="9" fontId="2" numFmtId="172" xfId="0" applyAlignment="1" applyBorder="1" applyFont="1" applyNumberFormat="1">
      <alignment vertical="bottom"/>
    </xf>
    <xf borderId="1" fillId="9" fontId="2" numFmtId="0" xfId="0" applyAlignment="1" applyBorder="1" applyFont="1">
      <alignment vertical="bottom"/>
    </xf>
    <xf borderId="1" fillId="18" fontId="4" numFmtId="0" xfId="0" applyAlignment="1" applyBorder="1" applyFont="1">
      <alignment horizontal="center" shrinkToFit="0" vertical="center" wrapText="1"/>
    </xf>
    <xf borderId="1" fillId="13" fontId="29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173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5" xfId="0" applyAlignment="1" applyBorder="1" applyFont="1" applyNumberFormat="1">
      <alignment horizontal="center" readingOrder="0" vertical="bottom"/>
    </xf>
    <xf borderId="0" fillId="0" fontId="16" numFmtId="165" xfId="0" applyFont="1" applyNumberFormat="1"/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5WQJIbbpNdFBv4xE4dSXrKj-IPWf4OqI/edit?usp=drive_link&amp;ouid=102644804217510754762&amp;rtpof=true&amp;sd=true" TargetMode="External"/><Relationship Id="rId22" Type="http://schemas.openxmlformats.org/officeDocument/2006/relationships/hyperlink" Target="https://docs.google.com/spreadsheets/d/1edG9C1TrJroACL_VaYm613qoTvizWhOC/edit?usp=drive_link&amp;ouid=102644804217510754762&amp;rtpof=true&amp;sd=true" TargetMode="External"/><Relationship Id="rId21" Type="http://schemas.openxmlformats.org/officeDocument/2006/relationships/hyperlink" Target="https://docs.google.com/spreadsheets/d/1sCjnqYH7J9qvbWAbS7U7mavjC7pUjpMF/edit?usp=drive_link&amp;ouid=102644804217510754762&amp;rtpof=true&amp;sd=true" TargetMode="External"/><Relationship Id="rId24" Type="http://schemas.openxmlformats.org/officeDocument/2006/relationships/hyperlink" Target="https://docs.google.com/spreadsheets/d/1dxmrYF1Q1WcID2LF3DaLI37-d2e_QPpB/edit?usp=drive_link&amp;ouid=102644804217510754762&amp;rtpof=true&amp;sd=true" TargetMode="External"/><Relationship Id="rId23" Type="http://schemas.openxmlformats.org/officeDocument/2006/relationships/hyperlink" Target="https://docs.google.com/spreadsheets/d/1iF2iWjNZbkkRFBhBcLdrYWkldXrTbeFm/edit?usp=drive_link&amp;ouid=102644804217510754762&amp;rtpof=true&amp;sd=true" TargetMode="External"/><Relationship Id="rId1" Type="http://schemas.openxmlformats.org/officeDocument/2006/relationships/hyperlink" Target="https://docs.google.com/spreadsheets/d/1qZVMOEe5BuSFyYFSu3zSNaIbMM4rlvoc/edit?usp=drive_link&amp;ouid=102644804217510754762&amp;rtpof=true&amp;sd=true" TargetMode="External"/><Relationship Id="rId2" Type="http://schemas.openxmlformats.org/officeDocument/2006/relationships/hyperlink" Target="https://docs.google.com/spreadsheets/d/1Ni08yf12MAZWMoRwQcLRCFC40wtSzYni/edit?usp=drive_link&amp;ouid=102644804217510754762&amp;rtpof=true&amp;sd=true" TargetMode="External"/><Relationship Id="rId3" Type="http://schemas.openxmlformats.org/officeDocument/2006/relationships/hyperlink" Target="https://docs.google.com/spreadsheets/d/1Rb2gMm_Seh-41_a6ddtXl7fY01V5YpU1/edit?usp=sharing&amp;ouid=102644804217510754762&amp;rtpof=true&amp;sd=true" TargetMode="External"/><Relationship Id="rId4" Type="http://schemas.openxmlformats.org/officeDocument/2006/relationships/hyperlink" Target="https://docs.google.com/spreadsheets/d/1_swCX9e06E4yFPUUgtpv2XcqmBHVp8Aq/edit?usp=drive_link&amp;ouid=102644804217510754762&amp;rtpof=true&amp;sd=true" TargetMode="External"/><Relationship Id="rId9" Type="http://schemas.openxmlformats.org/officeDocument/2006/relationships/hyperlink" Target="https://docs.google.com/spreadsheets/d/1s6V153_v68ixNURr60LybfBrp23CIN6v/edit?usp=drive_link&amp;ouid=102644804217510754762&amp;rtpof=true&amp;sd=true" TargetMode="External"/><Relationship Id="rId26" Type="http://schemas.openxmlformats.org/officeDocument/2006/relationships/hyperlink" Target="https://docs.google.com/spreadsheets/d/1jtd_-xrxQUYeodD7aYt5Sdr4d4GGIVOV/edit?usp=drive_link&amp;ouid=102644804217510754762&amp;rtpof=true&amp;sd=true" TargetMode="External"/><Relationship Id="rId25" Type="http://schemas.openxmlformats.org/officeDocument/2006/relationships/hyperlink" Target="https://docs.google.com/spreadsheets/d/1Nm8nIn25l_I-ie-lr9IjoMp4Cnefn44E/edit?usp=drive_link&amp;ouid=102644804217510754762&amp;rtpof=true&amp;sd=true" TargetMode="External"/><Relationship Id="rId28" Type="http://schemas.openxmlformats.org/officeDocument/2006/relationships/hyperlink" Target="https://docs.google.com/spreadsheets/d/1bcasrvanBsJlaVyYAeAlmvLRZTkhQC9t/edit?usp=drive_link&amp;ouid=102644804217510754762&amp;rtpof=true&amp;sd=true" TargetMode="External"/><Relationship Id="rId27" Type="http://schemas.openxmlformats.org/officeDocument/2006/relationships/hyperlink" Target="https://docs.google.com/spreadsheets/d/1XjRWccHxufRhoIm1azoKJVY4kNm2qrYa/edit?usp=drive_link&amp;ouid=102644804217510754762&amp;rtpof=true&amp;sd=true" TargetMode="External"/><Relationship Id="rId5" Type="http://schemas.openxmlformats.org/officeDocument/2006/relationships/hyperlink" Target="https://docs.google.com/spreadsheets/d/18tJwrhDnVBMlwdihw8wxGchlYP9gJHna/edit?usp=drive_link&amp;ouid=102644804217510754762&amp;rtpof=true&amp;sd=true" TargetMode="External"/><Relationship Id="rId6" Type="http://schemas.openxmlformats.org/officeDocument/2006/relationships/hyperlink" Target="https://docs.google.com/spreadsheets/d/1WggyQdSd4wZDFQTBeSY8sUPN_Kp3gXmP/edit?usp=drive_link&amp;ouid=102644804217510754762&amp;rtpof=true&amp;sd=true" TargetMode="External"/><Relationship Id="rId29" Type="http://schemas.openxmlformats.org/officeDocument/2006/relationships/hyperlink" Target="https://docs.google.com/spreadsheets/d/12EBsmR_MFBFFjCq72shYuFCJHm8N830C/edit?usp=drive_link&amp;ouid=102644804217510754762&amp;rtpof=true&amp;sd=true" TargetMode="External"/><Relationship Id="rId7" Type="http://schemas.openxmlformats.org/officeDocument/2006/relationships/hyperlink" Target="https://docs.google.com/spreadsheets/d/18vxXE2cjF0i-DtAf2iUbyI9Uzs-aC5ez/edit?usp=drive_link&amp;ouid=102644804217510754762&amp;rtpof=true&amp;sd=true" TargetMode="External"/><Relationship Id="rId8" Type="http://schemas.openxmlformats.org/officeDocument/2006/relationships/hyperlink" Target="https://docs.google.com/spreadsheets/d/1OqJ8ddsmM4lnaWglHEQu-4L-AXtYeBl_/edit?usp=drive_link&amp;ouid=102644804217510754762&amp;rtpof=true&amp;sd=true" TargetMode="External"/><Relationship Id="rId31" Type="http://schemas.openxmlformats.org/officeDocument/2006/relationships/hyperlink" Target="https://docs.google.com/spreadsheets/d/1jHTJbZeCsyU0z90Fk3badveMO5qMB_f9/edit?usp=drive_link&amp;ouid=102644804217510754762&amp;rtpof=true&amp;sd=true" TargetMode="External"/><Relationship Id="rId30" Type="http://schemas.openxmlformats.org/officeDocument/2006/relationships/hyperlink" Target="https://docs.google.com/spreadsheets/d/1b6_zBcRO-5ov99V06-MDrrHyQYADWV5C/edit?usp=drive_link&amp;ouid=102644804217510754762&amp;rtpof=true&amp;sd=true" TargetMode="External"/><Relationship Id="rId11" Type="http://schemas.openxmlformats.org/officeDocument/2006/relationships/hyperlink" Target="https://docs.google.com/spreadsheets/d/1YGucUQj6EgX6K0dppqmz3UriqQi9zVLL/edit?usp=drive_link&amp;ouid=102644804217510754762&amp;rtpof=true&amp;sd=true" TargetMode="External"/><Relationship Id="rId33" Type="http://schemas.openxmlformats.org/officeDocument/2006/relationships/hyperlink" Target="https://docs.google.com/spreadsheets/d/1r54QqhCAr4kxzQNMAExW5nHugG5PPS5Y/edit?usp=drive_link&amp;ouid=102644804217510754762&amp;rtpof=true&amp;sd=true" TargetMode="External"/><Relationship Id="rId10" Type="http://schemas.openxmlformats.org/officeDocument/2006/relationships/hyperlink" Target="https://docs.google.com/spreadsheets/d/1HjE1aIKLaVgitGQ0LR2-37lnTseqScZd/edit?usp=sharing&amp;ouid=102644804217510754762&amp;rtpof=true&amp;sd=true" TargetMode="External"/><Relationship Id="rId32" Type="http://schemas.openxmlformats.org/officeDocument/2006/relationships/hyperlink" Target="https://docs.google.com/spreadsheets/d/1NfaZXZVWyc0hLisW5sdw_jzkbATBXIJ0/edit?usp=drive_link&amp;ouid=102644804217510754762&amp;rtpof=true&amp;sd=true" TargetMode="External"/><Relationship Id="rId13" Type="http://schemas.openxmlformats.org/officeDocument/2006/relationships/hyperlink" Target="https://docs.google.com/spreadsheets/d/1fk_NgmztWEZxXtKZzYsMhXho-J-vB19y/edit?usp=sharing&amp;ouid=102644804217510754762&amp;rtpof=true&amp;sd=true" TargetMode="External"/><Relationship Id="rId35" Type="http://schemas.openxmlformats.org/officeDocument/2006/relationships/hyperlink" Target="https://docs.google.com/spreadsheets/d/1UaGyv5D_ySoGhXNbieKRXynL6YLdovyS/edit?usp=drive_link&amp;ouid=102644804217510754762&amp;rtpof=true&amp;sd=true" TargetMode="External"/><Relationship Id="rId12" Type="http://schemas.openxmlformats.org/officeDocument/2006/relationships/hyperlink" Target="https://docs.google.com/spreadsheets/d/1ennN9XjDQBvGPKVDlOFPXh9rtXzC2M-Q/edit?usp=drive_link&amp;ouid=102644804217510754762&amp;rtpof=true&amp;sd=true" TargetMode="External"/><Relationship Id="rId34" Type="http://schemas.openxmlformats.org/officeDocument/2006/relationships/hyperlink" Target="https://docs.google.com/spreadsheets/d/1nePTlY3a-LZ_S76pDkEHOKppj3s5PFUo/edit?usp=drive_link&amp;ouid=102644804217510754762&amp;rtpof=true&amp;sd=true" TargetMode="External"/><Relationship Id="rId15" Type="http://schemas.openxmlformats.org/officeDocument/2006/relationships/hyperlink" Target="https://docs.google.com/spreadsheets/d/1rS5UJzn26b70XB8JxZsFIAXGNDkOHX7z/edit?usp=drive_link&amp;ouid=102644804217510754762&amp;rtpof=true&amp;sd=true" TargetMode="External"/><Relationship Id="rId37" Type="http://schemas.openxmlformats.org/officeDocument/2006/relationships/hyperlink" Target="https://docs.google.com/spreadsheets/d/1mMM9cPQBxMIjH0B4ehkuuZAcviEn6e5t/edit?usp=drive_link&amp;ouid=102644804217510754762&amp;rtpof=true&amp;sd=true" TargetMode="External"/><Relationship Id="rId14" Type="http://schemas.openxmlformats.org/officeDocument/2006/relationships/hyperlink" Target="https://docs.google.com/spreadsheets/d/1DotB6kWRiM81UunensgMgJ4NKqcxsp3H/edit?usp=drive_link&amp;ouid=102644804217510754762&amp;rtpof=true&amp;sd=true" TargetMode="External"/><Relationship Id="rId36" Type="http://schemas.openxmlformats.org/officeDocument/2006/relationships/hyperlink" Target="https://docs.google.com/spreadsheets/d/1PBG4iF9ogWolRIYrlqtT0nEh83ZL3cH0/edit?usp=drive_link&amp;ouid=102644804217510754762&amp;rtpof=true&amp;sd=true" TargetMode="External"/><Relationship Id="rId17" Type="http://schemas.openxmlformats.org/officeDocument/2006/relationships/hyperlink" Target="https://docs.google.com/spreadsheets/d/1p9f8_rrC7aE7YQtNMMGldra2VjCiBkkd/edit?usp=drive_link&amp;ouid=102644804217510754762&amp;rtpof=true&amp;sd=true" TargetMode="External"/><Relationship Id="rId39" Type="http://schemas.openxmlformats.org/officeDocument/2006/relationships/drawing" Target="../drawings/drawing3.xml"/><Relationship Id="rId16" Type="http://schemas.openxmlformats.org/officeDocument/2006/relationships/hyperlink" Target="https://docs.google.com/spreadsheets/d/14pECNeLTP3qLSCAu12zIGOxI5wTmZgkl/edit?usp=drive_link&amp;ouid=102644804217510754762&amp;rtpof=true&amp;sd=true" TargetMode="External"/><Relationship Id="rId38" Type="http://schemas.openxmlformats.org/officeDocument/2006/relationships/hyperlink" Target="https://docs.google.com/spreadsheets/d/1UPPDuOUVrL2_6uiSm-QtHUfFR00o_VCQ/edit?usp=drive_link&amp;ouid=102644804217510754762&amp;rtpof=true&amp;sd=true" TargetMode="External"/><Relationship Id="rId19" Type="http://schemas.openxmlformats.org/officeDocument/2006/relationships/hyperlink" Target="https://docs.google.com/spreadsheets/d/1qd29cq1q5G54cVYkYAPrz0y7ycRCFRJg/edit?usp=drive_link&amp;ouid=102644804217510754762&amp;rtpof=true&amp;sd=true" TargetMode="External"/><Relationship Id="rId18" Type="http://schemas.openxmlformats.org/officeDocument/2006/relationships/hyperlink" Target="https://docs.google.com/spreadsheets/d/1MHUgZdFSb4PMJ5r4LSojRfxfl6CPF_W0/edit?usp=drive_link&amp;ouid=102644804217510754762&amp;rtpof=true&amp;sd=tru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4fHG6s3olE8x4CMYCygjOyRdEQx7CzJ/view?usp=sharin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63"/>
    <col customWidth="1" min="2" max="2" width="18.75"/>
    <col customWidth="1" min="3" max="3" width="24.0"/>
    <col customWidth="1" min="19" max="19" width="2.63"/>
  </cols>
  <sheetData>
    <row r="1">
      <c r="A1" s="1" t="s">
        <v>0</v>
      </c>
      <c r="S1" s="2"/>
      <c r="T1" s="2"/>
      <c r="U1" s="2"/>
      <c r="V1" s="2"/>
      <c r="W1" s="2"/>
      <c r="X1" s="2"/>
    </row>
    <row r="2">
      <c r="A2" s="3" t="s">
        <v>1</v>
      </c>
      <c r="S2" s="2"/>
      <c r="T2" s="2"/>
      <c r="U2" s="2"/>
      <c r="V2" s="2"/>
      <c r="W2" s="2"/>
      <c r="X2" s="2"/>
    </row>
    <row r="3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5" t="s">
        <v>10</v>
      </c>
      <c r="J3" s="5" t="s">
        <v>11</v>
      </c>
      <c r="K3" s="4" t="s">
        <v>12</v>
      </c>
      <c r="L3" s="4" t="s">
        <v>13</v>
      </c>
      <c r="M3" s="7" t="s">
        <v>14</v>
      </c>
      <c r="N3" s="8"/>
      <c r="O3" s="8"/>
      <c r="P3" s="9"/>
      <c r="Q3" s="10" t="s">
        <v>15</v>
      </c>
      <c r="R3" s="9"/>
      <c r="S3" s="2"/>
      <c r="T3" s="2"/>
      <c r="U3" s="2"/>
      <c r="V3" s="2"/>
      <c r="W3" s="2"/>
      <c r="X3" s="2"/>
    </row>
    <row r="4">
      <c r="A4" s="11"/>
      <c r="B4" s="8"/>
      <c r="C4" s="8"/>
      <c r="D4" s="8"/>
      <c r="E4" s="8"/>
      <c r="F4" s="8"/>
      <c r="G4" s="8"/>
      <c r="H4" s="8"/>
      <c r="I4" s="9"/>
      <c r="J4" s="12" t="s">
        <v>16</v>
      </c>
      <c r="K4" s="13" t="s">
        <v>17</v>
      </c>
      <c r="L4" s="13" t="s">
        <v>18</v>
      </c>
      <c r="M4" s="13" t="s">
        <v>19</v>
      </c>
      <c r="N4" s="13" t="s">
        <v>20</v>
      </c>
      <c r="O4" s="13" t="s">
        <v>21</v>
      </c>
      <c r="P4" s="13" t="s">
        <v>22</v>
      </c>
      <c r="Q4" s="14" t="s">
        <v>23</v>
      </c>
      <c r="R4" s="13" t="s">
        <v>24</v>
      </c>
      <c r="S4" s="2"/>
      <c r="T4" s="2"/>
      <c r="U4" s="2"/>
      <c r="V4" s="2"/>
      <c r="W4" s="2"/>
      <c r="X4" s="2"/>
    </row>
    <row r="5">
      <c r="A5" s="15" t="s">
        <v>25</v>
      </c>
      <c r="S5" s="2"/>
      <c r="T5" s="2"/>
      <c r="U5" s="2"/>
      <c r="V5" s="2"/>
      <c r="W5" s="2"/>
      <c r="X5" s="2"/>
    </row>
    <row r="6">
      <c r="A6" s="16">
        <v>1.0</v>
      </c>
      <c r="B6" s="17" t="s">
        <v>26</v>
      </c>
      <c r="C6" s="17" t="s">
        <v>27</v>
      </c>
      <c r="D6" s="17" t="s">
        <v>1</v>
      </c>
      <c r="E6" s="18" t="s">
        <v>28</v>
      </c>
      <c r="F6" s="19">
        <v>41275.0</v>
      </c>
      <c r="G6" s="19">
        <v>42583.0</v>
      </c>
      <c r="H6" s="20" t="str">
        <f t="shared" ref="H6:H22" si="1">DATEDIF(G6, TODAY(), "y") &amp; " years " &amp; DATEDIF(G6, TODAY(), "ym") &amp; " months"
</f>
        <v>9 years 4 months</v>
      </c>
      <c r="I6" s="20">
        <v>534000.0</v>
      </c>
      <c r="J6" s="21" t="s">
        <v>29</v>
      </c>
      <c r="K6" s="18" t="s">
        <v>30</v>
      </c>
      <c r="L6" s="22" t="s">
        <v>31</v>
      </c>
      <c r="M6" s="18" t="s">
        <v>32</v>
      </c>
      <c r="N6" s="23">
        <v>0.0</v>
      </c>
      <c r="O6" s="24" t="s">
        <v>33</v>
      </c>
      <c r="P6" s="25">
        <f t="shared" ref="P6:P22" si="2">(N6/6)*O6</f>
        <v>0</v>
      </c>
      <c r="Q6" s="26">
        <f t="shared" ref="Q6:Q22" si="3">sum(I6*P6)</f>
        <v>0</v>
      </c>
      <c r="R6" s="26">
        <f t="shared" ref="R6:R22" si="4">sum(I6,Q6)</f>
        <v>534000</v>
      </c>
      <c r="S6" s="2"/>
      <c r="T6" s="2"/>
      <c r="U6" s="27" t="s">
        <v>34</v>
      </c>
      <c r="V6" s="28" t="s">
        <v>35</v>
      </c>
      <c r="W6" s="28" t="s">
        <v>36</v>
      </c>
      <c r="X6" s="2"/>
    </row>
    <row r="7">
      <c r="A7" s="16">
        <v>2.0</v>
      </c>
      <c r="B7" s="17" t="s">
        <v>37</v>
      </c>
      <c r="C7" s="17" t="s">
        <v>38</v>
      </c>
      <c r="D7" s="17" t="s">
        <v>1</v>
      </c>
      <c r="E7" s="18" t="s">
        <v>28</v>
      </c>
      <c r="F7" s="19">
        <v>43556.0</v>
      </c>
      <c r="G7" s="19">
        <v>43556.0</v>
      </c>
      <c r="H7" s="20" t="str">
        <f t="shared" si="1"/>
        <v>6 years 8 months</v>
      </c>
      <c r="I7" s="26">
        <v>424000.0</v>
      </c>
      <c r="J7" s="21" t="s">
        <v>39</v>
      </c>
      <c r="K7" s="18" t="s">
        <v>30</v>
      </c>
      <c r="L7" s="22" t="s">
        <v>40</v>
      </c>
      <c r="M7" s="29">
        <v>0.06</v>
      </c>
      <c r="N7" s="29">
        <v>0.06</v>
      </c>
      <c r="O7" s="22" t="s">
        <v>33</v>
      </c>
      <c r="P7" s="25">
        <f t="shared" si="2"/>
        <v>0.06</v>
      </c>
      <c r="Q7" s="26">
        <f t="shared" si="3"/>
        <v>25440</v>
      </c>
      <c r="R7" s="26">
        <f t="shared" si="4"/>
        <v>449440</v>
      </c>
      <c r="S7" s="2"/>
      <c r="T7" s="2"/>
      <c r="U7" s="30"/>
      <c r="V7" s="31" t="s">
        <v>41</v>
      </c>
      <c r="W7" s="32">
        <v>0.1</v>
      </c>
      <c r="X7" s="2"/>
    </row>
    <row r="8">
      <c r="A8" s="16">
        <v>3.0</v>
      </c>
      <c r="B8" s="17" t="s">
        <v>42</v>
      </c>
      <c r="C8" s="17" t="s">
        <v>38</v>
      </c>
      <c r="D8" s="17" t="s">
        <v>1</v>
      </c>
      <c r="E8" s="18" t="s">
        <v>28</v>
      </c>
      <c r="F8" s="19">
        <v>42036.0</v>
      </c>
      <c r="G8" s="19">
        <v>43617.0</v>
      </c>
      <c r="H8" s="20" t="str">
        <f t="shared" si="1"/>
        <v>6 years 6 months</v>
      </c>
      <c r="I8" s="26">
        <v>300000.0</v>
      </c>
      <c r="J8" s="20" t="s">
        <v>43</v>
      </c>
      <c r="K8" s="18" t="s">
        <v>30</v>
      </c>
      <c r="L8" s="22" t="s">
        <v>44</v>
      </c>
      <c r="M8" s="29">
        <v>0.1</v>
      </c>
      <c r="N8" s="33">
        <v>0.1</v>
      </c>
      <c r="O8" s="22" t="s">
        <v>33</v>
      </c>
      <c r="P8" s="25">
        <f t="shared" si="2"/>
        <v>0.1</v>
      </c>
      <c r="Q8" s="26">
        <f t="shared" si="3"/>
        <v>30000</v>
      </c>
      <c r="R8" s="26">
        <f t="shared" si="4"/>
        <v>330000</v>
      </c>
      <c r="S8" s="2"/>
      <c r="T8" s="2"/>
      <c r="U8" s="30"/>
      <c r="V8" s="31" t="s">
        <v>45</v>
      </c>
      <c r="W8" s="32">
        <v>0.08</v>
      </c>
      <c r="X8" s="2"/>
    </row>
    <row r="9">
      <c r="A9" s="16">
        <v>4.0</v>
      </c>
      <c r="B9" s="17" t="s">
        <v>46</v>
      </c>
      <c r="C9" s="17" t="s">
        <v>38</v>
      </c>
      <c r="D9" s="17" t="s">
        <v>1</v>
      </c>
      <c r="E9" s="18" t="s">
        <v>28</v>
      </c>
      <c r="F9" s="19">
        <v>42979.0</v>
      </c>
      <c r="G9" s="19">
        <v>43466.0</v>
      </c>
      <c r="H9" s="20" t="str">
        <f t="shared" si="1"/>
        <v>6 years 11 months</v>
      </c>
      <c r="I9" s="26">
        <v>432000.0</v>
      </c>
      <c r="J9" s="21" t="s">
        <v>47</v>
      </c>
      <c r="K9" s="18" t="s">
        <v>30</v>
      </c>
      <c r="L9" s="22" t="s">
        <v>48</v>
      </c>
      <c r="M9" s="29">
        <v>0.06</v>
      </c>
      <c r="N9" s="29">
        <v>0.06</v>
      </c>
      <c r="O9" s="22" t="s">
        <v>33</v>
      </c>
      <c r="P9" s="25">
        <f t="shared" si="2"/>
        <v>0.06</v>
      </c>
      <c r="Q9" s="26">
        <f t="shared" si="3"/>
        <v>25920</v>
      </c>
      <c r="R9" s="26">
        <f t="shared" si="4"/>
        <v>457920</v>
      </c>
      <c r="S9" s="2"/>
      <c r="U9" s="30"/>
      <c r="V9" s="31" t="s">
        <v>49</v>
      </c>
      <c r="W9" s="32">
        <v>0.06</v>
      </c>
      <c r="X9" s="2"/>
    </row>
    <row r="10">
      <c r="A10" s="16">
        <v>5.0</v>
      </c>
      <c r="B10" s="17" t="s">
        <v>50</v>
      </c>
      <c r="C10" s="17" t="s">
        <v>38</v>
      </c>
      <c r="D10" s="17" t="s">
        <v>1</v>
      </c>
      <c r="E10" s="18" t="s">
        <v>28</v>
      </c>
      <c r="F10" s="19">
        <v>44044.0</v>
      </c>
      <c r="G10" s="19">
        <v>44044.0</v>
      </c>
      <c r="H10" s="20" t="str">
        <f t="shared" si="1"/>
        <v>5 years 4 months</v>
      </c>
      <c r="I10" s="26">
        <v>400000.0</v>
      </c>
      <c r="J10" s="21" t="s">
        <v>51</v>
      </c>
      <c r="K10" s="18" t="s">
        <v>52</v>
      </c>
      <c r="L10" s="34"/>
      <c r="M10" s="35"/>
      <c r="N10" s="35"/>
      <c r="O10" s="34"/>
      <c r="P10" s="36">
        <f t="shared" si="2"/>
        <v>0</v>
      </c>
      <c r="Q10" s="37">
        <f t="shared" si="3"/>
        <v>0</v>
      </c>
      <c r="R10" s="26">
        <f t="shared" si="4"/>
        <v>400000</v>
      </c>
      <c r="S10" s="2"/>
      <c r="U10" s="38"/>
      <c r="V10" s="31" t="s">
        <v>53</v>
      </c>
      <c r="W10" s="32">
        <v>0.05</v>
      </c>
      <c r="X10" s="2"/>
    </row>
    <row r="11">
      <c r="A11" s="16">
        <v>6.0</v>
      </c>
      <c r="B11" s="17" t="s">
        <v>54</v>
      </c>
      <c r="C11" s="17" t="s">
        <v>38</v>
      </c>
      <c r="D11" s="17" t="s">
        <v>1</v>
      </c>
      <c r="E11" s="18" t="s">
        <v>28</v>
      </c>
      <c r="F11" s="19">
        <v>42948.0</v>
      </c>
      <c r="G11" s="19">
        <v>44136.0</v>
      </c>
      <c r="H11" s="20" t="str">
        <f t="shared" si="1"/>
        <v>5 years 1 months</v>
      </c>
      <c r="I11" s="26">
        <v>325000.0</v>
      </c>
      <c r="J11" s="21" t="s">
        <v>47</v>
      </c>
      <c r="K11" s="18" t="s">
        <v>30</v>
      </c>
      <c r="L11" s="39" t="s">
        <v>55</v>
      </c>
      <c r="M11" s="40" t="s">
        <v>32</v>
      </c>
      <c r="N11" s="41">
        <v>0.08</v>
      </c>
      <c r="O11" s="39" t="s">
        <v>33</v>
      </c>
      <c r="P11" s="42">
        <f t="shared" si="2"/>
        <v>0.08</v>
      </c>
      <c r="Q11" s="20">
        <f t="shared" si="3"/>
        <v>26000</v>
      </c>
      <c r="R11" s="26">
        <f t="shared" si="4"/>
        <v>351000</v>
      </c>
      <c r="S11" s="2"/>
      <c r="U11" s="43"/>
      <c r="V11" s="31" t="s">
        <v>56</v>
      </c>
      <c r="W11" s="32">
        <v>0.0</v>
      </c>
      <c r="X11" s="2"/>
    </row>
    <row r="12">
      <c r="A12" s="16">
        <v>7.0</v>
      </c>
      <c r="B12" s="17" t="s">
        <v>57</v>
      </c>
      <c r="C12" s="17" t="s">
        <v>58</v>
      </c>
      <c r="D12" s="17" t="s">
        <v>1</v>
      </c>
      <c r="E12" s="18" t="s">
        <v>28</v>
      </c>
      <c r="F12" s="19">
        <v>44197.0</v>
      </c>
      <c r="G12" s="19">
        <v>44197.0</v>
      </c>
      <c r="H12" s="20" t="str">
        <f t="shared" si="1"/>
        <v>4 years 11 months</v>
      </c>
      <c r="I12" s="20">
        <v>230000.0</v>
      </c>
      <c r="J12" s="21" t="s">
        <v>59</v>
      </c>
      <c r="K12" s="18" t="s">
        <v>52</v>
      </c>
      <c r="L12" s="34"/>
      <c r="M12" s="35"/>
      <c r="N12" s="35"/>
      <c r="O12" s="34"/>
      <c r="P12" s="36">
        <f t="shared" si="2"/>
        <v>0</v>
      </c>
      <c r="Q12" s="37">
        <f t="shared" si="3"/>
        <v>0</v>
      </c>
      <c r="R12" s="26">
        <f t="shared" si="4"/>
        <v>230000</v>
      </c>
      <c r="S12" s="2"/>
      <c r="U12" s="2"/>
      <c r="V12" s="2"/>
      <c r="W12" s="2"/>
      <c r="X12" s="2"/>
    </row>
    <row r="13">
      <c r="A13" s="16">
        <v>8.0</v>
      </c>
      <c r="B13" s="17" t="s">
        <v>60</v>
      </c>
      <c r="C13" s="17" t="s">
        <v>58</v>
      </c>
      <c r="D13" s="17" t="s">
        <v>1</v>
      </c>
      <c r="E13" s="18" t="s">
        <v>28</v>
      </c>
      <c r="F13" s="19">
        <v>44256.0</v>
      </c>
      <c r="G13" s="19">
        <v>44256.0</v>
      </c>
      <c r="H13" s="20" t="str">
        <f t="shared" si="1"/>
        <v>4 years 9 months</v>
      </c>
      <c r="I13" s="20">
        <v>250000.0</v>
      </c>
      <c r="J13" s="21" t="s">
        <v>59</v>
      </c>
      <c r="K13" s="18" t="s">
        <v>30</v>
      </c>
      <c r="L13" s="39" t="s">
        <v>61</v>
      </c>
      <c r="M13" s="40" t="s">
        <v>32</v>
      </c>
      <c r="N13" s="41">
        <v>0.08</v>
      </c>
      <c r="O13" s="44" t="s">
        <v>33</v>
      </c>
      <c r="P13" s="42">
        <f t="shared" si="2"/>
        <v>0.08</v>
      </c>
      <c r="Q13" s="20">
        <f t="shared" si="3"/>
        <v>20000</v>
      </c>
      <c r="R13" s="26">
        <f t="shared" si="4"/>
        <v>270000</v>
      </c>
      <c r="S13" s="2"/>
      <c r="U13" s="2"/>
      <c r="V13" s="2"/>
      <c r="W13" s="2"/>
      <c r="X13" s="2"/>
    </row>
    <row r="14">
      <c r="A14" s="16">
        <v>9.0</v>
      </c>
      <c r="B14" s="17" t="s">
        <v>62</v>
      </c>
      <c r="C14" s="17" t="s">
        <v>58</v>
      </c>
      <c r="D14" s="17" t="s">
        <v>1</v>
      </c>
      <c r="E14" s="18" t="s">
        <v>28</v>
      </c>
      <c r="F14" s="19">
        <v>44621.0</v>
      </c>
      <c r="G14" s="19">
        <v>44621.0</v>
      </c>
      <c r="H14" s="20" t="str">
        <f t="shared" si="1"/>
        <v>3 years 9 months</v>
      </c>
      <c r="I14" s="26">
        <v>200000.0</v>
      </c>
      <c r="J14" s="45" t="s">
        <v>63</v>
      </c>
      <c r="K14" s="18" t="s">
        <v>52</v>
      </c>
      <c r="L14" s="34"/>
      <c r="M14" s="46">
        <v>0.1</v>
      </c>
      <c r="N14" s="35"/>
      <c r="O14" s="34"/>
      <c r="P14" s="36">
        <f t="shared" si="2"/>
        <v>0</v>
      </c>
      <c r="Q14" s="37">
        <f t="shared" si="3"/>
        <v>0</v>
      </c>
      <c r="R14" s="26">
        <f t="shared" si="4"/>
        <v>200000</v>
      </c>
      <c r="S14" s="2"/>
      <c r="U14" s="47" t="s">
        <v>64</v>
      </c>
      <c r="V14" s="48" t="s">
        <v>65</v>
      </c>
      <c r="W14" s="49"/>
      <c r="X14" s="2"/>
    </row>
    <row r="15">
      <c r="A15" s="16">
        <v>10.0</v>
      </c>
      <c r="B15" s="17" t="s">
        <v>66</v>
      </c>
      <c r="C15" s="17" t="s">
        <v>58</v>
      </c>
      <c r="D15" s="17" t="s">
        <v>1</v>
      </c>
      <c r="E15" s="18" t="s">
        <v>28</v>
      </c>
      <c r="F15" s="19">
        <v>44774.0</v>
      </c>
      <c r="G15" s="19">
        <v>44774.0</v>
      </c>
      <c r="H15" s="20" t="str">
        <f t="shared" si="1"/>
        <v>3 years 4 months</v>
      </c>
      <c r="I15" s="26">
        <v>240000.0</v>
      </c>
      <c r="J15" s="21" t="s">
        <v>67</v>
      </c>
      <c r="K15" s="18" t="s">
        <v>52</v>
      </c>
      <c r="L15" s="34"/>
      <c r="M15" s="35"/>
      <c r="N15" s="35"/>
      <c r="O15" s="34"/>
      <c r="P15" s="36">
        <f t="shared" si="2"/>
        <v>0</v>
      </c>
      <c r="Q15" s="37">
        <f t="shared" si="3"/>
        <v>0</v>
      </c>
      <c r="R15" s="26">
        <f t="shared" si="4"/>
        <v>240000</v>
      </c>
      <c r="S15" s="2"/>
      <c r="U15" s="30"/>
      <c r="V15" s="50"/>
      <c r="W15" s="51"/>
      <c r="X15" s="2"/>
    </row>
    <row r="16">
      <c r="A16" s="16">
        <v>11.0</v>
      </c>
      <c r="B16" s="17" t="s">
        <v>68</v>
      </c>
      <c r="C16" s="17" t="s">
        <v>58</v>
      </c>
      <c r="D16" s="17" t="s">
        <v>1</v>
      </c>
      <c r="E16" s="18" t="s">
        <v>28</v>
      </c>
      <c r="F16" s="19">
        <v>44927.0</v>
      </c>
      <c r="G16" s="19">
        <v>44927.0</v>
      </c>
      <c r="H16" s="20" t="str">
        <f t="shared" si="1"/>
        <v>2 years 11 months</v>
      </c>
      <c r="I16" s="26">
        <v>180000.0</v>
      </c>
      <c r="J16" s="45" t="s">
        <v>67</v>
      </c>
      <c r="K16" s="18" t="s">
        <v>52</v>
      </c>
      <c r="L16" s="34"/>
      <c r="M16" s="46">
        <v>0.08</v>
      </c>
      <c r="N16" s="35"/>
      <c r="O16" s="34"/>
      <c r="P16" s="36">
        <f t="shared" si="2"/>
        <v>0</v>
      </c>
      <c r="Q16" s="37">
        <f t="shared" si="3"/>
        <v>0</v>
      </c>
      <c r="R16" s="26">
        <f t="shared" si="4"/>
        <v>180000</v>
      </c>
      <c r="S16" s="2"/>
      <c r="U16" s="30"/>
      <c r="V16" s="52"/>
      <c r="W16" s="53"/>
      <c r="X16" s="2"/>
    </row>
    <row r="17">
      <c r="A17" s="16">
        <v>12.0</v>
      </c>
      <c r="B17" s="17" t="s">
        <v>69</v>
      </c>
      <c r="C17" s="17" t="s">
        <v>58</v>
      </c>
      <c r="D17" s="17" t="s">
        <v>1</v>
      </c>
      <c r="E17" s="18" t="s">
        <v>28</v>
      </c>
      <c r="F17" s="19">
        <v>44958.0</v>
      </c>
      <c r="G17" s="19">
        <v>44958.0</v>
      </c>
      <c r="H17" s="20" t="str">
        <f t="shared" si="1"/>
        <v>2 years 10 months</v>
      </c>
      <c r="I17" s="26">
        <v>200000.0</v>
      </c>
      <c r="J17" s="45" t="s">
        <v>67</v>
      </c>
      <c r="K17" s="18" t="s">
        <v>52</v>
      </c>
      <c r="L17" s="34"/>
      <c r="M17" s="35"/>
      <c r="N17" s="35"/>
      <c r="O17" s="34"/>
      <c r="P17" s="36">
        <f t="shared" si="2"/>
        <v>0</v>
      </c>
      <c r="Q17" s="37">
        <f t="shared" si="3"/>
        <v>0</v>
      </c>
      <c r="R17" s="26">
        <f t="shared" si="4"/>
        <v>200000</v>
      </c>
      <c r="S17" s="2"/>
      <c r="U17" s="30"/>
      <c r="V17" s="54" t="s">
        <v>70</v>
      </c>
      <c r="W17" s="49"/>
      <c r="X17" s="2"/>
    </row>
    <row r="18">
      <c r="A18" s="16">
        <v>13.0</v>
      </c>
      <c r="B18" s="17" t="s">
        <v>71</v>
      </c>
      <c r="C18" s="17" t="s">
        <v>58</v>
      </c>
      <c r="D18" s="17" t="s">
        <v>1</v>
      </c>
      <c r="E18" s="18" t="s">
        <v>28</v>
      </c>
      <c r="F18" s="19">
        <v>44562.0</v>
      </c>
      <c r="G18" s="19">
        <v>44562.0</v>
      </c>
      <c r="H18" s="20" t="str">
        <f t="shared" si="1"/>
        <v>3 years 11 months</v>
      </c>
      <c r="I18" s="26">
        <v>290000.0</v>
      </c>
      <c r="J18" s="45" t="s">
        <v>63</v>
      </c>
      <c r="K18" s="18" t="s">
        <v>52</v>
      </c>
      <c r="L18" s="34"/>
      <c r="M18" s="35"/>
      <c r="N18" s="35"/>
      <c r="O18" s="34"/>
      <c r="P18" s="36">
        <f t="shared" si="2"/>
        <v>0</v>
      </c>
      <c r="Q18" s="37">
        <f t="shared" si="3"/>
        <v>0</v>
      </c>
      <c r="R18" s="26">
        <f t="shared" si="4"/>
        <v>290000</v>
      </c>
      <c r="S18" s="2"/>
      <c r="U18" s="30"/>
      <c r="V18" s="50"/>
      <c r="W18" s="51"/>
      <c r="X18" s="2"/>
    </row>
    <row r="19">
      <c r="A19" s="16">
        <v>14.0</v>
      </c>
      <c r="B19" s="17" t="s">
        <v>72</v>
      </c>
      <c r="C19" s="17" t="s">
        <v>58</v>
      </c>
      <c r="D19" s="17" t="s">
        <v>1</v>
      </c>
      <c r="E19" s="18" t="s">
        <v>73</v>
      </c>
      <c r="F19" s="19">
        <v>44562.0</v>
      </c>
      <c r="G19" s="19">
        <v>44562.0</v>
      </c>
      <c r="H19" s="20" t="str">
        <f t="shared" si="1"/>
        <v>3 years 11 months</v>
      </c>
      <c r="I19" s="26">
        <v>270000.0</v>
      </c>
      <c r="J19" s="21" t="s">
        <v>63</v>
      </c>
      <c r="K19" s="18" t="s">
        <v>52</v>
      </c>
      <c r="L19" s="34"/>
      <c r="M19" s="35"/>
      <c r="N19" s="35"/>
      <c r="O19" s="34"/>
      <c r="P19" s="36">
        <f t="shared" si="2"/>
        <v>0</v>
      </c>
      <c r="Q19" s="37">
        <f t="shared" si="3"/>
        <v>0</v>
      </c>
      <c r="R19" s="26">
        <f t="shared" si="4"/>
        <v>270000</v>
      </c>
      <c r="S19" s="2"/>
      <c r="U19" s="30"/>
      <c r="V19" s="52"/>
      <c r="W19" s="53"/>
      <c r="X19" s="2"/>
    </row>
    <row r="20">
      <c r="A20" s="16">
        <v>15.0</v>
      </c>
      <c r="B20" s="17" t="s">
        <v>74</v>
      </c>
      <c r="C20" s="17" t="s">
        <v>75</v>
      </c>
      <c r="D20" s="17" t="s">
        <v>1</v>
      </c>
      <c r="E20" s="18" t="s">
        <v>28</v>
      </c>
      <c r="F20" s="19">
        <v>44348.0</v>
      </c>
      <c r="G20" s="19">
        <v>44348.0</v>
      </c>
      <c r="H20" s="20" t="str">
        <f t="shared" si="1"/>
        <v>4 years 6 months</v>
      </c>
      <c r="I20" s="26">
        <v>150000.0</v>
      </c>
      <c r="J20" s="21" t="s">
        <v>59</v>
      </c>
      <c r="K20" s="18" t="s">
        <v>52</v>
      </c>
      <c r="L20" s="34"/>
      <c r="M20" s="46">
        <v>0.08</v>
      </c>
      <c r="N20" s="35"/>
      <c r="O20" s="34"/>
      <c r="P20" s="36">
        <f t="shared" si="2"/>
        <v>0</v>
      </c>
      <c r="Q20" s="37">
        <f t="shared" si="3"/>
        <v>0</v>
      </c>
      <c r="R20" s="26">
        <f t="shared" si="4"/>
        <v>150000</v>
      </c>
      <c r="S20" s="2"/>
      <c r="U20" s="30"/>
      <c r="V20" s="55" t="s">
        <v>76</v>
      </c>
      <c r="W20" s="49"/>
      <c r="X20" s="2"/>
    </row>
    <row r="21">
      <c r="A21" s="16">
        <v>16.0</v>
      </c>
      <c r="B21" s="17" t="s">
        <v>77</v>
      </c>
      <c r="C21" s="17" t="s">
        <v>78</v>
      </c>
      <c r="D21" s="17" t="s">
        <v>1</v>
      </c>
      <c r="E21" s="18" t="s">
        <v>73</v>
      </c>
      <c r="F21" s="19">
        <v>44044.0</v>
      </c>
      <c r="G21" s="19">
        <v>44044.0</v>
      </c>
      <c r="H21" s="20" t="str">
        <f t="shared" si="1"/>
        <v>5 years 4 months</v>
      </c>
      <c r="I21" s="26">
        <v>280000.0</v>
      </c>
      <c r="J21" s="21" t="s">
        <v>51</v>
      </c>
      <c r="K21" s="18" t="s">
        <v>52</v>
      </c>
      <c r="L21" s="34"/>
      <c r="M21" s="35"/>
      <c r="N21" s="35"/>
      <c r="O21" s="34"/>
      <c r="P21" s="36">
        <f t="shared" si="2"/>
        <v>0</v>
      </c>
      <c r="Q21" s="37">
        <f t="shared" si="3"/>
        <v>0</v>
      </c>
      <c r="R21" s="26">
        <f t="shared" si="4"/>
        <v>280000</v>
      </c>
      <c r="S21" s="2"/>
      <c r="U21" s="30"/>
      <c r="V21" s="50"/>
      <c r="W21" s="51"/>
      <c r="X21" s="2"/>
    </row>
    <row r="22">
      <c r="A22" s="16">
        <v>17.0</v>
      </c>
      <c r="B22" s="17" t="s">
        <v>79</v>
      </c>
      <c r="C22" s="17" t="s">
        <v>80</v>
      </c>
      <c r="D22" s="17" t="s">
        <v>1</v>
      </c>
      <c r="E22" s="18" t="s">
        <v>73</v>
      </c>
      <c r="F22" s="19">
        <v>44348.0</v>
      </c>
      <c r="G22" s="19">
        <v>44348.0</v>
      </c>
      <c r="H22" s="20" t="str">
        <f t="shared" si="1"/>
        <v>4 years 6 months</v>
      </c>
      <c r="I22" s="26">
        <v>190000.0</v>
      </c>
      <c r="J22" s="21" t="s">
        <v>59</v>
      </c>
      <c r="K22" s="18" t="s">
        <v>52</v>
      </c>
      <c r="L22" s="34"/>
      <c r="M22" s="35"/>
      <c r="N22" s="35"/>
      <c r="O22" s="34"/>
      <c r="P22" s="36">
        <f t="shared" si="2"/>
        <v>0</v>
      </c>
      <c r="Q22" s="37">
        <f t="shared" si="3"/>
        <v>0</v>
      </c>
      <c r="R22" s="26">
        <f t="shared" si="4"/>
        <v>190000</v>
      </c>
      <c r="S22" s="2"/>
      <c r="U22" s="43"/>
      <c r="V22" s="52"/>
      <c r="W22" s="53"/>
      <c r="X22" s="2"/>
    </row>
    <row r="23">
      <c r="A23" s="56">
        <v>17.0</v>
      </c>
      <c r="B23" s="57"/>
      <c r="H23" s="58"/>
      <c r="I23" s="58">
        <f>sum(I8:I22)</f>
        <v>3937000</v>
      </c>
      <c r="J23" s="59"/>
      <c r="K23" s="57"/>
      <c r="Q23" s="60">
        <f t="shared" ref="Q23:R23" si="5">sum(Q8:Q22)</f>
        <v>101920</v>
      </c>
      <c r="R23" s="61">
        <f t="shared" si="5"/>
        <v>4038920</v>
      </c>
      <c r="S23" s="2"/>
      <c r="U23" s="2"/>
      <c r="V23" s="2"/>
      <c r="W23" s="2"/>
      <c r="X23" s="2"/>
    </row>
    <row r="24">
      <c r="A24" s="15" t="s">
        <v>81</v>
      </c>
      <c r="S24" s="2"/>
      <c r="U24" s="2"/>
      <c r="V24" s="2"/>
      <c r="W24" s="2"/>
      <c r="X24" s="2"/>
    </row>
    <row r="25">
      <c r="A25" s="40">
        <v>1.0</v>
      </c>
      <c r="B25" s="17" t="s">
        <v>82</v>
      </c>
      <c r="C25" s="17" t="s">
        <v>83</v>
      </c>
      <c r="D25" s="17" t="s">
        <v>1</v>
      </c>
      <c r="E25" s="18" t="s">
        <v>73</v>
      </c>
      <c r="F25" s="19">
        <v>43497.0</v>
      </c>
      <c r="G25" s="19">
        <v>43497.0</v>
      </c>
      <c r="H25" s="20" t="str">
        <f t="shared" ref="H25:H28" si="6">DATEDIF(G25, TODAY(), "y") &amp; " years " &amp; DATEDIF(G25, TODAY(), "ym") &amp; " months"
</f>
        <v>6 years 10 months</v>
      </c>
      <c r="I25" s="20">
        <v>480000.0</v>
      </c>
      <c r="J25" s="62" t="s">
        <v>84</v>
      </c>
      <c r="K25" s="18" t="s">
        <v>52</v>
      </c>
      <c r="L25" s="34"/>
      <c r="M25" s="35"/>
      <c r="N25" s="35"/>
      <c r="O25" s="34"/>
      <c r="P25" s="36">
        <f t="shared" ref="P25:P28" si="7">(N25/6)*O25</f>
        <v>0</v>
      </c>
      <c r="Q25" s="37">
        <f t="shared" ref="Q25:Q28" si="8">sum(I25*P25)</f>
        <v>0</v>
      </c>
      <c r="R25" s="26">
        <f t="shared" ref="R25:R28" si="9">sum(I25,Q25)</f>
        <v>480000</v>
      </c>
      <c r="S25" s="2"/>
      <c r="U25" s="63"/>
      <c r="V25" s="2" t="s">
        <v>85</v>
      </c>
      <c r="X25" s="2"/>
    </row>
    <row r="26">
      <c r="A26" s="40">
        <v>2.0</v>
      </c>
      <c r="B26" s="17" t="s">
        <v>86</v>
      </c>
      <c r="C26" s="17" t="s">
        <v>83</v>
      </c>
      <c r="D26" s="17" t="s">
        <v>1</v>
      </c>
      <c r="E26" s="18" t="s">
        <v>28</v>
      </c>
      <c r="F26" s="19">
        <v>42736.0</v>
      </c>
      <c r="G26" s="19">
        <v>42736.0</v>
      </c>
      <c r="H26" s="20" t="str">
        <f t="shared" si="6"/>
        <v>8 years 11 months</v>
      </c>
      <c r="I26" s="20">
        <v>400000.0</v>
      </c>
      <c r="J26" s="21" t="s">
        <v>87</v>
      </c>
      <c r="K26" s="18" t="s">
        <v>30</v>
      </c>
      <c r="L26" s="22" t="s">
        <v>88</v>
      </c>
      <c r="M26" s="18" t="s">
        <v>32</v>
      </c>
      <c r="N26" s="29">
        <v>0.08</v>
      </c>
      <c r="O26" s="22" t="s">
        <v>33</v>
      </c>
      <c r="P26" s="25">
        <f t="shared" si="7"/>
        <v>0.08</v>
      </c>
      <c r="Q26" s="26">
        <f t="shared" si="8"/>
        <v>32000</v>
      </c>
      <c r="R26" s="26">
        <f t="shared" si="9"/>
        <v>432000</v>
      </c>
      <c r="S26" s="2"/>
      <c r="U26" s="64"/>
      <c r="V26" s="2" t="s">
        <v>89</v>
      </c>
      <c r="X26" s="2"/>
    </row>
    <row r="27">
      <c r="A27" s="40">
        <v>3.0</v>
      </c>
      <c r="B27" s="17" t="s">
        <v>90</v>
      </c>
      <c r="C27" s="65" t="s">
        <v>91</v>
      </c>
      <c r="D27" s="17" t="s">
        <v>1</v>
      </c>
      <c r="E27" s="18" t="s">
        <v>28</v>
      </c>
      <c r="F27" s="19">
        <v>45413.0</v>
      </c>
      <c r="G27" s="19">
        <v>45413.0</v>
      </c>
      <c r="H27" s="20" t="str">
        <f t="shared" si="6"/>
        <v>1 years 7 months</v>
      </c>
      <c r="I27" s="26">
        <v>85500.0</v>
      </c>
      <c r="J27" s="45" t="s">
        <v>92</v>
      </c>
      <c r="K27" s="18" t="s">
        <v>30</v>
      </c>
      <c r="L27" s="22" t="s">
        <v>93</v>
      </c>
      <c r="M27" s="29">
        <v>0.12</v>
      </c>
      <c r="N27" s="66">
        <v>0.1</v>
      </c>
      <c r="O27" s="22" t="s">
        <v>33</v>
      </c>
      <c r="P27" s="25">
        <f t="shared" si="7"/>
        <v>0.1</v>
      </c>
      <c r="Q27" s="26">
        <f t="shared" si="8"/>
        <v>8550</v>
      </c>
      <c r="R27" s="26">
        <f t="shared" si="9"/>
        <v>94050</v>
      </c>
      <c r="S27" s="2"/>
      <c r="U27" s="34"/>
      <c r="V27" s="2" t="s">
        <v>94</v>
      </c>
      <c r="X27" s="2"/>
    </row>
    <row r="28">
      <c r="A28" s="40">
        <v>4.0</v>
      </c>
      <c r="B28" s="17" t="s">
        <v>95</v>
      </c>
      <c r="C28" s="17" t="s">
        <v>96</v>
      </c>
      <c r="D28" s="17" t="s">
        <v>1</v>
      </c>
      <c r="E28" s="18" t="s">
        <v>73</v>
      </c>
      <c r="F28" s="19">
        <v>38565.0</v>
      </c>
      <c r="G28" s="19">
        <v>40909.0</v>
      </c>
      <c r="H28" s="20" t="str">
        <f t="shared" si="6"/>
        <v>13 years 11 months</v>
      </c>
      <c r="I28" s="26">
        <v>500000.0</v>
      </c>
      <c r="J28" s="21" t="s">
        <v>97</v>
      </c>
      <c r="K28" s="18" t="s">
        <v>52</v>
      </c>
      <c r="L28" s="34"/>
      <c r="M28" s="35"/>
      <c r="N28" s="35"/>
      <c r="O28" s="34"/>
      <c r="P28" s="36">
        <f t="shared" si="7"/>
        <v>0</v>
      </c>
      <c r="Q28" s="37">
        <f t="shared" si="8"/>
        <v>0</v>
      </c>
      <c r="R28" s="26">
        <f t="shared" si="9"/>
        <v>500000</v>
      </c>
      <c r="S28" s="2"/>
      <c r="W28" s="2"/>
      <c r="X28" s="2"/>
    </row>
    <row r="29">
      <c r="A29" s="56">
        <v>4.0</v>
      </c>
      <c r="B29" s="57"/>
      <c r="H29" s="67"/>
      <c r="I29" s="67">
        <f>SUM(I25:I28)</f>
        <v>1465500</v>
      </c>
      <c r="J29" s="68"/>
      <c r="K29" s="57"/>
      <c r="Q29" s="60">
        <f t="shared" ref="Q29:R29" si="10">sum(Q25:Q28)</f>
        <v>40550</v>
      </c>
      <c r="R29" s="60">
        <f t="shared" si="10"/>
        <v>1506050</v>
      </c>
      <c r="S29" s="2"/>
      <c r="W29" s="2"/>
      <c r="X29" s="2"/>
    </row>
    <row r="30">
      <c r="A30" s="69" t="s">
        <v>98</v>
      </c>
      <c r="S30" s="2"/>
      <c r="W30" s="2"/>
      <c r="X30" s="2"/>
    </row>
    <row r="31">
      <c r="A31" s="40">
        <v>1.0</v>
      </c>
      <c r="B31" s="17" t="s">
        <v>99</v>
      </c>
      <c r="C31" s="17" t="s">
        <v>100</v>
      </c>
      <c r="D31" s="17" t="s">
        <v>1</v>
      </c>
      <c r="E31" s="18" t="s">
        <v>28</v>
      </c>
      <c r="F31" s="19">
        <v>43586.0</v>
      </c>
      <c r="G31" s="19">
        <v>43586.0</v>
      </c>
      <c r="H31" s="20" t="str">
        <f t="shared" ref="H31:H35" si="11">DATEDIF(G31, TODAY(), "y") &amp; " years " &amp; DATEDIF(G31, TODAY(), "ym") &amp; " months"
</f>
        <v>6 years 7 months</v>
      </c>
      <c r="I31" s="20">
        <v>225760.0</v>
      </c>
      <c r="J31" s="21" t="s">
        <v>101</v>
      </c>
      <c r="K31" s="18" t="s">
        <v>30</v>
      </c>
      <c r="L31" s="22" t="s">
        <v>102</v>
      </c>
      <c r="M31" s="29">
        <v>0.08</v>
      </c>
      <c r="N31" s="29">
        <v>0.08</v>
      </c>
      <c r="O31" s="22" t="s">
        <v>33</v>
      </c>
      <c r="P31" s="25">
        <f>(N31/6)*O31</f>
        <v>0.08</v>
      </c>
      <c r="Q31" s="26">
        <f>sum(I31*P31)</f>
        <v>18060.8</v>
      </c>
      <c r="R31" s="26">
        <f t="shared" ref="R31:R35" si="12">sum(I31,Q31)</f>
        <v>243820.8</v>
      </c>
      <c r="S31" s="2"/>
      <c r="T31" s="2"/>
      <c r="U31" s="2"/>
      <c r="V31" s="2"/>
      <c r="W31" s="2"/>
      <c r="X31" s="2"/>
    </row>
    <row r="32">
      <c r="A32" s="40">
        <v>2.0</v>
      </c>
      <c r="B32" s="17" t="s">
        <v>103</v>
      </c>
      <c r="C32" s="17" t="s">
        <v>104</v>
      </c>
      <c r="D32" s="17" t="s">
        <v>1</v>
      </c>
      <c r="E32" s="18" t="s">
        <v>28</v>
      </c>
      <c r="F32" s="19">
        <v>45108.0</v>
      </c>
      <c r="G32" s="19">
        <v>45200.0</v>
      </c>
      <c r="H32" s="20" t="str">
        <f t="shared" si="11"/>
        <v>2 years 2 months</v>
      </c>
      <c r="I32" s="70">
        <v>125000.0</v>
      </c>
      <c r="J32" s="45" t="s">
        <v>105</v>
      </c>
      <c r="K32" s="18" t="s">
        <v>52</v>
      </c>
      <c r="L32" s="34"/>
      <c r="M32" s="35"/>
      <c r="N32" s="35"/>
      <c r="O32" s="34"/>
      <c r="P32" s="71"/>
      <c r="Q32" s="37"/>
      <c r="R32" s="26">
        <f t="shared" si="12"/>
        <v>125000</v>
      </c>
      <c r="S32" s="2"/>
      <c r="T32" s="2"/>
      <c r="U32" s="2"/>
      <c r="V32" s="2"/>
      <c r="W32" s="2"/>
      <c r="X32" s="2"/>
    </row>
    <row r="33">
      <c r="A33" s="40">
        <v>3.0</v>
      </c>
      <c r="B33" s="17" t="s">
        <v>106</v>
      </c>
      <c r="C33" s="17" t="s">
        <v>100</v>
      </c>
      <c r="D33" s="17" t="s">
        <v>1</v>
      </c>
      <c r="E33" s="18" t="s">
        <v>28</v>
      </c>
      <c r="F33" s="19">
        <v>44682.0</v>
      </c>
      <c r="G33" s="19">
        <v>44682.0</v>
      </c>
      <c r="H33" s="20" t="str">
        <f t="shared" si="11"/>
        <v>3 years 7 months</v>
      </c>
      <c r="I33" s="70">
        <v>125000.0</v>
      </c>
      <c r="J33" s="45" t="s">
        <v>107</v>
      </c>
      <c r="K33" s="18" t="s">
        <v>52</v>
      </c>
      <c r="L33" s="34"/>
      <c r="M33" s="35"/>
      <c r="N33" s="35"/>
      <c r="O33" s="34"/>
      <c r="P33" s="71"/>
      <c r="Q33" s="37"/>
      <c r="R33" s="26">
        <f t="shared" si="12"/>
        <v>125000</v>
      </c>
      <c r="S33" s="2"/>
      <c r="T33" s="2"/>
      <c r="U33" s="2"/>
      <c r="V33" s="2"/>
      <c r="W33" s="2"/>
      <c r="X33" s="2"/>
    </row>
    <row r="34">
      <c r="A34" s="40">
        <v>4.0</v>
      </c>
      <c r="B34" s="17" t="s">
        <v>108</v>
      </c>
      <c r="C34" s="17" t="s">
        <v>100</v>
      </c>
      <c r="D34" s="17" t="s">
        <v>1</v>
      </c>
      <c r="E34" s="18" t="s">
        <v>28</v>
      </c>
      <c r="F34" s="19">
        <v>44378.0</v>
      </c>
      <c r="G34" s="19">
        <v>44378.0</v>
      </c>
      <c r="H34" s="20" t="str">
        <f t="shared" si="11"/>
        <v>4 years 5 months</v>
      </c>
      <c r="I34" s="72">
        <v>130000.0</v>
      </c>
      <c r="J34" s="45" t="s">
        <v>109</v>
      </c>
      <c r="K34" s="18" t="s">
        <v>52</v>
      </c>
      <c r="L34" s="34"/>
      <c r="M34" s="73"/>
      <c r="N34" s="35"/>
      <c r="O34" s="34"/>
      <c r="P34" s="71"/>
      <c r="Q34" s="37"/>
      <c r="R34" s="26">
        <f t="shared" si="12"/>
        <v>130000</v>
      </c>
      <c r="S34" s="2"/>
      <c r="T34" s="2"/>
      <c r="U34" s="2"/>
      <c r="V34" s="2"/>
      <c r="W34" s="2"/>
      <c r="X34" s="2"/>
    </row>
    <row r="35">
      <c r="A35" s="40">
        <v>5.0</v>
      </c>
      <c r="B35" s="17" t="s">
        <v>110</v>
      </c>
      <c r="C35" s="17" t="s">
        <v>111</v>
      </c>
      <c r="D35" s="17" t="s">
        <v>1</v>
      </c>
      <c r="E35" s="18" t="s">
        <v>73</v>
      </c>
      <c r="F35" s="19">
        <v>43101.0</v>
      </c>
      <c r="G35" s="19">
        <v>43101.0</v>
      </c>
      <c r="H35" s="20" t="str">
        <f t="shared" si="11"/>
        <v>7 years 11 months</v>
      </c>
      <c r="I35" s="20">
        <v>230000.0</v>
      </c>
      <c r="J35" s="21" t="s">
        <v>112</v>
      </c>
      <c r="K35" s="18" t="s">
        <v>52</v>
      </c>
      <c r="L35" s="34"/>
      <c r="M35" s="35"/>
      <c r="N35" s="35"/>
      <c r="O35" s="34"/>
      <c r="P35" s="36">
        <f>(N35/6)*O35</f>
        <v>0</v>
      </c>
      <c r="Q35" s="37">
        <f>sum(I35*P35)</f>
        <v>0</v>
      </c>
      <c r="R35" s="26">
        <f t="shared" si="12"/>
        <v>230000</v>
      </c>
      <c r="S35" s="2"/>
      <c r="T35" s="2"/>
      <c r="U35" s="2"/>
      <c r="V35" s="2"/>
      <c r="W35" s="2"/>
      <c r="X35" s="2"/>
    </row>
    <row r="36">
      <c r="A36" s="56">
        <v>5.0</v>
      </c>
      <c r="B36" s="57"/>
      <c r="H36" s="67"/>
      <c r="I36" s="67">
        <f>sum(I31:I35)</f>
        <v>835760</v>
      </c>
      <c r="J36" s="68"/>
      <c r="K36" s="57"/>
      <c r="Q36" s="60">
        <f>sum(Q31:Q35)</f>
        <v>18060.8</v>
      </c>
      <c r="R36" s="60">
        <f>SUM(R31:R35)</f>
        <v>853820.8</v>
      </c>
      <c r="S36" s="2"/>
      <c r="T36" s="2"/>
      <c r="U36" s="2"/>
      <c r="V36" s="2"/>
      <c r="W36" s="2"/>
      <c r="X36" s="2"/>
    </row>
    <row r="37">
      <c r="A37" s="15" t="s">
        <v>113</v>
      </c>
      <c r="S37" s="2"/>
      <c r="T37" s="2"/>
      <c r="U37" s="2"/>
      <c r="V37" s="2"/>
      <c r="W37" s="2"/>
      <c r="X37" s="2"/>
    </row>
    <row r="38">
      <c r="A38" s="40">
        <v>1.0</v>
      </c>
      <c r="B38" s="65" t="s">
        <v>114</v>
      </c>
      <c r="C38" s="65" t="s">
        <v>115</v>
      </c>
      <c r="D38" s="65" t="s">
        <v>1</v>
      </c>
      <c r="E38" s="18" t="s">
        <v>28</v>
      </c>
      <c r="F38" s="19">
        <v>42552.0</v>
      </c>
      <c r="G38" s="19">
        <v>43891.0</v>
      </c>
      <c r="H38" s="20" t="str">
        <f t="shared" ref="H38:H41" si="13">DATEDIF(G38, TODAY(), "y") &amp; " years " &amp; DATEDIF(G38, TODAY(), "ym") &amp; " months"
</f>
        <v>5 years 9 months</v>
      </c>
      <c r="I38" s="20">
        <v>450000.0</v>
      </c>
      <c r="J38" s="21" t="s">
        <v>116</v>
      </c>
      <c r="K38" s="18" t="s">
        <v>30</v>
      </c>
      <c r="L38" s="22" t="s">
        <v>117</v>
      </c>
      <c r="M38" s="29">
        <v>0.28</v>
      </c>
      <c r="N38" s="41"/>
      <c r="O38" s="24" t="s">
        <v>33</v>
      </c>
      <c r="P38" s="25">
        <f t="shared" ref="P38:P41" si="14">(N38/6)*O38</f>
        <v>0</v>
      </c>
      <c r="Q38" s="26">
        <f t="shared" ref="Q38:Q41" si="15">sum(I38*P38)</f>
        <v>0</v>
      </c>
      <c r="R38" s="26">
        <f t="shared" ref="R38:R41" si="16">sum(I38,Q38)</f>
        <v>450000</v>
      </c>
      <c r="S38" s="2"/>
      <c r="T38" s="2"/>
      <c r="U38" s="2"/>
      <c r="V38" s="2"/>
      <c r="W38" s="2"/>
      <c r="X38" s="2"/>
    </row>
    <row r="39">
      <c r="A39" s="40">
        <v>2.0</v>
      </c>
      <c r="B39" s="74" t="s">
        <v>118</v>
      </c>
      <c r="C39" s="74" t="s">
        <v>119</v>
      </c>
      <c r="D39" s="65" t="s">
        <v>1</v>
      </c>
      <c r="E39" s="75" t="s">
        <v>28</v>
      </c>
      <c r="F39" s="19">
        <v>44805.0</v>
      </c>
      <c r="G39" s="19">
        <v>44805.0</v>
      </c>
      <c r="H39" s="20" t="str">
        <f t="shared" si="13"/>
        <v>3 years 3 months</v>
      </c>
      <c r="I39" s="20">
        <v>140000.0</v>
      </c>
      <c r="J39" s="21" t="s">
        <v>120</v>
      </c>
      <c r="K39" s="18" t="s">
        <v>30</v>
      </c>
      <c r="L39" s="22" t="s">
        <v>121</v>
      </c>
      <c r="M39" s="29">
        <v>0.08</v>
      </c>
      <c r="N39" s="29">
        <v>0.06</v>
      </c>
      <c r="O39" s="22" t="s">
        <v>33</v>
      </c>
      <c r="P39" s="25">
        <f t="shared" si="14"/>
        <v>0.06</v>
      </c>
      <c r="Q39" s="26">
        <f t="shared" si="15"/>
        <v>8400</v>
      </c>
      <c r="R39" s="26">
        <f t="shared" si="16"/>
        <v>148400</v>
      </c>
      <c r="S39" s="2"/>
      <c r="T39" s="2"/>
      <c r="U39" s="2"/>
      <c r="V39" s="2"/>
      <c r="W39" s="2"/>
      <c r="X39" s="2"/>
    </row>
    <row r="40">
      <c r="A40" s="40">
        <v>3.0</v>
      </c>
      <c r="B40" s="74" t="s">
        <v>122</v>
      </c>
      <c r="C40" s="74" t="s">
        <v>123</v>
      </c>
      <c r="D40" s="65" t="s">
        <v>1</v>
      </c>
      <c r="E40" s="75" t="s">
        <v>28</v>
      </c>
      <c r="F40" s="19">
        <v>42552.0</v>
      </c>
      <c r="G40" s="19">
        <v>44044.0</v>
      </c>
      <c r="H40" s="20" t="str">
        <f t="shared" si="13"/>
        <v>5 years 4 months</v>
      </c>
      <c r="I40" s="20">
        <v>295000.0</v>
      </c>
      <c r="J40" s="21" t="s">
        <v>116</v>
      </c>
      <c r="K40" s="18" t="s">
        <v>30</v>
      </c>
      <c r="L40" s="22" t="s">
        <v>124</v>
      </c>
      <c r="M40" s="29">
        <v>0.05</v>
      </c>
      <c r="N40" s="29">
        <v>0.08</v>
      </c>
      <c r="O40" s="22" t="s">
        <v>33</v>
      </c>
      <c r="P40" s="25">
        <f t="shared" si="14"/>
        <v>0.08</v>
      </c>
      <c r="Q40" s="26">
        <f t="shared" si="15"/>
        <v>23600</v>
      </c>
      <c r="R40" s="26">
        <f t="shared" si="16"/>
        <v>318600</v>
      </c>
      <c r="S40" s="2"/>
      <c r="T40" s="2"/>
      <c r="U40" s="2"/>
      <c r="V40" s="2"/>
      <c r="W40" s="2"/>
      <c r="X40" s="2"/>
    </row>
    <row r="41">
      <c r="A41" s="40">
        <v>4.0</v>
      </c>
      <c r="B41" s="74" t="s">
        <v>125</v>
      </c>
      <c r="C41" s="74" t="s">
        <v>123</v>
      </c>
      <c r="D41" s="65" t="s">
        <v>1</v>
      </c>
      <c r="E41" s="75" t="s">
        <v>28</v>
      </c>
      <c r="F41" s="19">
        <v>43831.0</v>
      </c>
      <c r="G41" s="19">
        <v>43831.0</v>
      </c>
      <c r="H41" s="20" t="str">
        <f t="shared" si="13"/>
        <v>5 years 11 months</v>
      </c>
      <c r="I41" s="20">
        <v>220000.0</v>
      </c>
      <c r="J41" s="21" t="s">
        <v>116</v>
      </c>
      <c r="K41" s="18" t="s">
        <v>52</v>
      </c>
      <c r="L41" s="34"/>
      <c r="M41" s="35"/>
      <c r="N41" s="35"/>
      <c r="O41" s="34"/>
      <c r="P41" s="36">
        <f t="shared" si="14"/>
        <v>0</v>
      </c>
      <c r="Q41" s="37">
        <f t="shared" si="15"/>
        <v>0</v>
      </c>
      <c r="R41" s="26">
        <f t="shared" si="16"/>
        <v>220000</v>
      </c>
      <c r="S41" s="2"/>
      <c r="T41" s="2"/>
      <c r="U41" s="2"/>
      <c r="V41" s="2"/>
      <c r="W41" s="2"/>
      <c r="X41" s="2"/>
    </row>
    <row r="42">
      <c r="A42" s="56">
        <v>4.0</v>
      </c>
      <c r="B42" s="57"/>
      <c r="C42" s="57"/>
      <c r="D42" s="57"/>
      <c r="E42" s="57"/>
      <c r="F42" s="57"/>
      <c r="G42" s="57"/>
      <c r="H42" s="67"/>
      <c r="I42" s="67">
        <f>sum(I38:I41)</f>
        <v>1105000</v>
      </c>
      <c r="J42" s="68"/>
      <c r="K42" s="57"/>
      <c r="Q42" s="60">
        <f t="shared" ref="Q42:R42" si="17">sum(Q38:Q41)</f>
        <v>32000</v>
      </c>
      <c r="R42" s="60">
        <f t="shared" si="17"/>
        <v>1137000</v>
      </c>
      <c r="S42" s="2"/>
      <c r="T42" s="2"/>
      <c r="U42" s="2"/>
      <c r="V42" s="2"/>
      <c r="W42" s="2"/>
      <c r="X42" s="2"/>
    </row>
    <row r="43">
      <c r="A43" s="15" t="s">
        <v>126</v>
      </c>
      <c r="S43" s="2"/>
      <c r="T43" s="2"/>
      <c r="U43" s="2"/>
      <c r="V43" s="2"/>
      <c r="W43" s="2"/>
      <c r="X43" s="2"/>
    </row>
    <row r="44">
      <c r="A44" s="18">
        <v>1.0</v>
      </c>
      <c r="B44" s="65" t="s">
        <v>127</v>
      </c>
      <c r="C44" s="65" t="s">
        <v>128</v>
      </c>
      <c r="D44" s="65" t="s">
        <v>1</v>
      </c>
      <c r="E44" s="18" t="s">
        <v>28</v>
      </c>
      <c r="F44" s="19">
        <v>40575.0</v>
      </c>
      <c r="G44" s="19">
        <v>40575.0</v>
      </c>
      <c r="H44" s="20" t="str">
        <f>DATEDIF(G44, TODAY(), "y") &amp; " years " &amp; DATEDIF(G44, TODAY(), "ym") &amp; " months"
</f>
        <v>14 years 10 months</v>
      </c>
      <c r="I44" s="45">
        <v>480000.0</v>
      </c>
      <c r="J44" s="45" t="s">
        <v>129</v>
      </c>
      <c r="K44" s="18" t="s">
        <v>30</v>
      </c>
      <c r="L44" s="22" t="s">
        <v>32</v>
      </c>
      <c r="M44" s="18" t="s">
        <v>32</v>
      </c>
      <c r="N44" s="76"/>
      <c r="O44" s="22" t="s">
        <v>130</v>
      </c>
      <c r="P44" s="25">
        <f>(N44/6)*O44</f>
        <v>0</v>
      </c>
      <c r="Q44" s="26">
        <f>sum(I44*P44)</f>
        <v>0</v>
      </c>
      <c r="R44" s="26">
        <f>sum(I44,Q44)</f>
        <v>480000</v>
      </c>
      <c r="S44" s="2"/>
      <c r="T44" s="2"/>
      <c r="U44" s="2"/>
      <c r="V44" s="2"/>
      <c r="W44" s="2"/>
      <c r="X44" s="2"/>
    </row>
    <row r="45">
      <c r="A45" s="56">
        <v>1.0</v>
      </c>
      <c r="B45" s="57"/>
      <c r="H45" s="67"/>
      <c r="I45" s="67">
        <f>sum(I44)</f>
        <v>480000</v>
      </c>
      <c r="J45" s="59"/>
      <c r="K45" s="57"/>
      <c r="Q45" s="60">
        <f t="shared" ref="Q45:R45" si="18">sum(Q44)</f>
        <v>0</v>
      </c>
      <c r="R45" s="60">
        <f t="shared" si="18"/>
        <v>480000</v>
      </c>
      <c r="S45" s="2"/>
      <c r="W45" s="2"/>
      <c r="X45" s="2"/>
    </row>
    <row r="46">
      <c r="A46" s="77">
        <f>sum(A45,A42,A36,A29,A23)</f>
        <v>31</v>
      </c>
      <c r="B46" s="78"/>
      <c r="C46" s="78"/>
      <c r="D46" s="78"/>
      <c r="E46" s="78"/>
      <c r="F46" s="78"/>
      <c r="G46" s="78"/>
      <c r="H46" s="79"/>
      <c r="I46" s="79">
        <f>sum(I23,I29,I36,I42,I45)</f>
        <v>7823260</v>
      </c>
      <c r="J46" s="80"/>
      <c r="K46" s="78"/>
      <c r="L46" s="78"/>
      <c r="M46" s="78"/>
      <c r="N46" s="78"/>
      <c r="O46" s="78"/>
      <c r="P46" s="78"/>
      <c r="Q46" s="81">
        <f t="shared" ref="Q46:R46" si="19">sum(Q23,Q29,Q36,Q42,Q45)</f>
        <v>192530.8</v>
      </c>
      <c r="R46" s="79">
        <f t="shared" si="19"/>
        <v>8015790.8</v>
      </c>
      <c r="S46" s="2"/>
      <c r="W46" s="2"/>
      <c r="X46" s="2"/>
    </row>
    <row r="47">
      <c r="A47" s="82"/>
      <c r="S47" s="2"/>
      <c r="W47" s="2"/>
      <c r="X47" s="2"/>
    </row>
    <row r="48">
      <c r="A48" s="15" t="s">
        <v>131</v>
      </c>
      <c r="S48" s="2"/>
      <c r="W48" s="2"/>
      <c r="X48" s="2"/>
    </row>
    <row r="49">
      <c r="A49" s="18">
        <v>1.0</v>
      </c>
      <c r="B49" s="17" t="s">
        <v>132</v>
      </c>
      <c r="C49" s="17" t="s">
        <v>133</v>
      </c>
      <c r="D49" s="17" t="s">
        <v>134</v>
      </c>
      <c r="E49" s="18" t="s">
        <v>28</v>
      </c>
      <c r="F49" s="19">
        <v>43952.0</v>
      </c>
      <c r="G49" s="19">
        <v>43952.0</v>
      </c>
      <c r="H49" s="20" t="str">
        <f t="shared" ref="H49:H51" si="20">DATEDIF(G49, TODAY(), "y") &amp; " years " &amp; DATEDIF(G49, TODAY(), "ym") &amp; " months"
</f>
        <v>5 years 7 months</v>
      </c>
      <c r="I49" s="20">
        <v>200000.0</v>
      </c>
      <c r="J49" s="21" t="s">
        <v>135</v>
      </c>
      <c r="K49" s="18" t="s">
        <v>30</v>
      </c>
      <c r="L49" s="22" t="s">
        <v>121</v>
      </c>
      <c r="M49" s="18" t="s">
        <v>32</v>
      </c>
      <c r="N49" s="66">
        <v>0.08</v>
      </c>
      <c r="O49" s="24" t="s">
        <v>33</v>
      </c>
      <c r="P49" s="25">
        <f t="shared" ref="P49:P51" si="21">(N49/6)*O49</f>
        <v>0.08</v>
      </c>
      <c r="Q49" s="26">
        <f t="shared" ref="Q49:Q51" si="22">sum(I49*P49)</f>
        <v>16000</v>
      </c>
      <c r="R49" s="26">
        <f t="shared" ref="R49:R51" si="23">sum(I49,Q49)</f>
        <v>216000</v>
      </c>
      <c r="S49" s="2"/>
      <c r="W49" s="2"/>
      <c r="X49" s="2"/>
    </row>
    <row r="50">
      <c r="A50" s="18">
        <v>2.0</v>
      </c>
      <c r="B50" s="17" t="s">
        <v>136</v>
      </c>
      <c r="C50" s="17" t="s">
        <v>133</v>
      </c>
      <c r="D50" s="17" t="s">
        <v>134</v>
      </c>
      <c r="E50" s="18" t="s">
        <v>28</v>
      </c>
      <c r="F50" s="19">
        <v>44835.0</v>
      </c>
      <c r="G50" s="19">
        <v>44835.0</v>
      </c>
      <c r="H50" s="20" t="str">
        <f t="shared" si="20"/>
        <v>3 years 2 months</v>
      </c>
      <c r="I50" s="20">
        <v>120000.0</v>
      </c>
      <c r="J50" s="21" t="s">
        <v>137</v>
      </c>
      <c r="K50" s="18" t="s">
        <v>52</v>
      </c>
      <c r="L50" s="34"/>
      <c r="M50" s="35"/>
      <c r="N50" s="35"/>
      <c r="O50" s="34"/>
      <c r="P50" s="36">
        <f t="shared" si="21"/>
        <v>0</v>
      </c>
      <c r="Q50" s="37">
        <f t="shared" si="22"/>
        <v>0</v>
      </c>
      <c r="R50" s="26">
        <f t="shared" si="23"/>
        <v>120000</v>
      </c>
      <c r="S50" s="2"/>
      <c r="W50" s="2"/>
      <c r="X50" s="2"/>
    </row>
    <row r="51">
      <c r="A51" s="18">
        <v>3.0</v>
      </c>
      <c r="B51" s="17" t="s">
        <v>138</v>
      </c>
      <c r="C51" s="17" t="s">
        <v>133</v>
      </c>
      <c r="D51" s="17" t="s">
        <v>134</v>
      </c>
      <c r="E51" s="18" t="s">
        <v>73</v>
      </c>
      <c r="F51" s="19">
        <v>44743.0</v>
      </c>
      <c r="G51" s="19">
        <v>44743.0</v>
      </c>
      <c r="H51" s="20" t="str">
        <f t="shared" si="20"/>
        <v>3 years 5 months</v>
      </c>
      <c r="I51" s="20">
        <v>230000.0</v>
      </c>
      <c r="J51" s="21" t="s">
        <v>139</v>
      </c>
      <c r="K51" s="18" t="s">
        <v>52</v>
      </c>
      <c r="L51" s="34"/>
      <c r="M51" s="35"/>
      <c r="N51" s="35"/>
      <c r="O51" s="34"/>
      <c r="P51" s="36">
        <f t="shared" si="21"/>
        <v>0</v>
      </c>
      <c r="Q51" s="37">
        <f t="shared" si="22"/>
        <v>0</v>
      </c>
      <c r="R51" s="26">
        <f t="shared" si="23"/>
        <v>230000</v>
      </c>
      <c r="S51" s="2"/>
      <c r="W51" s="2"/>
      <c r="X51" s="2"/>
    </row>
    <row r="52">
      <c r="A52" s="56">
        <v>3.0</v>
      </c>
      <c r="B52" s="57"/>
      <c r="C52" s="57"/>
      <c r="D52" s="57"/>
      <c r="E52" s="57"/>
      <c r="F52" s="57"/>
      <c r="G52" s="57"/>
      <c r="H52" s="67"/>
      <c r="I52" s="67">
        <f>sum(I49:I51)</f>
        <v>550000</v>
      </c>
      <c r="J52" s="68"/>
      <c r="K52" s="57"/>
      <c r="Q52" s="60">
        <f t="shared" ref="Q52:R52" si="24">sum(Q49:Q51)</f>
        <v>16000</v>
      </c>
      <c r="R52" s="60">
        <f t="shared" si="24"/>
        <v>566000</v>
      </c>
      <c r="S52" s="2"/>
      <c r="W52" s="2"/>
      <c r="X52" s="2"/>
    </row>
    <row r="53">
      <c r="A53" s="15" t="s">
        <v>140</v>
      </c>
      <c r="S53" s="2"/>
      <c r="W53" s="2"/>
      <c r="X53" s="2"/>
    </row>
    <row r="54">
      <c r="A54" s="40">
        <v>1.0</v>
      </c>
      <c r="B54" s="17" t="s">
        <v>141</v>
      </c>
      <c r="C54" s="17" t="s">
        <v>142</v>
      </c>
      <c r="D54" s="17" t="s">
        <v>134</v>
      </c>
      <c r="E54" s="18" t="s">
        <v>28</v>
      </c>
      <c r="F54" s="19">
        <v>43252.0</v>
      </c>
      <c r="G54" s="19">
        <v>43252.0</v>
      </c>
      <c r="H54" s="20" t="str">
        <f t="shared" ref="H54:H57" si="25">DATEDIF(G54, TODAY(), "y") &amp; " years " &amp; DATEDIF(G54, TODAY(), "ym") &amp; " months"
</f>
        <v>7 years 6 months</v>
      </c>
      <c r="I54" s="20">
        <v>286667.0</v>
      </c>
      <c r="J54" s="21" t="s">
        <v>143</v>
      </c>
      <c r="K54" s="18" t="s">
        <v>30</v>
      </c>
      <c r="L54" s="22" t="s">
        <v>144</v>
      </c>
      <c r="M54" s="29">
        <v>0.08</v>
      </c>
      <c r="N54" s="66">
        <v>0.08</v>
      </c>
      <c r="O54" s="22" t="s">
        <v>33</v>
      </c>
      <c r="P54" s="25">
        <f t="shared" ref="P54:P61" si="26">(N54/6)*O54</f>
        <v>0.08</v>
      </c>
      <c r="Q54" s="26">
        <f t="shared" ref="Q54:Q61" si="27">sum(I54*P54)</f>
        <v>22933.36</v>
      </c>
      <c r="R54" s="26">
        <f t="shared" ref="R54:R61" si="28">sum(I54,Q54)</f>
        <v>309600.36</v>
      </c>
      <c r="S54" s="2"/>
      <c r="W54" s="2"/>
      <c r="X54" s="2"/>
    </row>
    <row r="55">
      <c r="A55" s="40">
        <v>2.0</v>
      </c>
      <c r="B55" s="17" t="s">
        <v>145</v>
      </c>
      <c r="C55" s="17" t="s">
        <v>58</v>
      </c>
      <c r="D55" s="17" t="s">
        <v>134</v>
      </c>
      <c r="E55" s="18" t="s">
        <v>28</v>
      </c>
      <c r="F55" s="19">
        <v>43525.0</v>
      </c>
      <c r="G55" s="19">
        <v>43922.0</v>
      </c>
      <c r="H55" s="20" t="str">
        <f t="shared" si="25"/>
        <v>5 years 8 months</v>
      </c>
      <c r="I55" s="26">
        <v>192500.0</v>
      </c>
      <c r="J55" s="21" t="s">
        <v>146</v>
      </c>
      <c r="K55" s="18" t="s">
        <v>30</v>
      </c>
      <c r="L55" s="22" t="s">
        <v>147</v>
      </c>
      <c r="M55" s="29">
        <v>0.1</v>
      </c>
      <c r="N55" s="29">
        <v>0.1</v>
      </c>
      <c r="O55" s="22" t="s">
        <v>33</v>
      </c>
      <c r="P55" s="25">
        <f t="shared" si="26"/>
        <v>0.1</v>
      </c>
      <c r="Q55" s="26">
        <f t="shared" si="27"/>
        <v>19250</v>
      </c>
      <c r="R55" s="26">
        <f t="shared" si="28"/>
        <v>211750</v>
      </c>
      <c r="S55" s="2"/>
      <c r="W55" s="2"/>
      <c r="X55" s="2"/>
    </row>
    <row r="56">
      <c r="A56" s="40">
        <v>3.0</v>
      </c>
      <c r="B56" s="17" t="s">
        <v>148</v>
      </c>
      <c r="C56" s="17" t="s">
        <v>58</v>
      </c>
      <c r="D56" s="17" t="s">
        <v>134</v>
      </c>
      <c r="E56" s="18" t="s">
        <v>28</v>
      </c>
      <c r="F56" s="19">
        <v>43101.0</v>
      </c>
      <c r="G56" s="19">
        <v>43101.0</v>
      </c>
      <c r="H56" s="20" t="str">
        <f t="shared" si="25"/>
        <v>7 years 11 months</v>
      </c>
      <c r="I56" s="26">
        <v>267500.0</v>
      </c>
      <c r="J56" s="21" t="s">
        <v>143</v>
      </c>
      <c r="K56" s="18" t="s">
        <v>30</v>
      </c>
      <c r="L56" s="22" t="s">
        <v>149</v>
      </c>
      <c r="M56" s="29">
        <v>0.07</v>
      </c>
      <c r="N56" s="29">
        <v>0.06</v>
      </c>
      <c r="O56" s="22" t="s">
        <v>33</v>
      </c>
      <c r="P56" s="25">
        <f t="shared" si="26"/>
        <v>0.06</v>
      </c>
      <c r="Q56" s="26">
        <f t="shared" si="27"/>
        <v>16050</v>
      </c>
      <c r="R56" s="26">
        <f t="shared" si="28"/>
        <v>283550</v>
      </c>
      <c r="S56" s="2"/>
      <c r="W56" s="2"/>
      <c r="X56" s="2"/>
    </row>
    <row r="57">
      <c r="A57" s="40">
        <v>4.0</v>
      </c>
      <c r="B57" s="17" t="s">
        <v>150</v>
      </c>
      <c r="C57" s="17" t="s">
        <v>151</v>
      </c>
      <c r="D57" s="17" t="s">
        <v>134</v>
      </c>
      <c r="E57" s="18" t="s">
        <v>28</v>
      </c>
      <c r="F57" s="19">
        <v>44986.0</v>
      </c>
      <c r="G57" s="19">
        <v>44986.0</v>
      </c>
      <c r="H57" s="20" t="str">
        <f t="shared" si="25"/>
        <v>2 years 9 months</v>
      </c>
      <c r="I57" s="26">
        <v>72800.0</v>
      </c>
      <c r="J57" s="21" t="s">
        <v>152</v>
      </c>
      <c r="K57" s="18" t="s">
        <v>30</v>
      </c>
      <c r="L57" s="22" t="s">
        <v>153</v>
      </c>
      <c r="M57" s="29">
        <v>0.09</v>
      </c>
      <c r="N57" s="29">
        <v>0.1</v>
      </c>
      <c r="O57" s="22" t="s">
        <v>33</v>
      </c>
      <c r="P57" s="25">
        <f t="shared" si="26"/>
        <v>0.1</v>
      </c>
      <c r="Q57" s="26">
        <f t="shared" si="27"/>
        <v>7280</v>
      </c>
      <c r="R57" s="26">
        <f t="shared" si="28"/>
        <v>80080</v>
      </c>
      <c r="S57" s="2"/>
      <c r="W57" s="2"/>
      <c r="X57" s="2"/>
    </row>
    <row r="58">
      <c r="A58" s="40">
        <v>5.0</v>
      </c>
      <c r="B58" s="17" t="s">
        <v>154</v>
      </c>
      <c r="C58" s="17" t="s">
        <v>58</v>
      </c>
      <c r="D58" s="17" t="s">
        <v>134</v>
      </c>
      <c r="E58" s="18" t="s">
        <v>155</v>
      </c>
      <c r="F58" s="83"/>
      <c r="G58" s="83"/>
      <c r="H58" s="70" t="s">
        <v>156</v>
      </c>
      <c r="I58" s="26">
        <v>110000.0</v>
      </c>
      <c r="J58" s="84"/>
      <c r="K58" s="18" t="s">
        <v>30</v>
      </c>
      <c r="L58" s="22" t="s">
        <v>157</v>
      </c>
      <c r="M58" s="18" t="s">
        <v>32</v>
      </c>
      <c r="N58" s="66">
        <v>0.1</v>
      </c>
      <c r="O58" s="22" t="s">
        <v>33</v>
      </c>
      <c r="P58" s="25">
        <f t="shared" si="26"/>
        <v>0.1</v>
      </c>
      <c r="Q58" s="26">
        <f t="shared" si="27"/>
        <v>11000</v>
      </c>
      <c r="R58" s="26">
        <f t="shared" si="28"/>
        <v>121000</v>
      </c>
      <c r="S58" s="2"/>
      <c r="W58" s="2"/>
      <c r="X58" s="2"/>
    </row>
    <row r="59">
      <c r="A59" s="40">
        <v>6.0</v>
      </c>
      <c r="B59" s="17" t="s">
        <v>158</v>
      </c>
      <c r="C59" s="17" t="s">
        <v>159</v>
      </c>
      <c r="D59" s="17" t="s">
        <v>134</v>
      </c>
      <c r="E59" s="18" t="s">
        <v>28</v>
      </c>
      <c r="F59" s="19">
        <v>44409.0</v>
      </c>
      <c r="G59" s="19">
        <v>44409.0</v>
      </c>
      <c r="H59" s="20" t="str">
        <f t="shared" ref="H59:H61" si="29">DATEDIF(G59, TODAY(), "y") &amp; " years " &amp; DATEDIF(G59, TODAY(), "ym") &amp; " months"
</f>
        <v>4 years 4 months</v>
      </c>
      <c r="I59" s="26">
        <v>130800.0</v>
      </c>
      <c r="J59" s="21" t="s">
        <v>160</v>
      </c>
      <c r="K59" s="18" t="s">
        <v>30</v>
      </c>
      <c r="L59" s="22" t="s">
        <v>161</v>
      </c>
      <c r="M59" s="29">
        <v>0.09</v>
      </c>
      <c r="N59" s="29">
        <v>0.1</v>
      </c>
      <c r="O59" s="22" t="s">
        <v>33</v>
      </c>
      <c r="P59" s="25">
        <f t="shared" si="26"/>
        <v>0.1</v>
      </c>
      <c r="Q59" s="26">
        <f t="shared" si="27"/>
        <v>13080</v>
      </c>
      <c r="R59" s="26">
        <f t="shared" si="28"/>
        <v>143880</v>
      </c>
      <c r="S59" s="2"/>
      <c r="W59" s="2"/>
      <c r="X59" s="2"/>
    </row>
    <row r="60">
      <c r="A60" s="40">
        <v>7.0</v>
      </c>
      <c r="B60" s="17" t="s">
        <v>162</v>
      </c>
      <c r="C60" s="17" t="s">
        <v>159</v>
      </c>
      <c r="D60" s="17" t="s">
        <v>134</v>
      </c>
      <c r="E60" s="18" t="s">
        <v>28</v>
      </c>
      <c r="F60" s="19">
        <v>43983.0</v>
      </c>
      <c r="G60" s="19">
        <v>43983.0</v>
      </c>
      <c r="H60" s="20" t="str">
        <f t="shared" si="29"/>
        <v>5 years 6 months</v>
      </c>
      <c r="I60" s="26">
        <v>218000.0</v>
      </c>
      <c r="J60" s="21" t="s">
        <v>146</v>
      </c>
      <c r="K60" s="18" t="s">
        <v>30</v>
      </c>
      <c r="L60" s="24" t="s">
        <v>163</v>
      </c>
      <c r="M60" s="29">
        <v>0.09</v>
      </c>
      <c r="N60" s="29">
        <v>0.06</v>
      </c>
      <c r="O60" s="22" t="s">
        <v>33</v>
      </c>
      <c r="P60" s="25">
        <f t="shared" si="26"/>
        <v>0.06</v>
      </c>
      <c r="Q60" s="26">
        <f t="shared" si="27"/>
        <v>13080</v>
      </c>
      <c r="R60" s="26">
        <f t="shared" si="28"/>
        <v>231080</v>
      </c>
      <c r="S60" s="2"/>
      <c r="W60" s="2"/>
      <c r="X60" s="2"/>
    </row>
    <row r="61">
      <c r="A61" s="40">
        <v>8.0</v>
      </c>
      <c r="B61" s="17" t="s">
        <v>164</v>
      </c>
      <c r="C61" s="17" t="s">
        <v>165</v>
      </c>
      <c r="D61" s="17" t="s">
        <v>134</v>
      </c>
      <c r="E61" s="18" t="s">
        <v>73</v>
      </c>
      <c r="F61" s="19">
        <v>44197.0</v>
      </c>
      <c r="G61" s="19">
        <v>44197.0</v>
      </c>
      <c r="H61" s="20" t="str">
        <f t="shared" si="29"/>
        <v>4 years 11 months</v>
      </c>
      <c r="I61" s="26">
        <v>120000.0</v>
      </c>
      <c r="J61" s="21" t="s">
        <v>160</v>
      </c>
      <c r="K61" s="18" t="s">
        <v>52</v>
      </c>
      <c r="L61" s="34"/>
      <c r="M61" s="35"/>
      <c r="N61" s="35"/>
      <c r="O61" s="34"/>
      <c r="P61" s="36">
        <f t="shared" si="26"/>
        <v>0</v>
      </c>
      <c r="Q61" s="37">
        <f t="shared" si="27"/>
        <v>0</v>
      </c>
      <c r="R61" s="26">
        <f t="shared" si="28"/>
        <v>120000</v>
      </c>
      <c r="S61" s="2"/>
      <c r="W61" s="2"/>
      <c r="X61" s="2"/>
    </row>
    <row r="62">
      <c r="A62" s="56">
        <v>8.0</v>
      </c>
      <c r="B62" s="57"/>
      <c r="H62" s="67"/>
      <c r="I62" s="67">
        <f>sum(I54:I61)</f>
        <v>1398267</v>
      </c>
      <c r="J62" s="68"/>
      <c r="K62" s="57"/>
      <c r="Q62" s="60">
        <f t="shared" ref="Q62:R62" si="30">sum(Q54:Q61)</f>
        <v>102673.36</v>
      </c>
      <c r="R62" s="60">
        <f t="shared" si="30"/>
        <v>1500940.36</v>
      </c>
      <c r="S62" s="2"/>
      <c r="W62" s="2"/>
      <c r="X62" s="2"/>
    </row>
    <row r="63">
      <c r="A63" s="77">
        <f>sum(A62,A52)</f>
        <v>11</v>
      </c>
      <c r="B63" s="78"/>
      <c r="C63" s="78"/>
      <c r="D63" s="78"/>
      <c r="E63" s="78"/>
      <c r="F63" s="78"/>
      <c r="G63" s="78"/>
      <c r="H63" s="81"/>
      <c r="I63" s="81">
        <f>sum(I62,I52)</f>
        <v>1948267</v>
      </c>
      <c r="J63" s="80"/>
      <c r="K63" s="78"/>
      <c r="L63" s="78"/>
      <c r="M63" s="78"/>
      <c r="N63" s="78"/>
      <c r="O63" s="78"/>
      <c r="P63" s="78"/>
      <c r="Q63" s="81">
        <f t="shared" ref="Q63:R63" si="31">sum(Q62,Q52)</f>
        <v>118673.36</v>
      </c>
      <c r="R63" s="81">
        <f t="shared" si="31"/>
        <v>2066940.36</v>
      </c>
      <c r="S63" s="2"/>
      <c r="W63" s="2"/>
      <c r="X63" s="2"/>
    </row>
    <row r="64">
      <c r="A64" s="85">
        <f>sum(A63,A46)</f>
        <v>42</v>
      </c>
      <c r="B64" s="2"/>
      <c r="C64" s="2"/>
      <c r="D64" s="2"/>
      <c r="E64" s="2"/>
      <c r="F64" s="2"/>
      <c r="G64" s="2"/>
      <c r="H64" s="86"/>
      <c r="I64" s="86">
        <f>sum(I63,I46)</f>
        <v>9771527</v>
      </c>
      <c r="J64" s="2"/>
      <c r="K64" s="2"/>
      <c r="L64" s="2"/>
      <c r="M64" s="2"/>
      <c r="N64" s="2"/>
      <c r="O64" s="2"/>
      <c r="P64" s="2"/>
      <c r="Q64" s="86">
        <f t="shared" ref="Q64:R64" si="32">sum(Q63,Q46)</f>
        <v>311204.16</v>
      </c>
      <c r="R64" s="86">
        <f t="shared" si="32"/>
        <v>10082731.16</v>
      </c>
      <c r="S64" s="2"/>
      <c r="W64" s="2"/>
      <c r="X64" s="2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W65" s="87"/>
      <c r="X65" s="87"/>
    </row>
    <row r="66">
      <c r="A66" s="88"/>
      <c r="S66" s="2"/>
      <c r="W66" s="2"/>
      <c r="X66" s="2"/>
    </row>
    <row r="67">
      <c r="A67" s="3" t="s">
        <v>166</v>
      </c>
      <c r="S67" s="2"/>
      <c r="T67" s="2"/>
      <c r="U67" s="2"/>
      <c r="V67" s="2"/>
      <c r="W67" s="2"/>
      <c r="X67" s="2"/>
    </row>
    <row r="68">
      <c r="A68" s="40">
        <v>1.0</v>
      </c>
      <c r="B68" s="17" t="s">
        <v>167</v>
      </c>
      <c r="C68" s="17" t="s">
        <v>38</v>
      </c>
      <c r="D68" s="17" t="s">
        <v>168</v>
      </c>
      <c r="E68" s="18" t="s">
        <v>28</v>
      </c>
      <c r="F68" s="19">
        <v>43831.0</v>
      </c>
      <c r="G68" s="19">
        <v>43831.0</v>
      </c>
      <c r="H68" s="20" t="str">
        <f t="shared" ref="H68:H73" si="33">DATEDIF(G68, TODAY(), "y") &amp; " years " &amp; DATEDIF(G68, TODAY(), "ym") &amp; " months"
</f>
        <v>5 years 11 months</v>
      </c>
      <c r="I68" s="26">
        <v>235750.0</v>
      </c>
      <c r="J68" s="26" t="s">
        <v>51</v>
      </c>
      <c r="K68" s="18" t="s">
        <v>30</v>
      </c>
      <c r="L68" s="22" t="s">
        <v>169</v>
      </c>
      <c r="M68" s="29">
        <v>0.1</v>
      </c>
      <c r="N68" s="33">
        <v>0.1</v>
      </c>
      <c r="O68" s="22" t="s">
        <v>33</v>
      </c>
      <c r="P68" s="25">
        <f t="shared" ref="P68:P73" si="34">(N68/6)*O68</f>
        <v>0.1</v>
      </c>
      <c r="Q68" s="26">
        <f t="shared" ref="Q68:Q73" si="35">sum(I68*P68)</f>
        <v>23575</v>
      </c>
      <c r="R68" s="26">
        <f t="shared" ref="R68:R73" si="36">sum(I68,Q68)</f>
        <v>259325</v>
      </c>
      <c r="S68" s="2"/>
      <c r="T68" s="2"/>
      <c r="U68" s="2"/>
      <c r="V68" s="2"/>
      <c r="W68" s="2"/>
      <c r="X68" s="2"/>
    </row>
    <row r="69">
      <c r="A69" s="40">
        <v>2.0</v>
      </c>
      <c r="B69" s="17" t="s">
        <v>170</v>
      </c>
      <c r="C69" s="17" t="s">
        <v>75</v>
      </c>
      <c r="D69" s="17" t="s">
        <v>168</v>
      </c>
      <c r="E69" s="18" t="s">
        <v>28</v>
      </c>
      <c r="F69" s="19">
        <v>44531.0</v>
      </c>
      <c r="G69" s="19">
        <v>44774.0</v>
      </c>
      <c r="H69" s="20" t="str">
        <f t="shared" si="33"/>
        <v>3 years 4 months</v>
      </c>
      <c r="I69" s="20">
        <v>149500.0</v>
      </c>
      <c r="J69" s="26" t="s">
        <v>63</v>
      </c>
      <c r="K69" s="18" t="s">
        <v>30</v>
      </c>
      <c r="L69" s="22" t="s">
        <v>171</v>
      </c>
      <c r="M69" s="29">
        <v>0.12</v>
      </c>
      <c r="N69" s="66">
        <v>0.1</v>
      </c>
      <c r="O69" s="22" t="s">
        <v>33</v>
      </c>
      <c r="P69" s="25">
        <f t="shared" si="34"/>
        <v>0.1</v>
      </c>
      <c r="Q69" s="26">
        <f t="shared" si="35"/>
        <v>14950</v>
      </c>
      <c r="R69" s="26">
        <f t="shared" si="36"/>
        <v>164450</v>
      </c>
      <c r="S69" s="2"/>
      <c r="T69" s="2"/>
      <c r="U69" s="2"/>
      <c r="V69" s="2"/>
      <c r="W69" s="2"/>
      <c r="X69" s="2"/>
    </row>
    <row r="70">
      <c r="A70" s="40">
        <v>3.0</v>
      </c>
      <c r="B70" s="17" t="s">
        <v>172</v>
      </c>
      <c r="C70" s="17" t="s">
        <v>58</v>
      </c>
      <c r="D70" s="17" t="s">
        <v>168</v>
      </c>
      <c r="E70" s="18" t="s">
        <v>28</v>
      </c>
      <c r="F70" s="19">
        <v>44075.0</v>
      </c>
      <c r="G70" s="19">
        <v>44075.0</v>
      </c>
      <c r="H70" s="20" t="str">
        <f t="shared" si="33"/>
        <v>5 years 3 months</v>
      </c>
      <c r="I70" s="26">
        <v>320000.0</v>
      </c>
      <c r="J70" s="26" t="s">
        <v>59</v>
      </c>
      <c r="K70" s="18" t="s">
        <v>52</v>
      </c>
      <c r="L70" s="34"/>
      <c r="M70" s="35"/>
      <c r="N70" s="35"/>
      <c r="O70" s="34"/>
      <c r="P70" s="36">
        <f t="shared" si="34"/>
        <v>0</v>
      </c>
      <c r="Q70" s="37">
        <f t="shared" si="35"/>
        <v>0</v>
      </c>
      <c r="R70" s="26">
        <f t="shared" si="36"/>
        <v>320000</v>
      </c>
      <c r="S70" s="2"/>
      <c r="T70" s="2"/>
      <c r="U70" s="2"/>
      <c r="V70" s="2"/>
      <c r="W70" s="2"/>
      <c r="X70" s="2"/>
    </row>
    <row r="71">
      <c r="A71" s="40">
        <v>4.0</v>
      </c>
      <c r="B71" s="17" t="s">
        <v>173</v>
      </c>
      <c r="C71" s="17" t="s">
        <v>58</v>
      </c>
      <c r="D71" s="17" t="s">
        <v>168</v>
      </c>
      <c r="E71" s="18" t="s">
        <v>73</v>
      </c>
      <c r="F71" s="19">
        <v>44228.0</v>
      </c>
      <c r="G71" s="19">
        <v>44228.0</v>
      </c>
      <c r="H71" s="20" t="str">
        <f t="shared" si="33"/>
        <v>4 years 10 months</v>
      </c>
      <c r="I71" s="26">
        <v>300000.0</v>
      </c>
      <c r="J71" s="26" t="s">
        <v>51</v>
      </c>
      <c r="K71" s="18" t="s">
        <v>52</v>
      </c>
      <c r="L71" s="34"/>
      <c r="M71" s="35"/>
      <c r="N71" s="35"/>
      <c r="O71" s="34"/>
      <c r="P71" s="36">
        <f t="shared" si="34"/>
        <v>0</v>
      </c>
      <c r="Q71" s="37">
        <f t="shared" si="35"/>
        <v>0</v>
      </c>
      <c r="R71" s="26">
        <f t="shared" si="36"/>
        <v>300000</v>
      </c>
      <c r="S71" s="2"/>
      <c r="T71" s="2"/>
      <c r="U71" s="2"/>
      <c r="V71" s="2"/>
      <c r="W71" s="2"/>
      <c r="X71" s="2"/>
    </row>
    <row r="72">
      <c r="A72" s="40">
        <v>5.0</v>
      </c>
      <c r="B72" s="17" t="s">
        <v>174</v>
      </c>
      <c r="C72" s="17" t="s">
        <v>58</v>
      </c>
      <c r="D72" s="17" t="s">
        <v>168</v>
      </c>
      <c r="E72" s="18" t="s">
        <v>28</v>
      </c>
      <c r="F72" s="19">
        <v>44075.0</v>
      </c>
      <c r="G72" s="19">
        <v>44075.0</v>
      </c>
      <c r="H72" s="20" t="str">
        <f t="shared" si="33"/>
        <v>5 years 3 months</v>
      </c>
      <c r="I72" s="26">
        <v>280000.0</v>
      </c>
      <c r="J72" s="26" t="s">
        <v>59</v>
      </c>
      <c r="K72" s="18" t="s">
        <v>52</v>
      </c>
      <c r="L72" s="34"/>
      <c r="M72" s="35"/>
      <c r="N72" s="35"/>
      <c r="O72" s="34"/>
      <c r="P72" s="36">
        <f t="shared" si="34"/>
        <v>0</v>
      </c>
      <c r="Q72" s="37">
        <f t="shared" si="35"/>
        <v>0</v>
      </c>
      <c r="R72" s="26">
        <f t="shared" si="36"/>
        <v>280000</v>
      </c>
      <c r="S72" s="2"/>
      <c r="T72" s="2"/>
      <c r="U72" s="2"/>
      <c r="V72" s="2"/>
      <c r="W72" s="2"/>
      <c r="X72" s="2"/>
    </row>
    <row r="73">
      <c r="A73" s="40">
        <v>6.0</v>
      </c>
      <c r="B73" s="17" t="s">
        <v>175</v>
      </c>
      <c r="C73" s="17" t="s">
        <v>58</v>
      </c>
      <c r="D73" s="17" t="s">
        <v>168</v>
      </c>
      <c r="E73" s="18" t="s">
        <v>28</v>
      </c>
      <c r="F73" s="19">
        <v>44013.0</v>
      </c>
      <c r="G73" s="19">
        <v>44013.0</v>
      </c>
      <c r="H73" s="20" t="str">
        <f t="shared" si="33"/>
        <v>5 years 5 months</v>
      </c>
      <c r="I73" s="26">
        <v>300000.0</v>
      </c>
      <c r="J73" s="26" t="s">
        <v>51</v>
      </c>
      <c r="K73" s="18" t="s">
        <v>52</v>
      </c>
      <c r="L73" s="34"/>
      <c r="M73" s="35"/>
      <c r="N73" s="35"/>
      <c r="O73" s="34"/>
      <c r="P73" s="36">
        <f t="shared" si="34"/>
        <v>0</v>
      </c>
      <c r="Q73" s="37">
        <f t="shared" si="35"/>
        <v>0</v>
      </c>
      <c r="R73" s="26">
        <f t="shared" si="36"/>
        <v>300000</v>
      </c>
      <c r="S73" s="2"/>
      <c r="T73" s="2"/>
      <c r="U73" s="2"/>
      <c r="V73" s="2"/>
      <c r="W73" s="2"/>
      <c r="X73" s="2"/>
    </row>
    <row r="74">
      <c r="A74" s="89">
        <v>6.0</v>
      </c>
      <c r="B74" s="90"/>
      <c r="C74" s="90"/>
      <c r="D74" s="90"/>
      <c r="E74" s="90"/>
      <c r="F74" s="90"/>
      <c r="G74" s="90"/>
      <c r="H74" s="91"/>
      <c r="I74" s="91">
        <f>sum(I68:I73)</f>
        <v>1585250</v>
      </c>
      <c r="J74" s="90"/>
      <c r="K74" s="90"/>
      <c r="L74" s="90"/>
      <c r="M74" s="90"/>
      <c r="N74" s="90"/>
      <c r="O74" s="90"/>
      <c r="P74" s="90"/>
      <c r="Q74" s="91">
        <f t="shared" ref="Q74:R74" si="37">sum(Q68:Q73)</f>
        <v>38525</v>
      </c>
      <c r="R74" s="91">
        <f t="shared" si="37"/>
        <v>1623775</v>
      </c>
      <c r="S74" s="2"/>
      <c r="T74" s="87"/>
      <c r="U74" s="87"/>
      <c r="V74" s="87"/>
      <c r="W74" s="2"/>
      <c r="X74" s="2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</row>
    <row r="76">
      <c r="A76" s="88"/>
      <c r="S76" s="2"/>
      <c r="T76" s="87"/>
      <c r="U76" s="87"/>
      <c r="V76" s="87"/>
      <c r="W76" s="2"/>
      <c r="X76" s="2"/>
    </row>
    <row r="77">
      <c r="A77" s="3" t="s">
        <v>176</v>
      </c>
      <c r="S77" s="2"/>
      <c r="T77" s="2"/>
      <c r="U77" s="2"/>
      <c r="V77" s="2"/>
      <c r="W77" s="2"/>
      <c r="X77" s="2"/>
    </row>
    <row r="78">
      <c r="A78" s="15" t="s">
        <v>177</v>
      </c>
      <c r="S78" s="2"/>
      <c r="T78" s="2"/>
      <c r="U78" s="2"/>
      <c r="V78" s="2"/>
      <c r="W78" s="2"/>
      <c r="X78" s="2"/>
    </row>
    <row r="79">
      <c r="A79" s="40">
        <v>1.0</v>
      </c>
      <c r="B79" s="17" t="s">
        <v>178</v>
      </c>
      <c r="C79" s="17" t="s">
        <v>179</v>
      </c>
      <c r="D79" s="17" t="s">
        <v>180</v>
      </c>
      <c r="E79" s="18" t="s">
        <v>28</v>
      </c>
      <c r="F79" s="19">
        <v>43709.0</v>
      </c>
      <c r="G79" s="19">
        <v>43709.0</v>
      </c>
      <c r="H79" s="20" t="str">
        <f t="shared" ref="H79:H83" si="38">DATEDIF(G79, TODAY(), "y") &amp; " years " &amp; DATEDIF(G79, TODAY(), "ym") &amp; " months"
</f>
        <v>6 years 3 months</v>
      </c>
      <c r="I79" s="20">
        <v>162000.0</v>
      </c>
      <c r="J79" s="21" t="s">
        <v>181</v>
      </c>
      <c r="K79" s="18" t="s">
        <v>30</v>
      </c>
      <c r="L79" s="22" t="s">
        <v>182</v>
      </c>
      <c r="M79" s="29">
        <v>0.08</v>
      </c>
      <c r="N79" s="29">
        <v>0.08</v>
      </c>
      <c r="O79" s="24" t="s">
        <v>33</v>
      </c>
      <c r="P79" s="25">
        <f t="shared" ref="P79:P85" si="39">(N79/6)*O79</f>
        <v>0.08</v>
      </c>
      <c r="Q79" s="26">
        <f t="shared" ref="Q79:Q85" si="40">sum(I79*P79)</f>
        <v>12960</v>
      </c>
      <c r="R79" s="26">
        <f t="shared" ref="R79:R85" si="41">sum(I79,Q79)</f>
        <v>174960</v>
      </c>
      <c r="S79" s="2"/>
      <c r="T79" s="2"/>
      <c r="U79" s="2"/>
      <c r="V79" s="2"/>
      <c r="W79" s="2"/>
      <c r="X79" s="2"/>
    </row>
    <row r="80">
      <c r="A80" s="40">
        <v>2.0</v>
      </c>
      <c r="B80" s="17" t="s">
        <v>183</v>
      </c>
      <c r="C80" s="17" t="s">
        <v>184</v>
      </c>
      <c r="D80" s="17" t="s">
        <v>180</v>
      </c>
      <c r="E80" s="18" t="s">
        <v>28</v>
      </c>
      <c r="F80" s="19">
        <v>44986.0</v>
      </c>
      <c r="G80" s="19">
        <v>44986.0</v>
      </c>
      <c r="H80" s="20" t="str">
        <f t="shared" si="38"/>
        <v>2 years 9 months</v>
      </c>
      <c r="I80" s="20">
        <v>80000.0</v>
      </c>
      <c r="J80" s="45" t="s">
        <v>185</v>
      </c>
      <c r="K80" s="18" t="s">
        <v>52</v>
      </c>
      <c r="L80" s="92" t="s">
        <v>186</v>
      </c>
      <c r="M80" s="93" t="s">
        <v>32</v>
      </c>
      <c r="N80" s="35"/>
      <c r="O80" s="92" t="s">
        <v>130</v>
      </c>
      <c r="P80" s="36">
        <f t="shared" si="39"/>
        <v>0</v>
      </c>
      <c r="Q80" s="37">
        <f t="shared" si="40"/>
        <v>0</v>
      </c>
      <c r="R80" s="26">
        <f t="shared" si="41"/>
        <v>80000</v>
      </c>
      <c r="S80" s="2"/>
      <c r="T80" s="2"/>
      <c r="U80" s="2"/>
      <c r="V80" s="2"/>
      <c r="W80" s="2"/>
      <c r="X80" s="2"/>
    </row>
    <row r="81">
      <c r="A81" s="40">
        <v>3.0</v>
      </c>
      <c r="B81" s="17" t="s">
        <v>187</v>
      </c>
      <c r="C81" s="17" t="s">
        <v>188</v>
      </c>
      <c r="D81" s="17" t="s">
        <v>180</v>
      </c>
      <c r="E81" s="18" t="s">
        <v>28</v>
      </c>
      <c r="F81" s="19">
        <v>39326.0</v>
      </c>
      <c r="G81" s="19">
        <v>43770.0</v>
      </c>
      <c r="H81" s="20" t="str">
        <f t="shared" si="38"/>
        <v>6 years 1 months</v>
      </c>
      <c r="I81" s="20">
        <v>180000.0</v>
      </c>
      <c r="J81" s="21" t="s">
        <v>181</v>
      </c>
      <c r="K81" s="18" t="s">
        <v>30</v>
      </c>
      <c r="L81" s="22" t="s">
        <v>189</v>
      </c>
      <c r="M81" s="18" t="s">
        <v>32</v>
      </c>
      <c r="N81" s="29">
        <v>0.08</v>
      </c>
      <c r="O81" s="24" t="s">
        <v>33</v>
      </c>
      <c r="P81" s="25">
        <f t="shared" si="39"/>
        <v>0.08</v>
      </c>
      <c r="Q81" s="26">
        <f t="shared" si="40"/>
        <v>14400</v>
      </c>
      <c r="R81" s="26">
        <f t="shared" si="41"/>
        <v>194400</v>
      </c>
      <c r="S81" s="2"/>
      <c r="T81" s="2"/>
      <c r="U81" s="2"/>
      <c r="V81" s="2"/>
      <c r="W81" s="2"/>
      <c r="X81" s="2"/>
    </row>
    <row r="82">
      <c r="A82" s="40">
        <v>4.0</v>
      </c>
      <c r="B82" s="17" t="s">
        <v>190</v>
      </c>
      <c r="C82" s="17" t="s">
        <v>184</v>
      </c>
      <c r="D82" s="17" t="s">
        <v>180</v>
      </c>
      <c r="E82" s="18" t="s">
        <v>73</v>
      </c>
      <c r="F82" s="19">
        <v>44743.0</v>
      </c>
      <c r="G82" s="19">
        <v>45505.0</v>
      </c>
      <c r="H82" s="20" t="str">
        <f t="shared" si="38"/>
        <v>1 years 4 months</v>
      </c>
      <c r="I82" s="20">
        <v>80000.0</v>
      </c>
      <c r="J82" s="45" t="s">
        <v>191</v>
      </c>
      <c r="K82" s="18" t="s">
        <v>52</v>
      </c>
      <c r="L82" s="34"/>
      <c r="M82" s="35"/>
      <c r="N82" s="35"/>
      <c r="O82" s="34"/>
      <c r="P82" s="36">
        <f t="shared" si="39"/>
        <v>0</v>
      </c>
      <c r="Q82" s="37">
        <f t="shared" si="40"/>
        <v>0</v>
      </c>
      <c r="R82" s="26">
        <f t="shared" si="41"/>
        <v>80000</v>
      </c>
      <c r="S82" s="2"/>
      <c r="T82" s="2"/>
      <c r="U82" s="2"/>
      <c r="V82" s="2"/>
      <c r="W82" s="2"/>
      <c r="X82" s="2"/>
    </row>
    <row r="83">
      <c r="A83" s="40">
        <v>5.0</v>
      </c>
      <c r="B83" s="65" t="s">
        <v>192</v>
      </c>
      <c r="C83" s="65" t="s">
        <v>193</v>
      </c>
      <c r="D83" s="17" t="s">
        <v>180</v>
      </c>
      <c r="E83" s="18" t="s">
        <v>28</v>
      </c>
      <c r="F83" s="19">
        <v>42736.0</v>
      </c>
      <c r="G83" s="19">
        <v>42736.0</v>
      </c>
      <c r="H83" s="20" t="str">
        <f t="shared" si="38"/>
        <v>8 years 11 months</v>
      </c>
      <c r="I83" s="26">
        <v>159000.0</v>
      </c>
      <c r="J83" s="45" t="s">
        <v>194</v>
      </c>
      <c r="K83" s="18" t="s">
        <v>30</v>
      </c>
      <c r="L83" s="22" t="s">
        <v>40</v>
      </c>
      <c r="M83" s="29">
        <v>0.1</v>
      </c>
      <c r="N83" s="29">
        <v>0.08</v>
      </c>
      <c r="O83" s="22" t="s">
        <v>33</v>
      </c>
      <c r="P83" s="25">
        <f t="shared" si="39"/>
        <v>0.08</v>
      </c>
      <c r="Q83" s="26">
        <f t="shared" si="40"/>
        <v>12720</v>
      </c>
      <c r="R83" s="26">
        <f t="shared" si="41"/>
        <v>171720</v>
      </c>
      <c r="S83" s="2"/>
      <c r="T83" s="2"/>
      <c r="U83" s="2"/>
      <c r="V83" s="2"/>
      <c r="W83" s="2"/>
      <c r="X83" s="2"/>
    </row>
    <row r="84">
      <c r="A84" s="40">
        <v>6.0</v>
      </c>
      <c r="B84" s="65" t="s">
        <v>195</v>
      </c>
      <c r="C84" s="65" t="s">
        <v>196</v>
      </c>
      <c r="D84" s="17" t="s">
        <v>180</v>
      </c>
      <c r="E84" s="18" t="s">
        <v>28</v>
      </c>
      <c r="F84" s="83"/>
      <c r="G84" s="83"/>
      <c r="H84" s="20"/>
      <c r="I84" s="26">
        <v>47500.0</v>
      </c>
      <c r="J84" s="94"/>
      <c r="K84" s="18" t="s">
        <v>30</v>
      </c>
      <c r="L84" s="95"/>
      <c r="M84" s="41">
        <v>0.12</v>
      </c>
      <c r="N84" s="41">
        <v>0.05</v>
      </c>
      <c r="O84" s="39" t="s">
        <v>33</v>
      </c>
      <c r="P84" s="42">
        <f t="shared" si="39"/>
        <v>0.05</v>
      </c>
      <c r="Q84" s="20">
        <f t="shared" si="40"/>
        <v>2375</v>
      </c>
      <c r="R84" s="26">
        <f t="shared" si="41"/>
        <v>49875</v>
      </c>
      <c r="S84" s="2"/>
      <c r="T84" s="2"/>
      <c r="U84" s="2"/>
      <c r="V84" s="2"/>
      <c r="W84" s="2"/>
      <c r="X84" s="2"/>
    </row>
    <row r="85">
      <c r="A85" s="40">
        <v>7.0</v>
      </c>
      <c r="B85" s="65" t="s">
        <v>197</v>
      </c>
      <c r="C85" s="65" t="s">
        <v>196</v>
      </c>
      <c r="D85" s="17" t="s">
        <v>180</v>
      </c>
      <c r="E85" s="18" t="s">
        <v>28</v>
      </c>
      <c r="F85" s="83"/>
      <c r="G85" s="83"/>
      <c r="H85" s="26"/>
      <c r="I85" s="26">
        <v>37500.0</v>
      </c>
      <c r="J85" s="94"/>
      <c r="K85" s="18" t="s">
        <v>30</v>
      </c>
      <c r="L85" s="95"/>
      <c r="M85" s="41">
        <v>0.25</v>
      </c>
      <c r="N85" s="41">
        <v>0.05</v>
      </c>
      <c r="O85" s="39" t="s">
        <v>33</v>
      </c>
      <c r="P85" s="42">
        <f t="shared" si="39"/>
        <v>0.05</v>
      </c>
      <c r="Q85" s="20">
        <f t="shared" si="40"/>
        <v>1875</v>
      </c>
      <c r="R85" s="26">
        <f t="shared" si="41"/>
        <v>39375</v>
      </c>
      <c r="S85" s="2"/>
      <c r="T85" s="2"/>
      <c r="U85" s="2"/>
      <c r="V85" s="2"/>
      <c r="W85" s="2"/>
      <c r="X85" s="2"/>
    </row>
    <row r="86">
      <c r="A86" s="89">
        <v>7.0</v>
      </c>
      <c r="B86" s="90"/>
      <c r="C86" s="90"/>
      <c r="D86" s="90"/>
      <c r="E86" s="90"/>
      <c r="F86" s="90"/>
      <c r="G86" s="90"/>
      <c r="H86" s="91"/>
      <c r="I86" s="91">
        <f>SUM(I79:I85)</f>
        <v>746000</v>
      </c>
      <c r="J86" s="90"/>
      <c r="K86" s="90"/>
      <c r="L86" s="90"/>
      <c r="M86" s="90"/>
      <c r="N86" s="90"/>
      <c r="O86" s="90"/>
      <c r="P86" s="90"/>
      <c r="Q86" s="91">
        <f t="shared" ref="Q86:R86" si="42">SUM(Q79:Q85)</f>
        <v>44330</v>
      </c>
      <c r="R86" s="91">
        <f t="shared" si="42"/>
        <v>790330</v>
      </c>
      <c r="S86" s="2"/>
      <c r="T86" s="87"/>
      <c r="U86" s="87"/>
      <c r="V86" s="87"/>
      <c r="W86" s="2"/>
      <c r="X86" s="2"/>
    </row>
    <row r="87">
      <c r="A87" s="88"/>
      <c r="S87" s="2"/>
      <c r="T87" s="87"/>
      <c r="U87" s="87"/>
      <c r="V87" s="87"/>
      <c r="W87" s="2"/>
      <c r="X87" s="2"/>
    </row>
    <row r="88">
      <c r="A88" s="3" t="s">
        <v>198</v>
      </c>
      <c r="S88" s="2"/>
      <c r="T88" s="2"/>
      <c r="U88" s="2"/>
      <c r="V88" s="2"/>
      <c r="W88" s="2"/>
      <c r="X88" s="2"/>
    </row>
    <row r="89">
      <c r="A89" s="96" t="s">
        <v>199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53"/>
      <c r="S89" s="2"/>
      <c r="T89" s="2"/>
      <c r="U89" s="2"/>
      <c r="V89" s="2"/>
      <c r="W89" s="2"/>
      <c r="X89" s="2"/>
    </row>
    <row r="90">
      <c r="A90" s="18">
        <v>1.0</v>
      </c>
      <c r="B90" s="65" t="s">
        <v>200</v>
      </c>
      <c r="C90" s="65" t="s">
        <v>201</v>
      </c>
      <c r="D90" s="17" t="s">
        <v>134</v>
      </c>
      <c r="E90" s="18" t="s">
        <v>28</v>
      </c>
      <c r="F90" s="19">
        <v>43586.0</v>
      </c>
      <c r="G90" s="19">
        <v>43586.0</v>
      </c>
      <c r="H90" s="20" t="str">
        <f t="shared" ref="H90:H96" si="43">DATEDIF(G90, TODAY(), "y") &amp; " years " &amp; DATEDIF(G90, TODAY(), "ym") &amp; " months"
</f>
        <v>6 years 7 months</v>
      </c>
      <c r="I90" s="26">
        <v>283333.0</v>
      </c>
      <c r="J90" s="45" t="s">
        <v>202</v>
      </c>
      <c r="K90" s="18" t="s">
        <v>30</v>
      </c>
      <c r="L90" s="22" t="s">
        <v>203</v>
      </c>
      <c r="M90" s="29">
        <v>0.08</v>
      </c>
      <c r="N90" s="41">
        <v>0.06</v>
      </c>
      <c r="O90" s="22" t="s">
        <v>33</v>
      </c>
      <c r="P90" s="25">
        <f t="shared" ref="P90:P96" si="44">(N90/6)*O90</f>
        <v>0.06</v>
      </c>
      <c r="Q90" s="26">
        <f t="shared" ref="Q90:Q96" si="45">sum(I90*P90)</f>
        <v>16999.98</v>
      </c>
      <c r="R90" s="26">
        <f t="shared" ref="R90:R96" si="46">sum(I90,Q90)</f>
        <v>300332.98</v>
      </c>
      <c r="S90" s="2"/>
      <c r="T90" s="2"/>
      <c r="U90" s="2"/>
      <c r="V90" s="2"/>
      <c r="W90" s="2"/>
      <c r="X90" s="2"/>
    </row>
    <row r="91">
      <c r="A91" s="18">
        <v>2.0</v>
      </c>
      <c r="B91" s="65" t="s">
        <v>204</v>
      </c>
      <c r="C91" s="65" t="s">
        <v>205</v>
      </c>
      <c r="D91" s="17" t="s">
        <v>134</v>
      </c>
      <c r="E91" s="18" t="s">
        <v>28</v>
      </c>
      <c r="F91" s="19">
        <v>41791.0</v>
      </c>
      <c r="G91" s="19">
        <v>41791.0</v>
      </c>
      <c r="H91" s="20" t="str">
        <f t="shared" si="43"/>
        <v>11 years 6 months</v>
      </c>
      <c r="I91" s="26">
        <v>219420.0</v>
      </c>
      <c r="J91" s="45" t="s">
        <v>206</v>
      </c>
      <c r="K91" s="18" t="s">
        <v>30</v>
      </c>
      <c r="L91" s="22" t="s">
        <v>207</v>
      </c>
      <c r="M91" s="29">
        <v>0.06</v>
      </c>
      <c r="N91" s="29">
        <v>0.05</v>
      </c>
      <c r="O91" s="22" t="s">
        <v>33</v>
      </c>
      <c r="P91" s="25">
        <f t="shared" si="44"/>
        <v>0.05</v>
      </c>
      <c r="Q91" s="26">
        <f t="shared" si="45"/>
        <v>10971</v>
      </c>
      <c r="R91" s="26">
        <f t="shared" si="46"/>
        <v>230391</v>
      </c>
      <c r="S91" s="2"/>
      <c r="T91" s="2"/>
      <c r="U91" s="2"/>
      <c r="V91" s="2"/>
      <c r="W91" s="2"/>
      <c r="X91" s="2"/>
    </row>
    <row r="92">
      <c r="A92" s="18">
        <v>3.0</v>
      </c>
      <c r="B92" s="65" t="s">
        <v>208</v>
      </c>
      <c r="C92" s="65" t="s">
        <v>209</v>
      </c>
      <c r="D92" s="17" t="s">
        <v>134</v>
      </c>
      <c r="E92" s="18" t="s">
        <v>28</v>
      </c>
      <c r="F92" s="19">
        <v>43586.0</v>
      </c>
      <c r="G92" s="19">
        <v>44075.0</v>
      </c>
      <c r="H92" s="20" t="str">
        <f t="shared" si="43"/>
        <v>5 years 3 months</v>
      </c>
      <c r="I92" s="26">
        <v>152600.0</v>
      </c>
      <c r="J92" s="45" t="s">
        <v>210</v>
      </c>
      <c r="K92" s="18" t="s">
        <v>30</v>
      </c>
      <c r="L92" s="22" t="s">
        <v>211</v>
      </c>
      <c r="M92" s="29">
        <v>0.09</v>
      </c>
      <c r="N92" s="29">
        <v>0.08</v>
      </c>
      <c r="O92" s="22" t="s">
        <v>33</v>
      </c>
      <c r="P92" s="25">
        <f t="shared" si="44"/>
        <v>0.08</v>
      </c>
      <c r="Q92" s="26">
        <f t="shared" si="45"/>
        <v>12208</v>
      </c>
      <c r="R92" s="26">
        <f t="shared" si="46"/>
        <v>164808</v>
      </c>
      <c r="S92" s="2"/>
      <c r="T92" s="2"/>
      <c r="U92" s="2"/>
      <c r="V92" s="2"/>
      <c r="W92" s="2"/>
      <c r="X92" s="2"/>
    </row>
    <row r="93">
      <c r="A93" s="18">
        <v>4.0</v>
      </c>
      <c r="B93" s="65" t="s">
        <v>212</v>
      </c>
      <c r="C93" s="65" t="s">
        <v>213</v>
      </c>
      <c r="D93" s="17" t="s">
        <v>134</v>
      </c>
      <c r="E93" s="18" t="s">
        <v>28</v>
      </c>
      <c r="F93" s="19">
        <v>44105.0</v>
      </c>
      <c r="G93" s="19">
        <v>44197.0</v>
      </c>
      <c r="H93" s="20" t="str">
        <f t="shared" si="43"/>
        <v>4 years 11 months</v>
      </c>
      <c r="I93" s="26">
        <v>83520.0</v>
      </c>
      <c r="J93" s="45" t="s">
        <v>214</v>
      </c>
      <c r="K93" s="18" t="s">
        <v>30</v>
      </c>
      <c r="L93" s="22" t="s">
        <v>215</v>
      </c>
      <c r="M93" s="29">
        <v>0.08</v>
      </c>
      <c r="N93" s="29">
        <v>0.06</v>
      </c>
      <c r="O93" s="22" t="s">
        <v>33</v>
      </c>
      <c r="P93" s="25">
        <f t="shared" si="44"/>
        <v>0.06</v>
      </c>
      <c r="Q93" s="26">
        <f t="shared" si="45"/>
        <v>5011.2</v>
      </c>
      <c r="R93" s="26">
        <f t="shared" si="46"/>
        <v>88531.2</v>
      </c>
      <c r="S93" s="2"/>
      <c r="T93" s="2"/>
      <c r="U93" s="2"/>
      <c r="V93" s="2"/>
      <c r="W93" s="2"/>
      <c r="X93" s="2"/>
    </row>
    <row r="94">
      <c r="A94" s="18">
        <v>5.0</v>
      </c>
      <c r="B94" s="65" t="s">
        <v>216</v>
      </c>
      <c r="C94" s="65" t="s">
        <v>217</v>
      </c>
      <c r="D94" s="17" t="s">
        <v>134</v>
      </c>
      <c r="E94" s="18" t="s">
        <v>28</v>
      </c>
      <c r="F94" s="19">
        <v>44562.0</v>
      </c>
      <c r="G94" s="19">
        <v>44562.0</v>
      </c>
      <c r="H94" s="20" t="str">
        <f t="shared" si="43"/>
        <v>3 years 11 months</v>
      </c>
      <c r="I94" s="26">
        <v>82500.0</v>
      </c>
      <c r="J94" s="45" t="s">
        <v>218</v>
      </c>
      <c r="K94" s="18" t="s">
        <v>30</v>
      </c>
      <c r="L94" s="22" t="s">
        <v>219</v>
      </c>
      <c r="M94" s="29">
        <v>0.1</v>
      </c>
      <c r="N94" s="29">
        <v>0.08</v>
      </c>
      <c r="O94" s="22" t="s">
        <v>33</v>
      </c>
      <c r="P94" s="25">
        <f t="shared" si="44"/>
        <v>0.08</v>
      </c>
      <c r="Q94" s="26">
        <f t="shared" si="45"/>
        <v>6600</v>
      </c>
      <c r="R94" s="26">
        <f t="shared" si="46"/>
        <v>89100</v>
      </c>
      <c r="S94" s="2"/>
      <c r="T94" s="2"/>
      <c r="U94" s="2"/>
      <c r="V94" s="2"/>
      <c r="W94" s="2"/>
      <c r="X94" s="2"/>
    </row>
    <row r="95">
      <c r="A95" s="18">
        <v>6.0</v>
      </c>
      <c r="B95" s="65" t="s">
        <v>220</v>
      </c>
      <c r="C95" s="65" t="s">
        <v>221</v>
      </c>
      <c r="D95" s="17" t="s">
        <v>134</v>
      </c>
      <c r="E95" s="18" t="s">
        <v>73</v>
      </c>
      <c r="F95" s="19">
        <v>44013.0</v>
      </c>
      <c r="G95" s="19">
        <v>44013.0</v>
      </c>
      <c r="H95" s="20" t="str">
        <f t="shared" si="43"/>
        <v>5 years 5 months</v>
      </c>
      <c r="I95" s="26">
        <v>275000.0</v>
      </c>
      <c r="J95" s="45" t="s">
        <v>210</v>
      </c>
      <c r="K95" s="18" t="s">
        <v>52</v>
      </c>
      <c r="L95" s="34"/>
      <c r="M95" s="35"/>
      <c r="N95" s="35"/>
      <c r="O95" s="34"/>
      <c r="P95" s="36">
        <f t="shared" si="44"/>
        <v>0</v>
      </c>
      <c r="Q95" s="37">
        <f t="shared" si="45"/>
        <v>0</v>
      </c>
      <c r="R95" s="26">
        <f t="shared" si="46"/>
        <v>275000</v>
      </c>
      <c r="S95" s="2"/>
      <c r="T95" s="2"/>
      <c r="U95" s="2"/>
      <c r="V95" s="2"/>
      <c r="W95" s="2"/>
      <c r="X95" s="2"/>
    </row>
    <row r="96">
      <c r="A96" s="18">
        <v>7.0</v>
      </c>
      <c r="B96" s="17" t="s">
        <v>222</v>
      </c>
      <c r="C96" s="17" t="s">
        <v>38</v>
      </c>
      <c r="D96" s="17" t="s">
        <v>223</v>
      </c>
      <c r="E96" s="18" t="s">
        <v>28</v>
      </c>
      <c r="F96" s="19">
        <v>42248.0</v>
      </c>
      <c r="G96" s="19">
        <v>43344.0</v>
      </c>
      <c r="H96" s="20" t="str">
        <f t="shared" si="43"/>
        <v>7 years 3 months</v>
      </c>
      <c r="I96" s="26">
        <v>294300.0</v>
      </c>
      <c r="J96" s="45" t="s">
        <v>224</v>
      </c>
      <c r="K96" s="18" t="s">
        <v>30</v>
      </c>
      <c r="L96" s="22" t="s">
        <v>225</v>
      </c>
      <c r="M96" s="29">
        <v>0.09</v>
      </c>
      <c r="N96" s="29">
        <v>0.08</v>
      </c>
      <c r="O96" s="22" t="s">
        <v>33</v>
      </c>
      <c r="P96" s="25">
        <f t="shared" si="44"/>
        <v>0.08</v>
      </c>
      <c r="Q96" s="26">
        <f t="shared" si="45"/>
        <v>23544</v>
      </c>
      <c r="R96" s="26">
        <f t="shared" si="46"/>
        <v>317844</v>
      </c>
      <c r="S96" s="2"/>
      <c r="T96" s="2"/>
      <c r="U96" s="2"/>
      <c r="V96" s="2"/>
      <c r="W96" s="2"/>
      <c r="X96" s="2"/>
    </row>
    <row r="97">
      <c r="A97" s="56">
        <v>7.0</v>
      </c>
      <c r="B97" s="57"/>
      <c r="H97" s="67"/>
      <c r="I97" s="67">
        <f>sum(I90:I96)</f>
        <v>1390673</v>
      </c>
      <c r="J97" s="68"/>
      <c r="K97" s="57"/>
      <c r="Q97" s="67">
        <f t="shared" ref="Q97:R97" si="47">sum(Q90:Q96)</f>
        <v>75334.18</v>
      </c>
      <c r="R97" s="67">
        <f t="shared" si="47"/>
        <v>1466007.18</v>
      </c>
      <c r="S97" s="2"/>
      <c r="T97" s="2"/>
      <c r="U97" s="2"/>
      <c r="V97" s="2"/>
      <c r="W97" s="2"/>
      <c r="X97" s="2"/>
    </row>
    <row r="98">
      <c r="A98" s="15" t="s">
        <v>226</v>
      </c>
      <c r="S98" s="2"/>
      <c r="T98" s="2"/>
      <c r="U98" s="2"/>
      <c r="V98" s="2"/>
      <c r="W98" s="2"/>
      <c r="X98" s="2"/>
    </row>
    <row r="99">
      <c r="A99" s="40">
        <v>1.0</v>
      </c>
      <c r="B99" s="17" t="s">
        <v>227</v>
      </c>
      <c r="C99" s="17" t="s">
        <v>228</v>
      </c>
      <c r="D99" s="17" t="s">
        <v>134</v>
      </c>
      <c r="E99" s="18" t="s">
        <v>28</v>
      </c>
      <c r="F99" s="19">
        <v>40422.0</v>
      </c>
      <c r="G99" s="19">
        <v>40422.0</v>
      </c>
      <c r="H99" s="20" t="str">
        <f t="shared" ref="H99:H101" si="48">DATEDIF(G99, TODAY(), "y") &amp; " years " &amp; DATEDIF(G99, TODAY(), "ym") &amp; " months"
</f>
        <v>15 years 3 months</v>
      </c>
      <c r="I99" s="26">
        <v>259200.0</v>
      </c>
      <c r="J99" s="21" t="s">
        <v>229</v>
      </c>
      <c r="K99" s="18" t="s">
        <v>30</v>
      </c>
      <c r="L99" s="22" t="s">
        <v>230</v>
      </c>
      <c r="M99" s="29">
        <v>0.08</v>
      </c>
      <c r="N99" s="29">
        <v>0.06</v>
      </c>
      <c r="O99" s="22" t="s">
        <v>33</v>
      </c>
      <c r="P99" s="25">
        <f t="shared" ref="P99:P101" si="49">(N99/6)*O99</f>
        <v>0.06</v>
      </c>
      <c r="Q99" s="26">
        <f t="shared" ref="Q99:Q101" si="50">sum(I99*P99)</f>
        <v>15552</v>
      </c>
      <c r="R99" s="26">
        <f t="shared" ref="R99:R101" si="51">sum(I99,Q99)</f>
        <v>274752</v>
      </c>
      <c r="S99" s="2"/>
      <c r="T99" s="2"/>
      <c r="U99" s="2"/>
      <c r="V99" s="2"/>
      <c r="W99" s="2"/>
      <c r="X99" s="2"/>
    </row>
    <row r="100">
      <c r="A100" s="18">
        <v>2.0</v>
      </c>
      <c r="B100" s="65" t="s">
        <v>231</v>
      </c>
      <c r="C100" s="65" t="s">
        <v>232</v>
      </c>
      <c r="D100" s="17" t="s">
        <v>134</v>
      </c>
      <c r="E100" s="18" t="s">
        <v>28</v>
      </c>
      <c r="F100" s="19">
        <v>43952.0</v>
      </c>
      <c r="G100" s="19">
        <v>43952.0</v>
      </c>
      <c r="H100" s="20" t="str">
        <f t="shared" si="48"/>
        <v>5 years 7 months</v>
      </c>
      <c r="I100" s="26">
        <v>171000.0</v>
      </c>
      <c r="J100" s="45" t="s">
        <v>135</v>
      </c>
      <c r="K100" s="18" t="s">
        <v>30</v>
      </c>
      <c r="L100" s="22" t="s">
        <v>55</v>
      </c>
      <c r="M100" s="29">
        <v>0.12</v>
      </c>
      <c r="N100" s="29">
        <v>0.08</v>
      </c>
      <c r="O100" s="22" t="s">
        <v>33</v>
      </c>
      <c r="P100" s="25">
        <f t="shared" si="49"/>
        <v>0.08</v>
      </c>
      <c r="Q100" s="26">
        <f t="shared" si="50"/>
        <v>13680</v>
      </c>
      <c r="R100" s="26">
        <f t="shared" si="51"/>
        <v>184680</v>
      </c>
      <c r="S100" s="2"/>
      <c r="T100" s="2"/>
      <c r="U100" s="2"/>
      <c r="V100" s="2"/>
      <c r="W100" s="2"/>
      <c r="X100" s="2"/>
    </row>
    <row r="101">
      <c r="A101" s="18">
        <v>3.0</v>
      </c>
      <c r="B101" s="65" t="s">
        <v>233</v>
      </c>
      <c r="C101" s="65" t="s">
        <v>234</v>
      </c>
      <c r="D101" s="17" t="s">
        <v>134</v>
      </c>
      <c r="E101" s="18" t="s">
        <v>28</v>
      </c>
      <c r="F101" s="19">
        <v>42887.0</v>
      </c>
      <c r="G101" s="19">
        <v>42887.0</v>
      </c>
      <c r="H101" s="20" t="str">
        <f t="shared" si="48"/>
        <v>8 years 6 months</v>
      </c>
      <c r="I101" s="26">
        <v>265000.0</v>
      </c>
      <c r="J101" s="45" t="s">
        <v>235</v>
      </c>
      <c r="K101" s="18" t="s">
        <v>52</v>
      </c>
      <c r="L101" s="34"/>
      <c r="M101" s="35"/>
      <c r="N101" s="35"/>
      <c r="O101" s="34"/>
      <c r="P101" s="36">
        <f t="shared" si="49"/>
        <v>0</v>
      </c>
      <c r="Q101" s="37">
        <f t="shared" si="50"/>
        <v>0</v>
      </c>
      <c r="R101" s="26">
        <f t="shared" si="51"/>
        <v>265000</v>
      </c>
      <c r="S101" s="2"/>
      <c r="T101" s="2"/>
      <c r="U101" s="2"/>
      <c r="V101" s="2"/>
      <c r="W101" s="2"/>
      <c r="X101" s="2"/>
    </row>
    <row r="102">
      <c r="A102" s="56">
        <v>3.0</v>
      </c>
      <c r="B102" s="57"/>
      <c r="H102" s="67"/>
      <c r="I102" s="67">
        <f>sum(I99:I101)</f>
        <v>695200</v>
      </c>
      <c r="J102" s="68"/>
      <c r="K102" s="57"/>
      <c r="Q102" s="67">
        <f t="shared" ref="Q102:R102" si="52">sum(Q99:Q101)</f>
        <v>29232</v>
      </c>
      <c r="R102" s="67">
        <f t="shared" si="52"/>
        <v>724432</v>
      </c>
      <c r="S102" s="2"/>
      <c r="T102" s="2"/>
      <c r="U102" s="2"/>
      <c r="V102" s="2"/>
      <c r="W102" s="2"/>
      <c r="X102" s="2"/>
    </row>
    <row r="103">
      <c r="A103" s="15" t="s">
        <v>236</v>
      </c>
      <c r="S103" s="2"/>
      <c r="T103" s="2"/>
      <c r="U103" s="2"/>
      <c r="V103" s="2"/>
      <c r="W103" s="2"/>
      <c r="X103" s="2"/>
    </row>
    <row r="104">
      <c r="A104" s="18">
        <v>1.0</v>
      </c>
      <c r="B104" s="65" t="s">
        <v>237</v>
      </c>
      <c r="C104" s="65" t="s">
        <v>238</v>
      </c>
      <c r="D104" s="65" t="s">
        <v>239</v>
      </c>
      <c r="E104" s="18" t="s">
        <v>28</v>
      </c>
      <c r="F104" s="19">
        <v>42948.0</v>
      </c>
      <c r="G104" s="19">
        <v>42948.0</v>
      </c>
      <c r="H104" s="20" t="str">
        <f t="shared" ref="H104:H105" si="53">DATEDIF(G104, TODAY(), "y") &amp; " years " &amp; DATEDIF(G104, TODAY(), "ym") &amp; " months"
</f>
        <v>8 years 4 months</v>
      </c>
      <c r="I104" s="26">
        <v>135700.0</v>
      </c>
      <c r="J104" s="45" t="s">
        <v>240</v>
      </c>
      <c r="K104" s="18" t="s">
        <v>30</v>
      </c>
      <c r="L104" s="18">
        <v>73.75</v>
      </c>
      <c r="M104" s="29">
        <v>0.12</v>
      </c>
      <c r="N104" s="66">
        <v>0.06</v>
      </c>
      <c r="O104" s="22" t="s">
        <v>33</v>
      </c>
      <c r="P104" s="25">
        <f t="shared" ref="P104:P105" si="54">(N104/6)*O104</f>
        <v>0.06</v>
      </c>
      <c r="Q104" s="26">
        <f t="shared" ref="Q104:Q105" si="55">sum(I104*P104)</f>
        <v>8142</v>
      </c>
      <c r="R104" s="26">
        <f t="shared" ref="R104:R105" si="56">sum(I104,Q104)</f>
        <v>143842</v>
      </c>
      <c r="S104" s="2"/>
      <c r="T104" s="2"/>
      <c r="U104" s="2"/>
      <c r="V104" s="2"/>
      <c r="W104" s="2"/>
      <c r="X104" s="2"/>
    </row>
    <row r="105">
      <c r="A105" s="18">
        <v>2.0</v>
      </c>
      <c r="B105" s="65" t="s">
        <v>241</v>
      </c>
      <c r="C105" s="65" t="s">
        <v>242</v>
      </c>
      <c r="D105" s="65" t="s">
        <v>239</v>
      </c>
      <c r="E105" s="18" t="s">
        <v>28</v>
      </c>
      <c r="F105" s="19">
        <v>43891.0</v>
      </c>
      <c r="G105" s="19">
        <v>43891.0</v>
      </c>
      <c r="H105" s="20" t="str">
        <f t="shared" si="53"/>
        <v>5 years 9 months</v>
      </c>
      <c r="I105" s="26">
        <v>100000.0</v>
      </c>
      <c r="J105" s="45" t="s">
        <v>243</v>
      </c>
      <c r="K105" s="18" t="s">
        <v>30</v>
      </c>
      <c r="L105" s="18">
        <v>70.5</v>
      </c>
      <c r="M105" s="29">
        <v>0.1</v>
      </c>
      <c r="N105" s="66">
        <v>0.06</v>
      </c>
      <c r="O105" s="22" t="s">
        <v>33</v>
      </c>
      <c r="P105" s="25">
        <f t="shared" si="54"/>
        <v>0.06</v>
      </c>
      <c r="Q105" s="26">
        <f t="shared" si="55"/>
        <v>6000</v>
      </c>
      <c r="R105" s="26">
        <f t="shared" si="56"/>
        <v>106000</v>
      </c>
      <c r="S105" s="2"/>
      <c r="T105" s="2"/>
      <c r="U105" s="2"/>
      <c r="V105" s="2"/>
      <c r="W105" s="2"/>
      <c r="X105" s="2"/>
    </row>
    <row r="106">
      <c r="A106" s="56">
        <v>2.0</v>
      </c>
      <c r="B106" s="57"/>
      <c r="H106" s="67"/>
      <c r="I106" s="67">
        <f>sum(I104:I105)</f>
        <v>235700</v>
      </c>
      <c r="J106" s="68"/>
      <c r="K106" s="57"/>
      <c r="Q106" s="67">
        <f t="shared" ref="Q106:R106" si="57">sum(Q104:Q105)</f>
        <v>14142</v>
      </c>
      <c r="R106" s="67">
        <f t="shared" si="57"/>
        <v>249842</v>
      </c>
      <c r="S106" s="2"/>
      <c r="T106" s="2"/>
      <c r="U106" s="2"/>
      <c r="V106" s="2"/>
      <c r="W106" s="2"/>
      <c r="X106" s="2"/>
    </row>
    <row r="107">
      <c r="A107" s="89">
        <f>sum(A106,A102,A97)</f>
        <v>12</v>
      </c>
      <c r="B107" s="90"/>
      <c r="C107" s="90"/>
      <c r="D107" s="90"/>
      <c r="E107" s="90"/>
      <c r="F107" s="90"/>
      <c r="G107" s="90"/>
      <c r="H107" s="91"/>
      <c r="I107" s="91">
        <f>sum(I106,I102,I97)</f>
        <v>2321573</v>
      </c>
      <c r="J107" s="90"/>
      <c r="K107" s="90"/>
      <c r="L107" s="90"/>
      <c r="M107" s="90"/>
      <c r="N107" s="90"/>
      <c r="O107" s="90"/>
      <c r="P107" s="90"/>
      <c r="Q107" s="91">
        <f t="shared" ref="Q107:R107" si="58">sum(Q106,Q102,Q97)</f>
        <v>118708.18</v>
      </c>
      <c r="R107" s="91">
        <f t="shared" si="58"/>
        <v>2440281.18</v>
      </c>
      <c r="S107" s="2"/>
      <c r="T107" s="87"/>
      <c r="U107" s="87"/>
      <c r="V107" s="87"/>
      <c r="W107" s="2"/>
      <c r="X107" s="2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</row>
    <row r="109">
      <c r="A109" s="88"/>
      <c r="S109" s="2"/>
      <c r="T109" s="87"/>
      <c r="U109" s="87"/>
      <c r="V109" s="87"/>
      <c r="W109" s="2"/>
      <c r="X109" s="2"/>
    </row>
    <row r="110">
      <c r="A110" s="3" t="s">
        <v>244</v>
      </c>
      <c r="S110" s="2"/>
      <c r="T110" s="2"/>
      <c r="U110" s="2"/>
      <c r="V110" s="2"/>
      <c r="W110" s="2"/>
      <c r="X110" s="2"/>
    </row>
    <row r="111">
      <c r="A111" s="15" t="s">
        <v>245</v>
      </c>
      <c r="S111" s="2"/>
      <c r="T111" s="2"/>
      <c r="U111" s="2"/>
      <c r="V111" s="2"/>
      <c r="W111" s="2"/>
      <c r="X111" s="2"/>
    </row>
    <row r="112">
      <c r="A112" s="18">
        <v>1.0</v>
      </c>
      <c r="B112" s="17" t="s">
        <v>246</v>
      </c>
      <c r="C112" s="65" t="s">
        <v>247</v>
      </c>
      <c r="D112" s="65" t="s">
        <v>248</v>
      </c>
      <c r="E112" s="18" t="s">
        <v>28</v>
      </c>
      <c r="F112" s="19">
        <v>39083.0</v>
      </c>
      <c r="G112" s="19">
        <v>40909.0</v>
      </c>
      <c r="H112" s="20" t="str">
        <f t="shared" ref="H112:H113" si="59">DATEDIF(G112, TODAY(), "y") &amp; " years " &amp; DATEDIF(G112, TODAY(), "ym") &amp; " months"
</f>
        <v>13 years 11 months</v>
      </c>
      <c r="I112" s="26">
        <v>456000.0</v>
      </c>
      <c r="J112" s="26" t="s">
        <v>249</v>
      </c>
      <c r="K112" s="18" t="s">
        <v>52</v>
      </c>
      <c r="L112" s="22" t="s">
        <v>32</v>
      </c>
      <c r="M112" s="18" t="s">
        <v>32</v>
      </c>
      <c r="N112" s="76"/>
      <c r="O112" s="22" t="s">
        <v>130</v>
      </c>
      <c r="P112" s="25">
        <f t="shared" ref="P112:P113" si="60">(N112/6)*O112</f>
        <v>0</v>
      </c>
      <c r="Q112" s="26">
        <f t="shared" ref="Q112:Q113" si="61">sum(I112*P112)</f>
        <v>0</v>
      </c>
      <c r="R112" s="26">
        <f t="shared" ref="R112:R113" si="62">I112+Q112</f>
        <v>456000</v>
      </c>
      <c r="S112" s="2"/>
      <c r="T112" s="2"/>
      <c r="U112" s="2"/>
      <c r="V112" s="2"/>
      <c r="W112" s="2"/>
      <c r="X112" s="2"/>
    </row>
    <row r="113">
      <c r="A113" s="18">
        <v>2.0</v>
      </c>
      <c r="B113" s="17" t="s">
        <v>250</v>
      </c>
      <c r="C113" s="65" t="s">
        <v>251</v>
      </c>
      <c r="D113" s="65" t="s">
        <v>248</v>
      </c>
      <c r="E113" s="18" t="s">
        <v>28</v>
      </c>
      <c r="F113" s="19">
        <v>42491.0</v>
      </c>
      <c r="G113" s="19">
        <v>43617.0</v>
      </c>
      <c r="H113" s="20" t="str">
        <f t="shared" si="59"/>
        <v>6 years 6 months</v>
      </c>
      <c r="I113" s="26">
        <v>90000.0</v>
      </c>
      <c r="J113" s="45" t="s">
        <v>252</v>
      </c>
      <c r="K113" s="18" t="s">
        <v>52</v>
      </c>
      <c r="L113" s="34"/>
      <c r="M113" s="35"/>
      <c r="N113" s="35"/>
      <c r="O113" s="34"/>
      <c r="P113" s="36">
        <f t="shared" si="60"/>
        <v>0</v>
      </c>
      <c r="Q113" s="37">
        <f t="shared" si="61"/>
        <v>0</v>
      </c>
      <c r="R113" s="26">
        <f t="shared" si="62"/>
        <v>90000</v>
      </c>
      <c r="S113" s="2"/>
      <c r="T113" s="2"/>
      <c r="U113" s="2"/>
      <c r="V113" s="2"/>
      <c r="W113" s="2"/>
      <c r="X113" s="2"/>
    </row>
    <row r="114">
      <c r="A114" s="56">
        <v>2.0</v>
      </c>
      <c r="B114" s="57"/>
      <c r="H114" s="67"/>
      <c r="I114" s="67">
        <f>SUM(I112:I113)</f>
        <v>546000</v>
      </c>
      <c r="J114" s="68"/>
      <c r="K114" s="57"/>
      <c r="Q114" s="67">
        <f t="shared" ref="Q114:R114" si="63">SUM(Q112:Q113)</f>
        <v>0</v>
      </c>
      <c r="R114" s="67">
        <f t="shared" si="63"/>
        <v>546000</v>
      </c>
      <c r="S114" s="2"/>
      <c r="T114" s="2"/>
      <c r="U114" s="2"/>
      <c r="V114" s="2"/>
      <c r="W114" s="2"/>
      <c r="X114" s="2"/>
    </row>
    <row r="115">
      <c r="A115" s="15" t="s">
        <v>253</v>
      </c>
      <c r="S115" s="2"/>
      <c r="T115" s="2"/>
      <c r="U115" s="2"/>
      <c r="V115" s="2"/>
      <c r="W115" s="2"/>
      <c r="X115" s="2"/>
    </row>
    <row r="116">
      <c r="A116" s="18">
        <v>1.0</v>
      </c>
      <c r="B116" s="17" t="s">
        <v>254</v>
      </c>
      <c r="C116" s="65" t="s">
        <v>255</v>
      </c>
      <c r="D116" s="65" t="s">
        <v>256</v>
      </c>
      <c r="E116" s="18" t="s">
        <v>73</v>
      </c>
      <c r="F116" s="19">
        <v>43617.0</v>
      </c>
      <c r="G116" s="19">
        <v>43617.0</v>
      </c>
      <c r="H116" s="20" t="str">
        <f t="shared" ref="H116:H119" si="64">DATEDIF(G116, TODAY(), "y") &amp; " years " &amp; DATEDIF(G116, TODAY(), "ym") &amp; " months"
</f>
        <v>6 years 6 months</v>
      </c>
      <c r="I116" s="26">
        <v>180000.0</v>
      </c>
      <c r="J116" s="45" t="s">
        <v>257</v>
      </c>
      <c r="K116" s="18" t="s">
        <v>52</v>
      </c>
      <c r="L116" s="34"/>
      <c r="M116" s="35"/>
      <c r="N116" s="35"/>
      <c r="O116" s="34"/>
      <c r="P116" s="36">
        <f t="shared" ref="P116:P119" si="65">(N116/6)*O116</f>
        <v>0</v>
      </c>
      <c r="Q116" s="37">
        <f t="shared" ref="Q116:Q119" si="66">sum(I116*P116)</f>
        <v>0</v>
      </c>
      <c r="R116" s="26">
        <f t="shared" ref="R116:R119" si="67">I116+Q116</f>
        <v>180000</v>
      </c>
      <c r="S116" s="2"/>
      <c r="T116" s="2"/>
      <c r="U116" s="2"/>
      <c r="V116" s="2"/>
      <c r="W116" s="2"/>
      <c r="X116" s="2"/>
    </row>
    <row r="117">
      <c r="A117" s="18">
        <v>2.0</v>
      </c>
      <c r="B117" s="17" t="s">
        <v>258</v>
      </c>
      <c r="C117" s="65" t="s">
        <v>255</v>
      </c>
      <c r="D117" s="65" t="s">
        <v>256</v>
      </c>
      <c r="E117" s="18" t="s">
        <v>73</v>
      </c>
      <c r="F117" s="19">
        <v>44228.0</v>
      </c>
      <c r="G117" s="19">
        <v>44228.0</v>
      </c>
      <c r="H117" s="20" t="str">
        <f t="shared" si="64"/>
        <v>4 years 10 months</v>
      </c>
      <c r="I117" s="26">
        <v>150000.0</v>
      </c>
      <c r="J117" s="45" t="s">
        <v>259</v>
      </c>
      <c r="K117" s="18" t="s">
        <v>52</v>
      </c>
      <c r="L117" s="34"/>
      <c r="M117" s="35"/>
      <c r="N117" s="35"/>
      <c r="O117" s="34"/>
      <c r="P117" s="36">
        <f t="shared" si="65"/>
        <v>0</v>
      </c>
      <c r="Q117" s="37">
        <f t="shared" si="66"/>
        <v>0</v>
      </c>
      <c r="R117" s="26">
        <f t="shared" si="67"/>
        <v>150000</v>
      </c>
      <c r="S117" s="2"/>
      <c r="T117" s="2"/>
      <c r="U117" s="2"/>
      <c r="V117" s="2"/>
      <c r="W117" s="2"/>
      <c r="X117" s="2"/>
    </row>
    <row r="118">
      <c r="A118" s="18">
        <v>3.0</v>
      </c>
      <c r="B118" s="17" t="s">
        <v>260</v>
      </c>
      <c r="C118" s="65" t="s">
        <v>255</v>
      </c>
      <c r="D118" s="65" t="s">
        <v>256</v>
      </c>
      <c r="E118" s="18" t="s">
        <v>73</v>
      </c>
      <c r="F118" s="19">
        <v>43983.0</v>
      </c>
      <c r="G118" s="19">
        <v>44440.0</v>
      </c>
      <c r="H118" s="20" t="str">
        <f t="shared" si="64"/>
        <v>4 years 3 months</v>
      </c>
      <c r="I118" s="26">
        <v>150000.0</v>
      </c>
      <c r="J118" s="45" t="s">
        <v>257</v>
      </c>
      <c r="K118" s="18" t="s">
        <v>52</v>
      </c>
      <c r="L118" s="34"/>
      <c r="M118" s="35"/>
      <c r="N118" s="35"/>
      <c r="O118" s="34"/>
      <c r="P118" s="36">
        <f t="shared" si="65"/>
        <v>0</v>
      </c>
      <c r="Q118" s="37">
        <f t="shared" si="66"/>
        <v>0</v>
      </c>
      <c r="R118" s="26">
        <f t="shared" si="67"/>
        <v>150000</v>
      </c>
      <c r="S118" s="2"/>
      <c r="T118" s="2"/>
      <c r="U118" s="2"/>
      <c r="V118" s="2"/>
      <c r="W118" s="2"/>
      <c r="X118" s="2"/>
    </row>
    <row r="119">
      <c r="A119" s="18">
        <v>4.0</v>
      </c>
      <c r="B119" s="17" t="s">
        <v>261</v>
      </c>
      <c r="C119" s="65" t="s">
        <v>255</v>
      </c>
      <c r="D119" s="65" t="s">
        <v>256</v>
      </c>
      <c r="E119" s="18" t="s">
        <v>73</v>
      </c>
      <c r="F119" s="19">
        <v>44562.0</v>
      </c>
      <c r="G119" s="19">
        <v>44562.0</v>
      </c>
      <c r="H119" s="20" t="str">
        <f t="shared" si="64"/>
        <v>3 years 11 months</v>
      </c>
      <c r="I119" s="26">
        <v>150000.0</v>
      </c>
      <c r="J119" s="45" t="s">
        <v>262</v>
      </c>
      <c r="K119" s="18" t="s">
        <v>52</v>
      </c>
      <c r="L119" s="34"/>
      <c r="M119" s="35"/>
      <c r="N119" s="35"/>
      <c r="O119" s="34"/>
      <c r="P119" s="36">
        <f t="shared" si="65"/>
        <v>0</v>
      </c>
      <c r="Q119" s="37">
        <f t="shared" si="66"/>
        <v>0</v>
      </c>
      <c r="R119" s="26">
        <f t="shared" si="67"/>
        <v>150000</v>
      </c>
      <c r="S119" s="2"/>
      <c r="T119" s="2"/>
      <c r="U119" s="2"/>
      <c r="V119" s="2"/>
      <c r="W119" s="2"/>
      <c r="X119" s="2"/>
    </row>
    <row r="120">
      <c r="A120" s="98">
        <v>4.0</v>
      </c>
      <c r="B120" s="57"/>
      <c r="H120" s="67"/>
      <c r="I120" s="67">
        <f>sum(I116:I119)</f>
        <v>630000</v>
      </c>
      <c r="J120" s="68"/>
      <c r="K120" s="57"/>
      <c r="Q120" s="67">
        <f t="shared" ref="Q120:R120" si="68">sum(Q116:Q119)</f>
        <v>0</v>
      </c>
      <c r="R120" s="67">
        <f t="shared" si="68"/>
        <v>630000</v>
      </c>
      <c r="S120" s="2"/>
      <c r="T120" s="2"/>
      <c r="U120" s="2"/>
      <c r="V120" s="2"/>
      <c r="W120" s="2"/>
      <c r="X120" s="2"/>
    </row>
    <row r="121">
      <c r="A121" s="89">
        <f>SUM(A120,A114)</f>
        <v>6</v>
      </c>
      <c r="B121" s="90"/>
      <c r="C121" s="90"/>
      <c r="D121" s="90"/>
      <c r="E121" s="90"/>
      <c r="F121" s="90"/>
      <c r="G121" s="90"/>
      <c r="H121" s="91"/>
      <c r="I121" s="91">
        <f>SUM(I120,I114)</f>
        <v>1176000</v>
      </c>
      <c r="J121" s="90"/>
      <c r="K121" s="90"/>
      <c r="L121" s="90"/>
      <c r="M121" s="90"/>
      <c r="N121" s="90"/>
      <c r="O121" s="90"/>
      <c r="P121" s="90"/>
      <c r="Q121" s="91">
        <f t="shared" ref="Q121:R121" si="69">SUM(Q120,Q114)</f>
        <v>0</v>
      </c>
      <c r="R121" s="91">
        <f t="shared" si="69"/>
        <v>1176000</v>
      </c>
      <c r="S121" s="2"/>
      <c r="T121" s="87"/>
      <c r="U121" s="87"/>
      <c r="V121" s="87"/>
      <c r="W121" s="2"/>
      <c r="X121" s="2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</row>
    <row r="123">
      <c r="A123" s="88"/>
      <c r="S123" s="2"/>
      <c r="T123" s="87"/>
      <c r="U123" s="87"/>
      <c r="V123" s="87"/>
      <c r="W123" s="2"/>
      <c r="X123" s="2"/>
    </row>
    <row r="124">
      <c r="A124" s="3" t="s">
        <v>263</v>
      </c>
      <c r="S124" s="2"/>
      <c r="T124" s="2"/>
      <c r="U124" s="2"/>
      <c r="V124" s="2"/>
      <c r="W124" s="2"/>
      <c r="X124" s="2"/>
    </row>
    <row r="125">
      <c r="A125" s="18">
        <v>1.0</v>
      </c>
      <c r="B125" s="65" t="s">
        <v>264</v>
      </c>
      <c r="C125" s="65" t="s">
        <v>265</v>
      </c>
      <c r="D125" s="65" t="s">
        <v>248</v>
      </c>
      <c r="E125" s="18" t="s">
        <v>28</v>
      </c>
      <c r="F125" s="99"/>
      <c r="G125" s="99"/>
      <c r="H125" s="26"/>
      <c r="I125" s="26">
        <v>70000.0</v>
      </c>
      <c r="J125" s="26" t="s">
        <v>32</v>
      </c>
      <c r="K125" s="18" t="s">
        <v>52</v>
      </c>
      <c r="L125" s="34"/>
      <c r="M125" s="35"/>
      <c r="N125" s="35"/>
      <c r="O125" s="34"/>
      <c r="P125" s="36">
        <f t="shared" ref="P125:P139" si="70">(N125/6)*O125</f>
        <v>0</v>
      </c>
      <c r="Q125" s="37">
        <f t="shared" ref="Q125:Q139" si="71">sum(I125*P125)</f>
        <v>0</v>
      </c>
      <c r="R125" s="26">
        <f t="shared" ref="R125:R139" si="72">sum(I125,Q125)</f>
        <v>70000</v>
      </c>
      <c r="S125" s="2"/>
      <c r="T125" s="2"/>
      <c r="U125" s="2"/>
      <c r="V125" s="2"/>
      <c r="W125" s="2"/>
      <c r="X125" s="2"/>
    </row>
    <row r="126">
      <c r="A126" s="18">
        <v>2.0</v>
      </c>
      <c r="B126" s="17" t="s">
        <v>266</v>
      </c>
      <c r="C126" s="65" t="s">
        <v>267</v>
      </c>
      <c r="D126" s="65" t="s">
        <v>248</v>
      </c>
      <c r="E126" s="18" t="s">
        <v>28</v>
      </c>
      <c r="F126" s="99"/>
      <c r="G126" s="99"/>
      <c r="H126" s="26"/>
      <c r="I126" s="26">
        <v>60000.0</v>
      </c>
      <c r="J126" s="26" t="s">
        <v>32</v>
      </c>
      <c r="K126" s="18" t="s">
        <v>52</v>
      </c>
      <c r="L126" s="34"/>
      <c r="M126" s="35"/>
      <c r="N126" s="35"/>
      <c r="O126" s="34"/>
      <c r="P126" s="36">
        <f t="shared" si="70"/>
        <v>0</v>
      </c>
      <c r="Q126" s="37">
        <f t="shared" si="71"/>
        <v>0</v>
      </c>
      <c r="R126" s="26">
        <f t="shared" si="72"/>
        <v>60000</v>
      </c>
      <c r="S126" s="2"/>
      <c r="T126" s="2"/>
      <c r="U126" s="2"/>
      <c r="V126" s="2"/>
      <c r="W126" s="2"/>
      <c r="X126" s="2"/>
    </row>
    <row r="127">
      <c r="A127" s="18">
        <v>3.0</v>
      </c>
      <c r="B127" s="17" t="s">
        <v>268</v>
      </c>
      <c r="C127" s="65" t="s">
        <v>269</v>
      </c>
      <c r="D127" s="65" t="s">
        <v>248</v>
      </c>
      <c r="E127" s="18" t="s">
        <v>28</v>
      </c>
      <c r="F127" s="99"/>
      <c r="G127" s="99"/>
      <c r="H127" s="26"/>
      <c r="I127" s="26">
        <v>40000.0</v>
      </c>
      <c r="J127" s="26" t="s">
        <v>32</v>
      </c>
      <c r="K127" s="18" t="s">
        <v>52</v>
      </c>
      <c r="L127" s="34"/>
      <c r="M127" s="35"/>
      <c r="N127" s="35"/>
      <c r="O127" s="34"/>
      <c r="P127" s="36">
        <f t="shared" si="70"/>
        <v>0</v>
      </c>
      <c r="Q127" s="37">
        <f t="shared" si="71"/>
        <v>0</v>
      </c>
      <c r="R127" s="26">
        <f t="shared" si="72"/>
        <v>40000</v>
      </c>
      <c r="S127" s="2"/>
      <c r="T127" s="2"/>
      <c r="U127" s="2"/>
      <c r="V127" s="2"/>
      <c r="W127" s="2"/>
      <c r="X127" s="2"/>
    </row>
    <row r="128">
      <c r="A128" s="18">
        <v>4.0</v>
      </c>
      <c r="B128" s="17" t="s">
        <v>270</v>
      </c>
      <c r="C128" s="65" t="s">
        <v>271</v>
      </c>
      <c r="D128" s="65" t="s">
        <v>248</v>
      </c>
      <c r="E128" s="18" t="s">
        <v>28</v>
      </c>
      <c r="F128" s="99"/>
      <c r="G128" s="99"/>
      <c r="H128" s="26"/>
      <c r="I128" s="26">
        <v>37000.0</v>
      </c>
      <c r="J128" s="26" t="s">
        <v>32</v>
      </c>
      <c r="K128" s="18" t="s">
        <v>52</v>
      </c>
      <c r="L128" s="34"/>
      <c r="M128" s="35"/>
      <c r="N128" s="35"/>
      <c r="O128" s="34"/>
      <c r="P128" s="36">
        <f t="shared" si="70"/>
        <v>0</v>
      </c>
      <c r="Q128" s="37">
        <f t="shared" si="71"/>
        <v>0</v>
      </c>
      <c r="R128" s="26">
        <f t="shared" si="72"/>
        <v>37000</v>
      </c>
      <c r="S128" s="2"/>
      <c r="T128" s="2"/>
      <c r="U128" s="2"/>
      <c r="V128" s="2"/>
      <c r="W128" s="2"/>
      <c r="X128" s="2"/>
    </row>
    <row r="129">
      <c r="A129" s="18">
        <v>5.0</v>
      </c>
      <c r="B129" s="17" t="s">
        <v>272</v>
      </c>
      <c r="C129" s="65" t="s">
        <v>271</v>
      </c>
      <c r="D129" s="65" t="s">
        <v>248</v>
      </c>
      <c r="E129" s="18" t="s">
        <v>28</v>
      </c>
      <c r="F129" s="99"/>
      <c r="G129" s="99"/>
      <c r="H129" s="26"/>
      <c r="I129" s="26">
        <v>37000.0</v>
      </c>
      <c r="J129" s="26" t="s">
        <v>32</v>
      </c>
      <c r="K129" s="18" t="s">
        <v>52</v>
      </c>
      <c r="L129" s="34"/>
      <c r="M129" s="35"/>
      <c r="N129" s="35"/>
      <c r="O129" s="34"/>
      <c r="P129" s="36">
        <f t="shared" si="70"/>
        <v>0</v>
      </c>
      <c r="Q129" s="37">
        <f t="shared" si="71"/>
        <v>0</v>
      </c>
      <c r="R129" s="26">
        <f t="shared" si="72"/>
        <v>37000</v>
      </c>
      <c r="S129" s="2"/>
      <c r="T129" s="2"/>
      <c r="U129" s="2"/>
      <c r="V129" s="2"/>
      <c r="W129" s="2"/>
      <c r="X129" s="2"/>
    </row>
    <row r="130">
      <c r="A130" s="18">
        <v>6.0</v>
      </c>
      <c r="B130" s="17" t="s">
        <v>273</v>
      </c>
      <c r="C130" s="65" t="s">
        <v>271</v>
      </c>
      <c r="D130" s="65" t="s">
        <v>248</v>
      </c>
      <c r="E130" s="18" t="s">
        <v>28</v>
      </c>
      <c r="F130" s="99"/>
      <c r="G130" s="99"/>
      <c r="H130" s="26"/>
      <c r="I130" s="26">
        <v>37000.0</v>
      </c>
      <c r="J130" s="26" t="s">
        <v>32</v>
      </c>
      <c r="K130" s="18" t="s">
        <v>52</v>
      </c>
      <c r="L130" s="34"/>
      <c r="M130" s="35"/>
      <c r="N130" s="35"/>
      <c r="O130" s="34"/>
      <c r="P130" s="36">
        <f t="shared" si="70"/>
        <v>0</v>
      </c>
      <c r="Q130" s="37">
        <f t="shared" si="71"/>
        <v>0</v>
      </c>
      <c r="R130" s="26">
        <f t="shared" si="72"/>
        <v>37000</v>
      </c>
      <c r="S130" s="2"/>
      <c r="T130" s="2"/>
      <c r="U130" s="2"/>
      <c r="V130" s="2"/>
      <c r="W130" s="2"/>
      <c r="X130" s="2"/>
    </row>
    <row r="131">
      <c r="A131" s="18">
        <v>7.0</v>
      </c>
      <c r="B131" s="17" t="s">
        <v>274</v>
      </c>
      <c r="C131" s="65" t="s">
        <v>275</v>
      </c>
      <c r="D131" s="65" t="s">
        <v>248</v>
      </c>
      <c r="E131" s="18" t="s">
        <v>276</v>
      </c>
      <c r="F131" s="99"/>
      <c r="G131" s="99"/>
      <c r="H131" s="26"/>
      <c r="I131" s="26">
        <v>40000.0</v>
      </c>
      <c r="J131" s="26" t="s">
        <v>32</v>
      </c>
      <c r="K131" s="18" t="s">
        <v>52</v>
      </c>
      <c r="L131" s="34"/>
      <c r="M131" s="35"/>
      <c r="N131" s="35"/>
      <c r="O131" s="34"/>
      <c r="P131" s="36">
        <f t="shared" si="70"/>
        <v>0</v>
      </c>
      <c r="Q131" s="37">
        <f t="shared" si="71"/>
        <v>0</v>
      </c>
      <c r="R131" s="26">
        <f t="shared" si="72"/>
        <v>40000</v>
      </c>
      <c r="S131" s="2"/>
      <c r="T131" s="2"/>
      <c r="U131" s="2"/>
      <c r="V131" s="2"/>
      <c r="W131" s="2"/>
      <c r="X131" s="2"/>
    </row>
    <row r="132">
      <c r="A132" s="18">
        <v>8.0</v>
      </c>
      <c r="B132" s="17" t="s">
        <v>277</v>
      </c>
      <c r="C132" s="65" t="s">
        <v>275</v>
      </c>
      <c r="D132" s="65" t="s">
        <v>248</v>
      </c>
      <c r="E132" s="18" t="s">
        <v>276</v>
      </c>
      <c r="F132" s="99"/>
      <c r="G132" s="99"/>
      <c r="H132" s="26"/>
      <c r="I132" s="26">
        <v>32000.0</v>
      </c>
      <c r="J132" s="26" t="s">
        <v>32</v>
      </c>
      <c r="K132" s="18" t="s">
        <v>52</v>
      </c>
      <c r="L132" s="34"/>
      <c r="M132" s="35"/>
      <c r="N132" s="35"/>
      <c r="O132" s="34"/>
      <c r="P132" s="36">
        <f t="shared" si="70"/>
        <v>0</v>
      </c>
      <c r="Q132" s="37">
        <f t="shared" si="71"/>
        <v>0</v>
      </c>
      <c r="R132" s="26">
        <f t="shared" si="72"/>
        <v>32000</v>
      </c>
      <c r="S132" s="2"/>
      <c r="T132" s="2"/>
      <c r="U132" s="2"/>
      <c r="V132" s="2"/>
      <c r="W132" s="2"/>
      <c r="X132" s="2"/>
    </row>
    <row r="133">
      <c r="A133" s="18">
        <v>9.0</v>
      </c>
      <c r="B133" s="17" t="s">
        <v>278</v>
      </c>
      <c r="C133" s="65" t="s">
        <v>279</v>
      </c>
      <c r="D133" s="65" t="s">
        <v>248</v>
      </c>
      <c r="E133" s="18" t="s">
        <v>28</v>
      </c>
      <c r="F133" s="99"/>
      <c r="G133" s="99"/>
      <c r="H133" s="26"/>
      <c r="I133" s="26">
        <v>37000.0</v>
      </c>
      <c r="J133" s="26" t="s">
        <v>32</v>
      </c>
      <c r="K133" s="18" t="s">
        <v>52</v>
      </c>
      <c r="L133" s="34"/>
      <c r="M133" s="35"/>
      <c r="N133" s="35"/>
      <c r="O133" s="34"/>
      <c r="P133" s="36">
        <f t="shared" si="70"/>
        <v>0</v>
      </c>
      <c r="Q133" s="37">
        <f t="shared" si="71"/>
        <v>0</v>
      </c>
      <c r="R133" s="26">
        <f t="shared" si="72"/>
        <v>37000</v>
      </c>
      <c r="S133" s="2"/>
      <c r="T133" s="2"/>
      <c r="U133" s="2"/>
      <c r="V133" s="2"/>
      <c r="W133" s="2"/>
      <c r="X133" s="2"/>
    </row>
    <row r="134">
      <c r="A134" s="18">
        <v>10.0</v>
      </c>
      <c r="B134" s="17" t="s">
        <v>280</v>
      </c>
      <c r="C134" s="65" t="s">
        <v>281</v>
      </c>
      <c r="D134" s="65" t="s">
        <v>248</v>
      </c>
      <c r="E134" s="18" t="s">
        <v>276</v>
      </c>
      <c r="F134" s="100"/>
      <c r="G134" s="100"/>
      <c r="H134" s="20"/>
      <c r="I134" s="20">
        <v>33000.0</v>
      </c>
      <c r="J134" s="26" t="s">
        <v>32</v>
      </c>
      <c r="K134" s="18" t="s">
        <v>52</v>
      </c>
      <c r="L134" s="34"/>
      <c r="M134" s="35"/>
      <c r="N134" s="35"/>
      <c r="O134" s="34"/>
      <c r="P134" s="36">
        <f t="shared" si="70"/>
        <v>0</v>
      </c>
      <c r="Q134" s="37">
        <f t="shared" si="71"/>
        <v>0</v>
      </c>
      <c r="R134" s="26">
        <f t="shared" si="72"/>
        <v>33000</v>
      </c>
      <c r="S134" s="2"/>
      <c r="T134" s="2"/>
      <c r="U134" s="2"/>
      <c r="V134" s="2"/>
      <c r="W134" s="2"/>
      <c r="X134" s="2"/>
    </row>
    <row r="135">
      <c r="A135" s="18">
        <v>11.0</v>
      </c>
      <c r="B135" s="17" t="s">
        <v>282</v>
      </c>
      <c r="C135" s="65" t="s">
        <v>283</v>
      </c>
      <c r="D135" s="65" t="s">
        <v>248</v>
      </c>
      <c r="E135" s="18" t="s">
        <v>276</v>
      </c>
      <c r="F135" s="87"/>
      <c r="G135" s="87"/>
      <c r="H135" s="20"/>
      <c r="I135" s="20">
        <v>33000.0</v>
      </c>
      <c r="J135" s="26" t="s">
        <v>32</v>
      </c>
      <c r="K135" s="18" t="s">
        <v>52</v>
      </c>
      <c r="L135" s="34"/>
      <c r="M135" s="35"/>
      <c r="N135" s="35"/>
      <c r="O135" s="34"/>
      <c r="P135" s="36">
        <f t="shared" si="70"/>
        <v>0</v>
      </c>
      <c r="Q135" s="37">
        <f t="shared" si="71"/>
        <v>0</v>
      </c>
      <c r="R135" s="26">
        <f t="shared" si="72"/>
        <v>33000</v>
      </c>
      <c r="S135" s="2"/>
      <c r="T135" s="2"/>
      <c r="U135" s="2"/>
      <c r="V135" s="2"/>
      <c r="W135" s="2"/>
      <c r="X135" s="2"/>
    </row>
    <row r="136">
      <c r="A136" s="18">
        <v>12.0</v>
      </c>
      <c r="B136" s="17" t="s">
        <v>284</v>
      </c>
      <c r="C136" s="65" t="s">
        <v>279</v>
      </c>
      <c r="D136" s="65" t="s">
        <v>248</v>
      </c>
      <c r="E136" s="18" t="s">
        <v>28</v>
      </c>
      <c r="F136" s="101"/>
      <c r="G136" s="101"/>
      <c r="H136" s="20"/>
      <c r="I136" s="20">
        <v>40000.0</v>
      </c>
      <c r="J136" s="26" t="s">
        <v>32</v>
      </c>
      <c r="K136" s="18" t="s">
        <v>52</v>
      </c>
      <c r="L136" s="34"/>
      <c r="M136" s="35"/>
      <c r="N136" s="35"/>
      <c r="O136" s="34"/>
      <c r="P136" s="36">
        <f t="shared" si="70"/>
        <v>0</v>
      </c>
      <c r="Q136" s="37">
        <f t="shared" si="71"/>
        <v>0</v>
      </c>
      <c r="R136" s="26">
        <f t="shared" si="72"/>
        <v>40000</v>
      </c>
      <c r="S136" s="2"/>
      <c r="T136" s="2"/>
      <c r="U136" s="2"/>
      <c r="V136" s="2"/>
      <c r="W136" s="2"/>
      <c r="X136" s="2"/>
    </row>
    <row r="137">
      <c r="A137" s="18">
        <v>13.0</v>
      </c>
      <c r="B137" s="65" t="s">
        <v>285</v>
      </c>
      <c r="C137" s="65" t="s">
        <v>286</v>
      </c>
      <c r="D137" s="65" t="s">
        <v>248</v>
      </c>
      <c r="E137" s="18" t="s">
        <v>28</v>
      </c>
      <c r="F137" s="102"/>
      <c r="G137" s="102"/>
      <c r="H137" s="26"/>
      <c r="I137" s="26">
        <v>100000.0</v>
      </c>
      <c r="J137" s="26" t="s">
        <v>32</v>
      </c>
      <c r="K137" s="18" t="s">
        <v>52</v>
      </c>
      <c r="L137" s="34"/>
      <c r="M137" s="35"/>
      <c r="N137" s="35"/>
      <c r="O137" s="34"/>
      <c r="P137" s="36">
        <f t="shared" si="70"/>
        <v>0</v>
      </c>
      <c r="Q137" s="37">
        <f t="shared" si="71"/>
        <v>0</v>
      </c>
      <c r="R137" s="26">
        <f t="shared" si="72"/>
        <v>100000</v>
      </c>
      <c r="S137" s="2"/>
      <c r="T137" s="2"/>
      <c r="U137" s="2"/>
      <c r="V137" s="2"/>
      <c r="W137" s="2"/>
      <c r="X137" s="2"/>
    </row>
    <row r="138">
      <c r="A138" s="18">
        <v>14.0</v>
      </c>
      <c r="B138" s="65" t="s">
        <v>287</v>
      </c>
      <c r="C138" s="65" t="s">
        <v>279</v>
      </c>
      <c r="D138" s="65" t="s">
        <v>248</v>
      </c>
      <c r="E138" s="18" t="s">
        <v>28</v>
      </c>
      <c r="F138" s="102"/>
      <c r="G138" s="102"/>
      <c r="H138" s="26"/>
      <c r="I138" s="26">
        <v>37000.0</v>
      </c>
      <c r="J138" s="26" t="s">
        <v>32</v>
      </c>
      <c r="K138" s="18" t="s">
        <v>52</v>
      </c>
      <c r="L138" s="34"/>
      <c r="M138" s="35"/>
      <c r="N138" s="35"/>
      <c r="O138" s="34"/>
      <c r="P138" s="36">
        <f t="shared" si="70"/>
        <v>0</v>
      </c>
      <c r="Q138" s="37">
        <f t="shared" si="71"/>
        <v>0</v>
      </c>
      <c r="R138" s="26">
        <f t="shared" si="72"/>
        <v>37000</v>
      </c>
      <c r="S138" s="2"/>
      <c r="T138" s="2"/>
      <c r="U138" s="2"/>
      <c r="V138" s="2"/>
      <c r="W138" s="2"/>
      <c r="X138" s="2"/>
    </row>
    <row r="139">
      <c r="A139" s="18">
        <v>15.0</v>
      </c>
      <c r="B139" s="65" t="s">
        <v>288</v>
      </c>
      <c r="C139" s="65" t="s">
        <v>279</v>
      </c>
      <c r="D139" s="65" t="s">
        <v>248</v>
      </c>
      <c r="E139" s="18" t="s">
        <v>28</v>
      </c>
      <c r="F139" s="102"/>
      <c r="G139" s="102"/>
      <c r="H139" s="26"/>
      <c r="I139" s="26">
        <v>37000.0</v>
      </c>
      <c r="J139" s="26" t="s">
        <v>32</v>
      </c>
      <c r="K139" s="18" t="s">
        <v>52</v>
      </c>
      <c r="L139" s="34"/>
      <c r="M139" s="35"/>
      <c r="N139" s="35"/>
      <c r="O139" s="34"/>
      <c r="P139" s="36">
        <f t="shared" si="70"/>
        <v>0</v>
      </c>
      <c r="Q139" s="37">
        <f t="shared" si="71"/>
        <v>0</v>
      </c>
      <c r="R139" s="26">
        <f t="shared" si="72"/>
        <v>37000</v>
      </c>
      <c r="S139" s="2"/>
      <c r="T139" s="2"/>
      <c r="U139" s="2"/>
      <c r="V139" s="2"/>
      <c r="W139" s="2"/>
      <c r="X139" s="2"/>
    </row>
    <row r="140">
      <c r="A140" s="89">
        <v>15.0</v>
      </c>
      <c r="B140" s="90"/>
      <c r="C140" s="90"/>
      <c r="D140" s="90"/>
      <c r="E140" s="90"/>
      <c r="F140" s="90"/>
      <c r="G140" s="90"/>
      <c r="H140" s="91"/>
      <c r="I140" s="91">
        <f>SUM(I125:I139)</f>
        <v>670000</v>
      </c>
      <c r="J140" s="90"/>
      <c r="K140" s="90"/>
      <c r="L140" s="90"/>
      <c r="M140" s="90"/>
      <c r="N140" s="90"/>
      <c r="O140" s="90"/>
      <c r="P140" s="90"/>
      <c r="Q140" s="91">
        <f>SUM(Q125:Q139)</f>
        <v>0</v>
      </c>
      <c r="R140" s="91">
        <f>SUM(R124:R139)</f>
        <v>670000</v>
      </c>
      <c r="S140" s="2"/>
      <c r="T140" s="87"/>
      <c r="U140" s="87"/>
      <c r="V140" s="87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03"/>
      <c r="R141" s="104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03"/>
      <c r="R142" s="2"/>
      <c r="S142" s="2"/>
      <c r="T142" s="2"/>
      <c r="U142" s="2"/>
      <c r="V142" s="2"/>
      <c r="W142" s="2"/>
      <c r="X142" s="2"/>
    </row>
    <row r="143">
      <c r="A143" s="105">
        <f>SUM(A140,A121,A107,A86,A74,A64)</f>
        <v>88</v>
      </c>
      <c r="B143" s="2"/>
      <c r="C143" s="2"/>
      <c r="D143" s="2"/>
      <c r="E143" s="2"/>
      <c r="F143" s="2"/>
      <c r="G143" s="2"/>
      <c r="H143" s="106"/>
      <c r="I143" s="106">
        <f>SUM(I140,I121,I107,I86,I74,I64)</f>
        <v>16270350</v>
      </c>
      <c r="J143" s="2"/>
      <c r="K143" s="2"/>
      <c r="L143" s="2"/>
      <c r="M143" s="2"/>
      <c r="N143" s="2"/>
      <c r="O143" s="2"/>
      <c r="P143" s="2"/>
      <c r="Q143" s="106">
        <f t="shared" ref="Q143:R143" si="73">SUM(Q140,Q121,Q107,Q86,Q74,Q64)</f>
        <v>512767.34</v>
      </c>
      <c r="R143" s="106">
        <f t="shared" si="73"/>
        <v>16783117.34</v>
      </c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07">
        <f>sum(Q143/I143)</f>
        <v>0.0315154462</v>
      </c>
      <c r="M144" s="2"/>
      <c r="N144" s="2"/>
      <c r="O144" s="2"/>
      <c r="P144" s="2"/>
      <c r="Q144" s="103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03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03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03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03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03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03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03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03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03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03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03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03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03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03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03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03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03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03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03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03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03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03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03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03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03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03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03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03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03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03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03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03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03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03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03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03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03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03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03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03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03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03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03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03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03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03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03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03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03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03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03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03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03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03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03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03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03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03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03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03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03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03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03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03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03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03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03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03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03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03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03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03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03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03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03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03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03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03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03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03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03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03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03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03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03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03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03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03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03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03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03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03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03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03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03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03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03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03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03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03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03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03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03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03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03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03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03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03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03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03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03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03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03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03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03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03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03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03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03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03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03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03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03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03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03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03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03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03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03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03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03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03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03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03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03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03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03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03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03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03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03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03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03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03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03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03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03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03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03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03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03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03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03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03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03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03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03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03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03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03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03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03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03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03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03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03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03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03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03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03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03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03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03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03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03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03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03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03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03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03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03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03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03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03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03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03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03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03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03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03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03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03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03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03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03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03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03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03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03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03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03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03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03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03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03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03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03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03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03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03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03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03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03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03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03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03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03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03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03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03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03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03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03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03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03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03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03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03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03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03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03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03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03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03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03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03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03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03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03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03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03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03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03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03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03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03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03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03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03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03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03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03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03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03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03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03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03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03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03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03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03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03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03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03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03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03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03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03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03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03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03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03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03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03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03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03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03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03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03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03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03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03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03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03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03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03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03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03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03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03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03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03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03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03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03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03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03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03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03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03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03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03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03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03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03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03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03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03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03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03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03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03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03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03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03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03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03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03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03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03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03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03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03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03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03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03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03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03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03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03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03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03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03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03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03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03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03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03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03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03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03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03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03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03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03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03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03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03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03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03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03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03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03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03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03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03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03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03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03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03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03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03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03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03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03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03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03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03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03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03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03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03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03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03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03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03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03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03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03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03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03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03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03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03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03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03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03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03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03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03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03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03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03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03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03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03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03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03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03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03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03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03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03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03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03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03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03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03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03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03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03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03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03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03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03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03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03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03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03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03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03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03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03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03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03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03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03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03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03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03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03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03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03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03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03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03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03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03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03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03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03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03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03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03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03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03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03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03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03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03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03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03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03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03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03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03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03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03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03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03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03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03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03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03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03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03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03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03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03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03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03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03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03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03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03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03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03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03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03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03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03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03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03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03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03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03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03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03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03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03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03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03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03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03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03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03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03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03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03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03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03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03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03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03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03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03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03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03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03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03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03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03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03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03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03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03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03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03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03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03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03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03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03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03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03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03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03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03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03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03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03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03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03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03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03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03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03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03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03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03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03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03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03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03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03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03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03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03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03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03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03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03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03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03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03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03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03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03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03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03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03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03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03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03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03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03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03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03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03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03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03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03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03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03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03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03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03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03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03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03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03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03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03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03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03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03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03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03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03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03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03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03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03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03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03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03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03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03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03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03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03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03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03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03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03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03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03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03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03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03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03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03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03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03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03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03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03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03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03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03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03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03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03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03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03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03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03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03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03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03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03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03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03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03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03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03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03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03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03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03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03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03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03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03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03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03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03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03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03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03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03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03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03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03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03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03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03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03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03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03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03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03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03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03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03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03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03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03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03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03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03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03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03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03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03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03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03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03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03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03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03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03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03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03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03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03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03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03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03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03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03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03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03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03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03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03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03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03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03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03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03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03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03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03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03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03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03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03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03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03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03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03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03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03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03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03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03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03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03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03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03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03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03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03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03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03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03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03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03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03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03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03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03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03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03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03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03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03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03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03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03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03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03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03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03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03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03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03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03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03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03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03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03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03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03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03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03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03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03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03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03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03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03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03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03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03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03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03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03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03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03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03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03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03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03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03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03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03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03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03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03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03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03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03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03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03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03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03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03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03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03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03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03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03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03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03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03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03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03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03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03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03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03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03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03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03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03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03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03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03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03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03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03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03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03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03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03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03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03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03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03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03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03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03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03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03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03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03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03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03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03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03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03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03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03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03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03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03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03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03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03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03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03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03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03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03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03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03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03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03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03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03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03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03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03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03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103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103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103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103"/>
      <c r="R1004" s="2"/>
      <c r="S1004" s="2"/>
      <c r="T1004" s="2"/>
      <c r="U1004" s="2"/>
      <c r="V1004" s="2"/>
      <c r="W1004" s="2"/>
      <c r="X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103"/>
      <c r="R1005" s="2"/>
      <c r="S1005" s="2"/>
      <c r="T1005" s="2"/>
      <c r="U1005" s="2"/>
      <c r="V1005" s="2"/>
      <c r="W1005" s="2"/>
      <c r="X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103"/>
      <c r="R1006" s="2"/>
      <c r="S1006" s="2"/>
      <c r="T1006" s="2"/>
      <c r="U1006" s="2"/>
      <c r="V1006" s="2"/>
      <c r="W1006" s="2"/>
      <c r="X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103"/>
      <c r="R1007" s="2"/>
      <c r="S1007" s="2"/>
      <c r="T1007" s="2"/>
      <c r="U1007" s="2"/>
      <c r="V1007" s="2"/>
      <c r="W1007" s="2"/>
      <c r="X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103"/>
      <c r="R1008" s="2"/>
      <c r="S1008" s="2"/>
      <c r="T1008" s="2"/>
      <c r="U1008" s="2"/>
      <c r="V1008" s="2"/>
      <c r="W1008" s="2"/>
      <c r="X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103"/>
      <c r="R1009" s="2"/>
      <c r="S1009" s="2"/>
      <c r="T1009" s="2"/>
      <c r="U1009" s="2"/>
      <c r="V1009" s="2"/>
      <c r="W1009" s="2"/>
      <c r="X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103"/>
      <c r="R1010" s="2"/>
      <c r="S1010" s="2"/>
      <c r="T1010" s="2"/>
      <c r="U1010" s="2"/>
      <c r="V1010" s="2"/>
      <c r="W1010" s="2"/>
      <c r="X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103"/>
      <c r="R1011" s="2"/>
      <c r="S1011" s="2"/>
      <c r="T1011" s="2"/>
      <c r="U1011" s="2"/>
      <c r="V1011" s="2"/>
      <c r="W1011" s="2"/>
      <c r="X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103"/>
      <c r="R1012" s="2"/>
      <c r="S1012" s="2"/>
      <c r="T1012" s="2"/>
      <c r="U1012" s="2"/>
      <c r="V1012" s="2"/>
      <c r="W1012" s="2"/>
      <c r="X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103"/>
      <c r="R1013" s="2"/>
      <c r="S1013" s="2"/>
      <c r="T1013" s="2"/>
      <c r="U1013" s="2"/>
      <c r="V1013" s="2"/>
      <c r="W1013" s="2"/>
      <c r="X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103"/>
      <c r="R1014" s="2"/>
      <c r="S1014" s="2"/>
      <c r="T1014" s="2"/>
      <c r="U1014" s="2"/>
      <c r="V1014" s="2"/>
      <c r="W1014" s="2"/>
      <c r="X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103"/>
      <c r="R1015" s="2"/>
      <c r="S1015" s="2"/>
      <c r="T1015" s="2"/>
      <c r="U1015" s="2"/>
      <c r="V1015" s="2"/>
      <c r="W1015" s="2"/>
      <c r="X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103"/>
      <c r="R1016" s="2"/>
      <c r="S1016" s="2"/>
      <c r="T1016" s="2"/>
      <c r="U1016" s="2"/>
      <c r="V1016" s="2"/>
      <c r="W1016" s="2"/>
      <c r="X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103"/>
      <c r="R1017" s="2"/>
      <c r="S1017" s="2"/>
      <c r="T1017" s="2"/>
      <c r="U1017" s="2"/>
      <c r="V1017" s="2"/>
      <c r="W1017" s="2"/>
      <c r="X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103"/>
      <c r="R1018" s="2"/>
      <c r="S1018" s="2"/>
      <c r="T1018" s="2"/>
      <c r="U1018" s="2"/>
      <c r="V1018" s="2"/>
      <c r="W1018" s="2"/>
      <c r="X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103"/>
      <c r="R1019" s="2"/>
      <c r="S1019" s="2"/>
      <c r="T1019" s="2"/>
      <c r="U1019" s="2"/>
      <c r="V1019" s="2"/>
      <c r="W1019" s="2"/>
      <c r="X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</sheetData>
  <mergeCells count="60">
    <mergeCell ref="A87:R87"/>
    <mergeCell ref="A88:R88"/>
    <mergeCell ref="A89:R89"/>
    <mergeCell ref="B97:G97"/>
    <mergeCell ref="K97:P97"/>
    <mergeCell ref="A98:R98"/>
    <mergeCell ref="B102:G102"/>
    <mergeCell ref="K102:P102"/>
    <mergeCell ref="A103:R103"/>
    <mergeCell ref="B106:G106"/>
    <mergeCell ref="K106:P106"/>
    <mergeCell ref="A109:R109"/>
    <mergeCell ref="A110:R110"/>
    <mergeCell ref="A111:R111"/>
    <mergeCell ref="A1:R1"/>
    <mergeCell ref="A2:R2"/>
    <mergeCell ref="M3:P3"/>
    <mergeCell ref="Q3:R3"/>
    <mergeCell ref="A4:I4"/>
    <mergeCell ref="A5:R5"/>
    <mergeCell ref="U6:U9"/>
    <mergeCell ref="V20:W22"/>
    <mergeCell ref="V25:W25"/>
    <mergeCell ref="V26:W26"/>
    <mergeCell ref="V27:W27"/>
    <mergeCell ref="U10:U11"/>
    <mergeCell ref="U14:U22"/>
    <mergeCell ref="V14:W16"/>
    <mergeCell ref="V17:W19"/>
    <mergeCell ref="B23:G23"/>
    <mergeCell ref="K23:P23"/>
    <mergeCell ref="A24:R24"/>
    <mergeCell ref="B29:G29"/>
    <mergeCell ref="K29:P29"/>
    <mergeCell ref="A30:R30"/>
    <mergeCell ref="B36:G36"/>
    <mergeCell ref="K36:P36"/>
    <mergeCell ref="A37:R37"/>
    <mergeCell ref="K42:P42"/>
    <mergeCell ref="A43:R43"/>
    <mergeCell ref="B45:G45"/>
    <mergeCell ref="K45:P45"/>
    <mergeCell ref="A47:R47"/>
    <mergeCell ref="A48:R48"/>
    <mergeCell ref="K52:P52"/>
    <mergeCell ref="A53:R53"/>
    <mergeCell ref="B62:G62"/>
    <mergeCell ref="K62:P62"/>
    <mergeCell ref="A66:R66"/>
    <mergeCell ref="A67:R67"/>
    <mergeCell ref="A76:R76"/>
    <mergeCell ref="A77:R77"/>
    <mergeCell ref="A78:R78"/>
    <mergeCell ref="B114:G114"/>
    <mergeCell ref="K114:P114"/>
    <mergeCell ref="A115:R115"/>
    <mergeCell ref="B120:G120"/>
    <mergeCell ref="K120:P120"/>
    <mergeCell ref="A123:R123"/>
    <mergeCell ref="A124:R124"/>
  </mergeCells>
  <dataValidations>
    <dataValidation type="list" allowBlank="1" showErrorMessage="1" sqref="E6:E22 E25:E28 E31:E35 E38:E41 E44 E49:E51 E54:E61 E68:E73 E79:E85 E90:E96 E99:E101 E104:E105 E112:E113 E116:E119 E125:E139">
      <formula1>"Permanent,Probation,Internship,Notice Period,Remote,Contract"</formula1>
    </dataValidation>
    <dataValidation type="list" allowBlank="1" showErrorMessage="1" sqref="K6:K22 K25:K28 K31:K35 K38:K41 K44 K49:K51 K54:K61 K68:K73 K79:K85 K90:K96 K99:K101 K104:K105 K112:K113 K116:K119 K125:K139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13"/>
    <col customWidth="1" min="2" max="2" width="18.5"/>
    <col customWidth="1" min="3" max="3" width="24.0"/>
    <col customWidth="1" min="4" max="4" width="15.75"/>
    <col customWidth="1" min="5" max="5" width="12.13"/>
    <col customWidth="1" min="6" max="8" width="9.25"/>
    <col customWidth="1" min="9" max="9" width="9.88"/>
    <col customWidth="1" min="10" max="10" width="14.63"/>
    <col customWidth="1" min="11" max="12" width="11.88"/>
    <col customWidth="1" min="13" max="13" width="11.75"/>
    <col customWidth="1" min="14" max="14" width="13.88"/>
    <col customWidth="1" min="15" max="15" width="12.13"/>
    <col customWidth="1" min="16" max="16" width="14.38"/>
    <col customWidth="1" min="17" max="17" width="12.75"/>
    <col customWidth="1" min="18" max="18" width="11.0"/>
    <col customWidth="1" min="19" max="19" width="14.63"/>
    <col customWidth="1" min="20" max="20" width="14.88"/>
    <col customWidth="1" hidden="1" min="21" max="21" width="3.13"/>
    <col customWidth="1" hidden="1" min="22" max="22" width="9.5"/>
    <col customWidth="1" hidden="1" min="23" max="23" width="6.5"/>
    <col customWidth="1" hidden="1" min="24" max="24" width="14.63"/>
    <col customWidth="1" hidden="1" min="25" max="25" width="15.5"/>
    <col customWidth="1" min="26" max="26" width="3.0"/>
    <col customWidth="1" min="27" max="27" width="9.0"/>
    <col customWidth="1" min="28" max="28" width="13.38"/>
  </cols>
  <sheetData>
    <row r="1">
      <c r="A1" s="108" t="s">
        <v>0</v>
      </c>
      <c r="Z1" s="109"/>
    </row>
    <row r="2">
      <c r="A2" s="110" t="s">
        <v>1</v>
      </c>
      <c r="Z2" s="109"/>
    </row>
    <row r="3">
      <c r="A3" s="111" t="s">
        <v>2</v>
      </c>
      <c r="B3" s="112" t="s">
        <v>3</v>
      </c>
      <c r="C3" s="112" t="s">
        <v>4</v>
      </c>
      <c r="D3" s="112" t="s">
        <v>5</v>
      </c>
      <c r="E3" s="113" t="s">
        <v>6</v>
      </c>
      <c r="F3" s="112" t="s">
        <v>7</v>
      </c>
      <c r="G3" s="112" t="s">
        <v>8</v>
      </c>
      <c r="H3" s="112" t="s">
        <v>289</v>
      </c>
      <c r="I3" s="112" t="s">
        <v>19</v>
      </c>
      <c r="J3" s="112" t="s">
        <v>10</v>
      </c>
      <c r="K3" s="114" t="s">
        <v>11</v>
      </c>
      <c r="L3" s="9"/>
      <c r="M3" s="115" t="s">
        <v>12</v>
      </c>
      <c r="N3" s="115" t="s">
        <v>13</v>
      </c>
      <c r="O3" s="116" t="s">
        <v>290</v>
      </c>
      <c r="P3" s="8"/>
      <c r="Q3" s="8"/>
      <c r="R3" s="9"/>
      <c r="S3" s="117" t="s">
        <v>15</v>
      </c>
      <c r="T3" s="9"/>
      <c r="U3" s="118"/>
      <c r="V3" s="119" t="s">
        <v>291</v>
      </c>
      <c r="W3" s="8"/>
      <c r="X3" s="8"/>
      <c r="Y3" s="9"/>
      <c r="Z3" s="109"/>
    </row>
    <row r="4">
      <c r="A4" s="120"/>
      <c r="B4" s="8"/>
      <c r="C4" s="8"/>
      <c r="D4" s="8"/>
      <c r="E4" s="8"/>
      <c r="F4" s="8"/>
      <c r="G4" s="8"/>
      <c r="H4" s="8"/>
      <c r="I4" s="8"/>
      <c r="J4" s="9"/>
      <c r="K4" s="121" t="s">
        <v>292</v>
      </c>
      <c r="L4" s="121" t="s">
        <v>293</v>
      </c>
      <c r="M4" s="122" t="s">
        <v>17</v>
      </c>
      <c r="N4" s="122" t="s">
        <v>18</v>
      </c>
      <c r="O4" s="122" t="s">
        <v>19</v>
      </c>
      <c r="P4" s="122" t="s">
        <v>20</v>
      </c>
      <c r="Q4" s="122" t="s">
        <v>21</v>
      </c>
      <c r="R4" s="122" t="s">
        <v>22</v>
      </c>
      <c r="S4" s="123" t="s">
        <v>23</v>
      </c>
      <c r="T4" s="122" t="s">
        <v>24</v>
      </c>
      <c r="U4" s="118"/>
      <c r="V4" s="122" t="s">
        <v>294</v>
      </c>
      <c r="W4" s="122" t="s">
        <v>295</v>
      </c>
      <c r="X4" s="122" t="s">
        <v>23</v>
      </c>
      <c r="Y4" s="122" t="s">
        <v>296</v>
      </c>
      <c r="Z4" s="109"/>
    </row>
    <row r="5">
      <c r="A5" s="124" t="s">
        <v>25</v>
      </c>
      <c r="Z5" s="109"/>
    </row>
    <row r="6">
      <c r="A6" s="125">
        <v>1.0</v>
      </c>
      <c r="B6" s="126" t="s">
        <v>42</v>
      </c>
      <c r="C6" s="126" t="s">
        <v>38</v>
      </c>
      <c r="D6" s="126" t="s">
        <v>1</v>
      </c>
      <c r="E6" s="125" t="s">
        <v>28</v>
      </c>
      <c r="F6" s="127">
        <v>42036.0</v>
      </c>
      <c r="G6" s="127">
        <v>43617.0</v>
      </c>
      <c r="H6" s="128">
        <v>44671.0</v>
      </c>
      <c r="I6" s="129">
        <v>45717.0</v>
      </c>
      <c r="J6" s="130">
        <v>300000.0</v>
      </c>
      <c r="K6" s="131">
        <v>305000.0</v>
      </c>
      <c r="L6" s="131">
        <v>330000.0</v>
      </c>
      <c r="M6" s="132" t="s">
        <v>30</v>
      </c>
      <c r="N6" s="24" t="s">
        <v>44</v>
      </c>
      <c r="O6" s="133">
        <v>0.1</v>
      </c>
      <c r="P6" s="33">
        <v>0.1</v>
      </c>
      <c r="Q6" s="24" t="s">
        <v>33</v>
      </c>
      <c r="R6" s="134">
        <v>0.1</v>
      </c>
      <c r="S6" s="26">
        <f t="shared" ref="S6:S22" si="1">sum(J6*R6)</f>
        <v>30000</v>
      </c>
      <c r="T6" s="135">
        <f t="shared" ref="T6:T22" si="2">sum(J6,S6)</f>
        <v>330000</v>
      </c>
      <c r="U6" s="136"/>
      <c r="V6" s="137">
        <v>0.1</v>
      </c>
      <c r="W6" s="138">
        <v>6.0</v>
      </c>
      <c r="X6" s="139">
        <f t="shared" ref="X6:X8" si="3">sum(T6*V6)</f>
        <v>33000</v>
      </c>
      <c r="Y6" s="139">
        <f t="shared" ref="Y6:Y8" si="4">sum(X6,T6)</f>
        <v>363000</v>
      </c>
      <c r="Z6" s="109"/>
    </row>
    <row r="7">
      <c r="A7" s="125">
        <v>2.0</v>
      </c>
      <c r="B7" s="126" t="s">
        <v>26</v>
      </c>
      <c r="C7" s="126" t="s">
        <v>27</v>
      </c>
      <c r="D7" s="126" t="s">
        <v>1</v>
      </c>
      <c r="E7" s="125" t="s">
        <v>28</v>
      </c>
      <c r="F7" s="127">
        <v>41275.0</v>
      </c>
      <c r="G7" s="127">
        <v>42583.0</v>
      </c>
      <c r="H7" s="140">
        <v>45048.0</v>
      </c>
      <c r="I7" s="129">
        <v>45444.0</v>
      </c>
      <c r="J7" s="130">
        <v>534000.0</v>
      </c>
      <c r="K7" s="131">
        <v>362000.0</v>
      </c>
      <c r="L7" s="131">
        <v>575000.0</v>
      </c>
      <c r="M7" s="132" t="s">
        <v>30</v>
      </c>
      <c r="N7" s="24" t="s">
        <v>31</v>
      </c>
      <c r="O7" s="141" t="s">
        <v>32</v>
      </c>
      <c r="P7" s="23">
        <v>0.0</v>
      </c>
      <c r="Q7" s="24" t="s">
        <v>297</v>
      </c>
      <c r="R7" s="134">
        <v>0.0</v>
      </c>
      <c r="S7" s="26">
        <f t="shared" si="1"/>
        <v>0</v>
      </c>
      <c r="T7" s="135">
        <f t="shared" si="2"/>
        <v>534000</v>
      </c>
      <c r="V7" s="137">
        <v>0.1</v>
      </c>
      <c r="W7" s="138">
        <v>6.0</v>
      </c>
      <c r="X7" s="139">
        <f t="shared" si="3"/>
        <v>53400</v>
      </c>
      <c r="Y7" s="139">
        <f t="shared" si="4"/>
        <v>587400</v>
      </c>
      <c r="Z7" s="109"/>
      <c r="AA7" s="142" t="s">
        <v>34</v>
      </c>
      <c r="AB7" s="143" t="s">
        <v>35</v>
      </c>
      <c r="AC7" s="143" t="s">
        <v>36</v>
      </c>
    </row>
    <row r="8">
      <c r="A8" s="125">
        <v>3.0</v>
      </c>
      <c r="B8" s="126" t="s">
        <v>57</v>
      </c>
      <c r="C8" s="126" t="s">
        <v>58</v>
      </c>
      <c r="D8" s="126" t="s">
        <v>1</v>
      </c>
      <c r="E8" s="125" t="s">
        <v>28</v>
      </c>
      <c r="F8" s="127">
        <v>44197.0</v>
      </c>
      <c r="G8" s="127">
        <v>44197.0</v>
      </c>
      <c r="H8" s="128">
        <v>45252.0</v>
      </c>
      <c r="I8" s="127">
        <v>45832.0</v>
      </c>
      <c r="J8" s="130">
        <v>230000.0</v>
      </c>
      <c r="K8" s="131">
        <v>230000.0</v>
      </c>
      <c r="L8" s="131">
        <v>265000.0</v>
      </c>
      <c r="M8" s="132" t="s">
        <v>52</v>
      </c>
      <c r="N8" s="92"/>
      <c r="O8" s="144"/>
      <c r="P8" s="46"/>
      <c r="Q8" s="92"/>
      <c r="R8" s="36">
        <f t="shared" ref="R8:R11" si="5">(P8/6)*Q8</f>
        <v>0</v>
      </c>
      <c r="S8" s="37">
        <f t="shared" si="1"/>
        <v>0</v>
      </c>
      <c r="T8" s="135">
        <f t="shared" si="2"/>
        <v>230000</v>
      </c>
      <c r="V8" s="137">
        <v>0.1</v>
      </c>
      <c r="W8" s="138">
        <v>6.0</v>
      </c>
      <c r="X8" s="139">
        <f t="shared" si="3"/>
        <v>23000</v>
      </c>
      <c r="Y8" s="139">
        <f t="shared" si="4"/>
        <v>253000</v>
      </c>
      <c r="Z8" s="109"/>
      <c r="AA8" s="30"/>
      <c r="AB8" s="145" t="s">
        <v>41</v>
      </c>
      <c r="AC8" s="146">
        <v>0.1</v>
      </c>
    </row>
    <row r="9">
      <c r="A9" s="125">
        <v>4.0</v>
      </c>
      <c r="B9" s="126" t="s">
        <v>68</v>
      </c>
      <c r="C9" s="126" t="s">
        <v>58</v>
      </c>
      <c r="D9" s="126" t="s">
        <v>1</v>
      </c>
      <c r="E9" s="132" t="s">
        <v>28</v>
      </c>
      <c r="F9" s="127">
        <v>44927.0</v>
      </c>
      <c r="G9" s="127">
        <v>44927.0</v>
      </c>
      <c r="H9" s="147">
        <v>45117.0</v>
      </c>
      <c r="I9" s="129">
        <v>45839.0</v>
      </c>
      <c r="J9" s="148">
        <v>180000.0</v>
      </c>
      <c r="K9" s="149">
        <v>132000.0</v>
      </c>
      <c r="L9" s="149">
        <v>165000.0</v>
      </c>
      <c r="M9" s="132" t="s">
        <v>52</v>
      </c>
      <c r="N9" s="92"/>
      <c r="O9" s="144">
        <v>0.08</v>
      </c>
      <c r="P9" s="46"/>
      <c r="Q9" s="92"/>
      <c r="R9" s="36">
        <f t="shared" si="5"/>
        <v>0</v>
      </c>
      <c r="S9" s="37">
        <f t="shared" si="1"/>
        <v>0</v>
      </c>
      <c r="T9" s="135">
        <f t="shared" si="2"/>
        <v>180000</v>
      </c>
      <c r="V9" s="137">
        <v>0.1</v>
      </c>
      <c r="W9" s="138">
        <v>6.0</v>
      </c>
      <c r="X9" s="139">
        <f>sum(T69*V9)</f>
        <v>16445</v>
      </c>
      <c r="Y9" s="139">
        <f>sum(X9,T69)</f>
        <v>180895</v>
      </c>
      <c r="Z9" s="109"/>
      <c r="AA9" s="30"/>
      <c r="AB9" s="145" t="s">
        <v>45</v>
      </c>
      <c r="AC9" s="146">
        <v>0.08</v>
      </c>
    </row>
    <row r="10">
      <c r="A10" s="125">
        <v>5.0</v>
      </c>
      <c r="B10" s="126" t="s">
        <v>62</v>
      </c>
      <c r="C10" s="126" t="s">
        <v>58</v>
      </c>
      <c r="D10" s="126" t="s">
        <v>1</v>
      </c>
      <c r="E10" s="132" t="s">
        <v>28</v>
      </c>
      <c r="F10" s="127">
        <v>44621.0</v>
      </c>
      <c r="G10" s="127">
        <v>44621.0</v>
      </c>
      <c r="H10" s="150">
        <v>45257.0</v>
      </c>
      <c r="I10" s="129">
        <v>45840.0</v>
      </c>
      <c r="J10" s="148">
        <v>200000.0</v>
      </c>
      <c r="K10" s="149">
        <v>132000.0</v>
      </c>
      <c r="L10" s="149">
        <v>165000.0</v>
      </c>
      <c r="M10" s="132" t="s">
        <v>52</v>
      </c>
      <c r="N10" s="92"/>
      <c r="O10" s="144">
        <v>0.1</v>
      </c>
      <c r="P10" s="46"/>
      <c r="Q10" s="92"/>
      <c r="R10" s="36">
        <f t="shared" si="5"/>
        <v>0</v>
      </c>
      <c r="S10" s="37">
        <f t="shared" si="1"/>
        <v>0</v>
      </c>
      <c r="T10" s="135">
        <f t="shared" si="2"/>
        <v>200000</v>
      </c>
      <c r="V10" s="137">
        <v>0.1</v>
      </c>
      <c r="W10" s="138">
        <v>6.0</v>
      </c>
      <c r="X10" s="139">
        <f t="shared" ref="X10:X13" si="6">sum(T9*V10)</f>
        <v>18000</v>
      </c>
      <c r="Y10" s="139">
        <f t="shared" ref="Y10:Y13" si="7">sum(X10,T9)</f>
        <v>198000</v>
      </c>
      <c r="Z10" s="109"/>
      <c r="AA10" s="30"/>
      <c r="AB10" s="145" t="s">
        <v>49</v>
      </c>
      <c r="AC10" s="146">
        <v>0.06</v>
      </c>
    </row>
    <row r="11">
      <c r="A11" s="125">
        <v>6.0</v>
      </c>
      <c r="B11" s="126" t="s">
        <v>74</v>
      </c>
      <c r="C11" s="126" t="s">
        <v>75</v>
      </c>
      <c r="D11" s="126" t="s">
        <v>1</v>
      </c>
      <c r="E11" s="132" t="s">
        <v>28</v>
      </c>
      <c r="F11" s="127">
        <v>44348.0</v>
      </c>
      <c r="G11" s="127">
        <v>44348.0</v>
      </c>
      <c r="H11" s="150">
        <v>45418.0</v>
      </c>
      <c r="I11" s="129">
        <v>45841.0</v>
      </c>
      <c r="J11" s="148">
        <v>150000.0</v>
      </c>
      <c r="K11" s="131">
        <v>230000.0</v>
      </c>
      <c r="L11" s="131">
        <v>265000.0</v>
      </c>
      <c r="M11" s="132" t="s">
        <v>52</v>
      </c>
      <c r="N11" s="92"/>
      <c r="O11" s="144">
        <v>0.08</v>
      </c>
      <c r="P11" s="46"/>
      <c r="Q11" s="92"/>
      <c r="R11" s="36">
        <f t="shared" si="5"/>
        <v>0</v>
      </c>
      <c r="S11" s="37">
        <f t="shared" si="1"/>
        <v>0</v>
      </c>
      <c r="T11" s="135">
        <f t="shared" si="2"/>
        <v>150000</v>
      </c>
      <c r="V11" s="137">
        <v>0.1</v>
      </c>
      <c r="W11" s="138">
        <v>6.0</v>
      </c>
      <c r="X11" s="139">
        <f t="shared" si="6"/>
        <v>20000</v>
      </c>
      <c r="Y11" s="139">
        <f t="shared" si="7"/>
        <v>220000</v>
      </c>
      <c r="Z11" s="109"/>
      <c r="AA11" s="151"/>
      <c r="AB11" s="145" t="s">
        <v>53</v>
      </c>
      <c r="AC11" s="146">
        <v>0.05</v>
      </c>
    </row>
    <row r="12">
      <c r="A12" s="125">
        <v>7.0</v>
      </c>
      <c r="B12" s="126" t="s">
        <v>46</v>
      </c>
      <c r="C12" s="126" t="s">
        <v>38</v>
      </c>
      <c r="D12" s="126" t="s">
        <v>1</v>
      </c>
      <c r="E12" s="132" t="s">
        <v>28</v>
      </c>
      <c r="F12" s="127">
        <v>42979.0</v>
      </c>
      <c r="G12" s="127">
        <v>43466.0</v>
      </c>
      <c r="H12" s="152">
        <v>45418.0</v>
      </c>
      <c r="I12" s="129">
        <v>45717.0</v>
      </c>
      <c r="J12" s="148">
        <v>432000.0</v>
      </c>
      <c r="K12" s="131">
        <v>305000.0</v>
      </c>
      <c r="L12" s="131">
        <v>330000.0</v>
      </c>
      <c r="M12" s="132" t="s">
        <v>30</v>
      </c>
      <c r="N12" s="24" t="s">
        <v>48</v>
      </c>
      <c r="O12" s="133">
        <v>0.06</v>
      </c>
      <c r="P12" s="133">
        <v>0.06</v>
      </c>
      <c r="Q12" s="24" t="s">
        <v>33</v>
      </c>
      <c r="R12" s="134">
        <v>0.06</v>
      </c>
      <c r="S12" s="26">
        <f t="shared" si="1"/>
        <v>25920</v>
      </c>
      <c r="T12" s="135">
        <f t="shared" si="2"/>
        <v>457920</v>
      </c>
      <c r="V12" s="137">
        <v>0.1</v>
      </c>
      <c r="W12" s="138">
        <v>6.0</v>
      </c>
      <c r="X12" s="139">
        <f t="shared" si="6"/>
        <v>15000</v>
      </c>
      <c r="Y12" s="139">
        <f t="shared" si="7"/>
        <v>165000</v>
      </c>
      <c r="Z12" s="109"/>
      <c r="AA12" s="43"/>
      <c r="AB12" s="145" t="s">
        <v>56</v>
      </c>
      <c r="AC12" s="146">
        <v>0.0</v>
      </c>
    </row>
    <row r="13">
      <c r="A13" s="125">
        <v>8.0</v>
      </c>
      <c r="B13" s="126" t="s">
        <v>37</v>
      </c>
      <c r="C13" s="126" t="s">
        <v>38</v>
      </c>
      <c r="D13" s="126" t="s">
        <v>1</v>
      </c>
      <c r="E13" s="132" t="s">
        <v>28</v>
      </c>
      <c r="F13" s="127">
        <v>43556.0</v>
      </c>
      <c r="G13" s="127">
        <v>43556.0</v>
      </c>
      <c r="H13" s="147">
        <v>45446.0</v>
      </c>
      <c r="I13" s="129">
        <v>45717.0</v>
      </c>
      <c r="J13" s="148">
        <v>424000.0</v>
      </c>
      <c r="K13" s="131">
        <v>305000.0</v>
      </c>
      <c r="L13" s="131">
        <v>330000.0</v>
      </c>
      <c r="M13" s="132" t="s">
        <v>30</v>
      </c>
      <c r="N13" s="24" t="s">
        <v>40</v>
      </c>
      <c r="O13" s="133">
        <v>0.06</v>
      </c>
      <c r="P13" s="133">
        <v>0.06</v>
      </c>
      <c r="Q13" s="24" t="s">
        <v>33</v>
      </c>
      <c r="R13" s="134">
        <v>0.06</v>
      </c>
      <c r="S13" s="26">
        <f t="shared" si="1"/>
        <v>25440</v>
      </c>
      <c r="T13" s="135">
        <f t="shared" si="2"/>
        <v>449440</v>
      </c>
      <c r="V13" s="137">
        <v>0.1</v>
      </c>
      <c r="W13" s="138">
        <v>6.0</v>
      </c>
      <c r="X13" s="139">
        <f t="shared" si="6"/>
        <v>45792</v>
      </c>
      <c r="Y13" s="139">
        <f t="shared" si="7"/>
        <v>503712</v>
      </c>
      <c r="Z13" s="109"/>
    </row>
    <row r="14">
      <c r="A14" s="125">
        <v>9.0</v>
      </c>
      <c r="B14" s="126" t="s">
        <v>60</v>
      </c>
      <c r="C14" s="126" t="s">
        <v>58</v>
      </c>
      <c r="D14" s="126" t="s">
        <v>1</v>
      </c>
      <c r="E14" s="125" t="s">
        <v>28</v>
      </c>
      <c r="F14" s="127">
        <v>44256.0</v>
      </c>
      <c r="G14" s="127">
        <v>44256.0</v>
      </c>
      <c r="H14" s="153">
        <v>45700.0</v>
      </c>
      <c r="I14" s="125" t="s">
        <v>298</v>
      </c>
      <c r="J14" s="130">
        <v>250000.0</v>
      </c>
      <c r="K14" s="131">
        <v>230000.0</v>
      </c>
      <c r="L14" s="131">
        <v>265000.0</v>
      </c>
      <c r="M14" s="132" t="s">
        <v>30</v>
      </c>
      <c r="N14" s="44" t="s">
        <v>61</v>
      </c>
      <c r="O14" s="16" t="s">
        <v>32</v>
      </c>
      <c r="P14" s="154">
        <v>0.08</v>
      </c>
      <c r="Q14" s="44" t="s">
        <v>299</v>
      </c>
      <c r="R14" s="154">
        <v>0.08</v>
      </c>
      <c r="S14" s="20">
        <f t="shared" si="1"/>
        <v>20000</v>
      </c>
      <c r="T14" s="135">
        <f t="shared" si="2"/>
        <v>270000</v>
      </c>
      <c r="V14" s="137">
        <v>0.1</v>
      </c>
      <c r="W14" s="138">
        <v>6.0</v>
      </c>
      <c r="X14" s="139">
        <f>sum(T96*V14)</f>
        <v>31784.4</v>
      </c>
      <c r="Y14" s="139">
        <f>sum(X14,T96)</f>
        <v>349628.4</v>
      </c>
      <c r="Z14" s="109"/>
    </row>
    <row r="15">
      <c r="A15" s="125">
        <v>10.0</v>
      </c>
      <c r="B15" s="126" t="s">
        <v>54</v>
      </c>
      <c r="C15" s="126" t="s">
        <v>38</v>
      </c>
      <c r="D15" s="126" t="s">
        <v>1</v>
      </c>
      <c r="E15" s="132" t="s">
        <v>28</v>
      </c>
      <c r="F15" s="127">
        <v>42948.0</v>
      </c>
      <c r="G15" s="127">
        <v>44136.0</v>
      </c>
      <c r="H15" s="150">
        <v>45719.0</v>
      </c>
      <c r="I15" s="132" t="s">
        <v>298</v>
      </c>
      <c r="J15" s="148">
        <v>325000.0</v>
      </c>
      <c r="K15" s="131">
        <v>305000.0</v>
      </c>
      <c r="L15" s="131">
        <v>330000.0</v>
      </c>
      <c r="M15" s="132" t="s">
        <v>30</v>
      </c>
      <c r="N15" s="44" t="s">
        <v>55</v>
      </c>
      <c r="O15" s="16" t="s">
        <v>32</v>
      </c>
      <c r="P15" s="154">
        <v>0.08</v>
      </c>
      <c r="Q15" s="44" t="s">
        <v>33</v>
      </c>
      <c r="R15" s="155">
        <v>0.08</v>
      </c>
      <c r="S15" s="20">
        <f t="shared" si="1"/>
        <v>26000</v>
      </c>
      <c r="T15" s="135">
        <f t="shared" si="2"/>
        <v>351000</v>
      </c>
      <c r="V15" s="137">
        <v>0.1</v>
      </c>
      <c r="W15" s="138">
        <v>6.0</v>
      </c>
      <c r="X15" s="139">
        <f t="shared" ref="X15:X17" si="8">sum(T13*V15)</f>
        <v>44944</v>
      </c>
      <c r="Y15" s="139">
        <f t="shared" ref="Y15:Y17" si="9">sum(X15,T13)</f>
        <v>494384</v>
      </c>
      <c r="Z15" s="109"/>
      <c r="AA15" s="156" t="s">
        <v>64</v>
      </c>
      <c r="AB15" s="157" t="s">
        <v>65</v>
      </c>
      <c r="AC15" s="49"/>
    </row>
    <row r="16">
      <c r="A16" s="125">
        <v>11.0</v>
      </c>
      <c r="B16" s="126" t="s">
        <v>69</v>
      </c>
      <c r="C16" s="126" t="s">
        <v>58</v>
      </c>
      <c r="D16" s="126" t="s">
        <v>1</v>
      </c>
      <c r="E16" s="132" t="s">
        <v>28</v>
      </c>
      <c r="F16" s="127">
        <v>44958.0</v>
      </c>
      <c r="G16" s="127">
        <v>44958.0</v>
      </c>
      <c r="H16" s="150">
        <v>45761.0</v>
      </c>
      <c r="I16" s="132" t="s">
        <v>298</v>
      </c>
      <c r="J16" s="148">
        <v>200000.0</v>
      </c>
      <c r="K16" s="149">
        <v>132000.0</v>
      </c>
      <c r="L16" s="149">
        <v>165000.0</v>
      </c>
      <c r="M16" s="132" t="s">
        <v>52</v>
      </c>
      <c r="N16" s="92"/>
      <c r="O16" s="46"/>
      <c r="P16" s="46"/>
      <c r="Q16" s="92"/>
      <c r="R16" s="36">
        <f t="shared" ref="R16:R22" si="10">(P16/6)*Q16</f>
        <v>0</v>
      </c>
      <c r="S16" s="37">
        <f t="shared" si="1"/>
        <v>0</v>
      </c>
      <c r="T16" s="135">
        <f t="shared" si="2"/>
        <v>200000</v>
      </c>
      <c r="V16" s="137">
        <v>0.1</v>
      </c>
      <c r="W16" s="138">
        <v>6.0</v>
      </c>
      <c r="X16" s="139">
        <f t="shared" si="8"/>
        <v>27000</v>
      </c>
      <c r="Y16" s="139">
        <f t="shared" si="9"/>
        <v>297000</v>
      </c>
      <c r="Z16" s="109"/>
      <c r="AA16" s="30"/>
      <c r="AB16" s="50"/>
      <c r="AC16" s="51"/>
    </row>
    <row r="17">
      <c r="A17" s="125">
        <v>12.0</v>
      </c>
      <c r="B17" s="126" t="s">
        <v>71</v>
      </c>
      <c r="C17" s="126" t="s">
        <v>58</v>
      </c>
      <c r="D17" s="126" t="s">
        <v>1</v>
      </c>
      <c r="E17" s="132" t="s">
        <v>28</v>
      </c>
      <c r="F17" s="127">
        <v>44562.0</v>
      </c>
      <c r="G17" s="127">
        <v>44562.0</v>
      </c>
      <c r="H17" s="150">
        <v>45818.0</v>
      </c>
      <c r="I17" s="132" t="s">
        <v>298</v>
      </c>
      <c r="J17" s="148">
        <v>290000.0</v>
      </c>
      <c r="K17" s="149">
        <v>132000.0</v>
      </c>
      <c r="L17" s="149">
        <v>165000.0</v>
      </c>
      <c r="M17" s="132" t="s">
        <v>52</v>
      </c>
      <c r="N17" s="92"/>
      <c r="O17" s="46"/>
      <c r="P17" s="46"/>
      <c r="Q17" s="92"/>
      <c r="R17" s="36">
        <f t="shared" si="10"/>
        <v>0</v>
      </c>
      <c r="S17" s="37">
        <f t="shared" si="1"/>
        <v>0</v>
      </c>
      <c r="T17" s="135">
        <f t="shared" si="2"/>
        <v>290000</v>
      </c>
      <c r="V17" s="137">
        <v>0.1</v>
      </c>
      <c r="W17" s="138">
        <v>6.0</v>
      </c>
      <c r="X17" s="139">
        <f t="shared" si="8"/>
        <v>35100</v>
      </c>
      <c r="Y17" s="139">
        <f t="shared" si="9"/>
        <v>386100</v>
      </c>
      <c r="Z17" s="109"/>
      <c r="AA17" s="30"/>
      <c r="AB17" s="52"/>
      <c r="AC17" s="53"/>
    </row>
    <row r="18">
      <c r="A18" s="125">
        <v>13.0</v>
      </c>
      <c r="B18" s="126" t="s">
        <v>66</v>
      </c>
      <c r="C18" s="126" t="s">
        <v>58</v>
      </c>
      <c r="D18" s="126" t="s">
        <v>1</v>
      </c>
      <c r="E18" s="132" t="s">
        <v>28</v>
      </c>
      <c r="F18" s="127">
        <v>44774.0</v>
      </c>
      <c r="G18" s="127">
        <v>44774.0</v>
      </c>
      <c r="H18" s="150">
        <v>45818.0</v>
      </c>
      <c r="I18" s="132" t="s">
        <v>298</v>
      </c>
      <c r="J18" s="148">
        <v>240000.0</v>
      </c>
      <c r="K18" s="131">
        <v>230000.0</v>
      </c>
      <c r="L18" s="131">
        <v>265000.0</v>
      </c>
      <c r="M18" s="132" t="s">
        <v>52</v>
      </c>
      <c r="N18" s="92"/>
      <c r="O18" s="46"/>
      <c r="P18" s="46"/>
      <c r="Q18" s="92"/>
      <c r="R18" s="36">
        <f t="shared" si="10"/>
        <v>0</v>
      </c>
      <c r="S18" s="37">
        <f t="shared" si="1"/>
        <v>0</v>
      </c>
      <c r="T18" s="135">
        <f t="shared" si="2"/>
        <v>240000</v>
      </c>
      <c r="U18" s="136"/>
      <c r="V18" s="137"/>
      <c r="W18" s="138"/>
      <c r="X18" s="139"/>
      <c r="Y18" s="158"/>
      <c r="Z18" s="109"/>
      <c r="AA18" s="30"/>
      <c r="AB18" s="159" t="s">
        <v>70</v>
      </c>
      <c r="AC18" s="49"/>
    </row>
    <row r="19">
      <c r="A19" s="125">
        <v>14.0</v>
      </c>
      <c r="B19" s="126" t="s">
        <v>50</v>
      </c>
      <c r="C19" s="126" t="s">
        <v>38</v>
      </c>
      <c r="D19" s="126" t="s">
        <v>1</v>
      </c>
      <c r="E19" s="132" t="s">
        <v>28</v>
      </c>
      <c r="F19" s="127">
        <v>44044.0</v>
      </c>
      <c r="G19" s="127">
        <v>44044.0</v>
      </c>
      <c r="H19" s="150">
        <v>45818.0</v>
      </c>
      <c r="I19" s="132" t="s">
        <v>298</v>
      </c>
      <c r="J19" s="148">
        <v>400000.0</v>
      </c>
      <c r="K19" s="131">
        <v>305000.0</v>
      </c>
      <c r="L19" s="131">
        <v>330000.0</v>
      </c>
      <c r="M19" s="132" t="s">
        <v>52</v>
      </c>
      <c r="N19" s="92"/>
      <c r="O19" s="46"/>
      <c r="P19" s="46"/>
      <c r="Q19" s="92"/>
      <c r="R19" s="36">
        <f t="shared" si="10"/>
        <v>0</v>
      </c>
      <c r="S19" s="37">
        <f t="shared" si="1"/>
        <v>0</v>
      </c>
      <c r="T19" s="135">
        <f t="shared" si="2"/>
        <v>400000</v>
      </c>
      <c r="U19" s="136"/>
      <c r="V19" s="137"/>
      <c r="W19" s="138"/>
      <c r="X19" s="139"/>
      <c r="Y19" s="158"/>
      <c r="Z19" s="109"/>
      <c r="AA19" s="30"/>
      <c r="AB19" s="50"/>
      <c r="AC19" s="51"/>
    </row>
    <row r="20">
      <c r="A20" s="125">
        <v>15.0</v>
      </c>
      <c r="B20" s="126" t="s">
        <v>72</v>
      </c>
      <c r="C20" s="126" t="s">
        <v>58</v>
      </c>
      <c r="D20" s="126" t="s">
        <v>1</v>
      </c>
      <c r="E20" s="132" t="s">
        <v>73</v>
      </c>
      <c r="F20" s="127">
        <v>44562.0</v>
      </c>
      <c r="G20" s="127">
        <v>44562.0</v>
      </c>
      <c r="H20" s="150">
        <v>45820.0</v>
      </c>
      <c r="I20" s="132" t="s">
        <v>298</v>
      </c>
      <c r="J20" s="148">
        <v>270000.0</v>
      </c>
      <c r="K20" s="131">
        <v>305000.0</v>
      </c>
      <c r="L20" s="131">
        <v>330000.0</v>
      </c>
      <c r="M20" s="132" t="s">
        <v>52</v>
      </c>
      <c r="N20" s="92"/>
      <c r="O20" s="46"/>
      <c r="P20" s="46"/>
      <c r="Q20" s="92"/>
      <c r="R20" s="36">
        <f t="shared" si="10"/>
        <v>0</v>
      </c>
      <c r="S20" s="37">
        <f t="shared" si="1"/>
        <v>0</v>
      </c>
      <c r="T20" s="135">
        <f t="shared" si="2"/>
        <v>270000</v>
      </c>
      <c r="U20" s="136"/>
      <c r="V20" s="137"/>
      <c r="W20" s="138"/>
      <c r="X20" s="139"/>
      <c r="Y20" s="158"/>
      <c r="Z20" s="109"/>
      <c r="AA20" s="30"/>
      <c r="AB20" s="52"/>
      <c r="AC20" s="53"/>
    </row>
    <row r="21">
      <c r="A21" s="125">
        <v>16.0</v>
      </c>
      <c r="B21" s="126" t="s">
        <v>77</v>
      </c>
      <c r="C21" s="126" t="s">
        <v>78</v>
      </c>
      <c r="D21" s="126" t="s">
        <v>1</v>
      </c>
      <c r="E21" s="132" t="s">
        <v>73</v>
      </c>
      <c r="F21" s="127">
        <v>44044.0</v>
      </c>
      <c r="G21" s="127">
        <v>44044.0</v>
      </c>
      <c r="H21" s="150">
        <v>45890.0</v>
      </c>
      <c r="I21" s="132" t="s">
        <v>298</v>
      </c>
      <c r="J21" s="148">
        <v>280000.0</v>
      </c>
      <c r="K21" s="131">
        <v>305000.0</v>
      </c>
      <c r="L21" s="131">
        <v>330000.0</v>
      </c>
      <c r="M21" s="132" t="s">
        <v>52</v>
      </c>
      <c r="N21" s="92"/>
      <c r="O21" s="46"/>
      <c r="P21" s="46"/>
      <c r="Q21" s="92"/>
      <c r="R21" s="36">
        <f t="shared" si="10"/>
        <v>0</v>
      </c>
      <c r="S21" s="37">
        <f t="shared" si="1"/>
        <v>0</v>
      </c>
      <c r="T21" s="135">
        <f t="shared" si="2"/>
        <v>280000</v>
      </c>
      <c r="U21" s="136"/>
      <c r="V21" s="137"/>
      <c r="W21" s="138"/>
      <c r="X21" s="139"/>
      <c r="Y21" s="158"/>
      <c r="Z21" s="109"/>
      <c r="AA21" s="30"/>
      <c r="AB21" s="160" t="s">
        <v>76</v>
      </c>
      <c r="AC21" s="49"/>
    </row>
    <row r="22">
      <c r="A22" s="125">
        <v>17.0</v>
      </c>
      <c r="B22" s="126" t="s">
        <v>79</v>
      </c>
      <c r="C22" s="126" t="s">
        <v>80</v>
      </c>
      <c r="D22" s="126" t="s">
        <v>1</v>
      </c>
      <c r="E22" s="132" t="s">
        <v>73</v>
      </c>
      <c r="F22" s="127">
        <v>44348.0</v>
      </c>
      <c r="G22" s="127">
        <v>44348.0</v>
      </c>
      <c r="H22" s="150">
        <v>45901.0</v>
      </c>
      <c r="I22" s="132" t="s">
        <v>298</v>
      </c>
      <c r="J22" s="148">
        <v>190000.0</v>
      </c>
      <c r="K22" s="131">
        <v>305000.0</v>
      </c>
      <c r="L22" s="131">
        <v>330000.0</v>
      </c>
      <c r="M22" s="132" t="s">
        <v>52</v>
      </c>
      <c r="N22" s="92"/>
      <c r="O22" s="46"/>
      <c r="P22" s="46"/>
      <c r="Q22" s="92"/>
      <c r="R22" s="36">
        <f t="shared" si="10"/>
        <v>0</v>
      </c>
      <c r="S22" s="37">
        <f t="shared" si="1"/>
        <v>0</v>
      </c>
      <c r="T22" s="135">
        <f t="shared" si="2"/>
        <v>190000</v>
      </c>
      <c r="U22" s="136"/>
      <c r="V22" s="137"/>
      <c r="W22" s="138"/>
      <c r="X22" s="139"/>
      <c r="Y22" s="158"/>
      <c r="Z22" s="109"/>
      <c r="AA22" s="30"/>
      <c r="AB22" s="50"/>
      <c r="AC22" s="51"/>
    </row>
    <row r="23">
      <c r="A23" s="161">
        <v>17.0</v>
      </c>
      <c r="B23" s="162"/>
      <c r="I23" s="163"/>
      <c r="J23" s="163">
        <f>sum(J6:J22)</f>
        <v>4895000</v>
      </c>
      <c r="K23" s="163"/>
      <c r="L23" s="163"/>
      <c r="M23" s="164"/>
      <c r="S23" s="165">
        <f t="shared" ref="S23:T23" si="11">sum(S6:S22)</f>
        <v>127360</v>
      </c>
      <c r="T23" s="166">
        <f t="shared" si="11"/>
        <v>5022360</v>
      </c>
      <c r="U23" s="136"/>
      <c r="V23" s="137"/>
      <c r="W23" s="138"/>
      <c r="X23" s="139"/>
      <c r="Y23" s="158"/>
      <c r="Z23" s="109"/>
      <c r="AA23" s="43"/>
      <c r="AB23" s="52"/>
      <c r="AC23" s="53"/>
    </row>
    <row r="24">
      <c r="A24" s="124" t="s">
        <v>81</v>
      </c>
      <c r="Z24" s="109"/>
    </row>
    <row r="25">
      <c r="A25" s="167">
        <v>1.0</v>
      </c>
      <c r="B25" s="168" t="s">
        <v>82</v>
      </c>
      <c r="C25" s="169" t="s">
        <v>83</v>
      </c>
      <c r="D25" s="126" t="s">
        <v>1</v>
      </c>
      <c r="E25" s="167" t="s">
        <v>73</v>
      </c>
      <c r="F25" s="127">
        <v>43497.0</v>
      </c>
      <c r="G25" s="127">
        <v>43497.0</v>
      </c>
      <c r="H25" s="150">
        <v>45818.0</v>
      </c>
      <c r="I25" s="170" t="s">
        <v>298</v>
      </c>
      <c r="J25" s="171">
        <v>480000.0</v>
      </c>
      <c r="K25" s="131">
        <v>320000.0</v>
      </c>
      <c r="L25" s="131">
        <v>360000.0</v>
      </c>
      <c r="M25" s="125" t="s">
        <v>52</v>
      </c>
      <c r="N25" s="92"/>
      <c r="O25" s="46"/>
      <c r="P25" s="46"/>
      <c r="Q25" s="92"/>
      <c r="R25" s="36">
        <f>(P25/6)*Q25</f>
        <v>0</v>
      </c>
      <c r="S25" s="37">
        <f t="shared" ref="S25:S28" si="12">sum(J25*R25)</f>
        <v>0</v>
      </c>
      <c r="T25" s="135">
        <f t="shared" ref="T25:T28" si="13">sum(J25,S25)</f>
        <v>480000</v>
      </c>
      <c r="U25" s="136"/>
      <c r="V25" s="137"/>
      <c r="W25" s="138"/>
      <c r="X25" s="139"/>
      <c r="Y25" s="158"/>
      <c r="Z25" s="109"/>
    </row>
    <row r="26">
      <c r="A26" s="167">
        <v>2.0</v>
      </c>
      <c r="B26" s="169" t="s">
        <v>86</v>
      </c>
      <c r="C26" s="169" t="s">
        <v>83</v>
      </c>
      <c r="D26" s="126" t="s">
        <v>1</v>
      </c>
      <c r="E26" s="167" t="s">
        <v>28</v>
      </c>
      <c r="F26" s="127">
        <v>42736.0</v>
      </c>
      <c r="G26" s="127">
        <v>42736.0</v>
      </c>
      <c r="H26" s="150">
        <v>45658.0</v>
      </c>
      <c r="I26" s="170" t="s">
        <v>298</v>
      </c>
      <c r="J26" s="172">
        <v>400000.0</v>
      </c>
      <c r="K26" s="131">
        <v>320000.0</v>
      </c>
      <c r="L26" s="131">
        <v>360000.0</v>
      </c>
      <c r="M26" s="125" t="s">
        <v>30</v>
      </c>
      <c r="N26" s="24" t="s">
        <v>88</v>
      </c>
      <c r="O26" s="141" t="s">
        <v>32</v>
      </c>
      <c r="P26" s="133">
        <v>0.08</v>
      </c>
      <c r="Q26" s="24" t="s">
        <v>33</v>
      </c>
      <c r="R26" s="134">
        <v>0.08</v>
      </c>
      <c r="S26" s="26">
        <f t="shared" si="12"/>
        <v>32000</v>
      </c>
      <c r="T26" s="135">
        <f t="shared" si="13"/>
        <v>432000</v>
      </c>
      <c r="U26" s="136"/>
      <c r="V26" s="137">
        <v>0.1</v>
      </c>
      <c r="W26" s="138">
        <v>6.0</v>
      </c>
      <c r="X26" s="139">
        <f t="shared" ref="X26:X27" si="14">sum(T26*V26)</f>
        <v>43200</v>
      </c>
      <c r="Y26" s="139">
        <f t="shared" ref="Y26:Y27" si="15">sum(X26,T26)</f>
        <v>475200</v>
      </c>
      <c r="Z26" s="109"/>
      <c r="AA26" s="173"/>
      <c r="AB26" s="174" t="s">
        <v>85</v>
      </c>
    </row>
    <row r="27">
      <c r="A27" s="167">
        <v>3.0</v>
      </c>
      <c r="B27" s="175" t="s">
        <v>90</v>
      </c>
      <c r="C27" s="176" t="s">
        <v>91</v>
      </c>
      <c r="D27" s="126" t="s">
        <v>1</v>
      </c>
      <c r="E27" s="177" t="s">
        <v>28</v>
      </c>
      <c r="F27" s="127">
        <v>45413.0</v>
      </c>
      <c r="G27" s="127">
        <v>45413.0</v>
      </c>
      <c r="H27" s="150">
        <v>45414.0</v>
      </c>
      <c r="I27" s="129">
        <v>45717.0</v>
      </c>
      <c r="J27" s="178">
        <v>85500.0</v>
      </c>
      <c r="K27" s="179">
        <v>120000.0</v>
      </c>
      <c r="L27" s="179">
        <v>140000.0</v>
      </c>
      <c r="M27" s="132" t="s">
        <v>30</v>
      </c>
      <c r="N27" s="180" t="s">
        <v>93</v>
      </c>
      <c r="O27" s="181">
        <v>0.12</v>
      </c>
      <c r="P27" s="182">
        <v>0.1</v>
      </c>
      <c r="Q27" s="180" t="s">
        <v>33</v>
      </c>
      <c r="R27" s="183">
        <v>0.1</v>
      </c>
      <c r="S27" s="26">
        <f t="shared" si="12"/>
        <v>8550</v>
      </c>
      <c r="T27" s="135">
        <f t="shared" si="13"/>
        <v>94050</v>
      </c>
      <c r="V27" s="137">
        <v>0.1</v>
      </c>
      <c r="W27" s="138">
        <v>6.0</v>
      </c>
      <c r="X27" s="139">
        <f t="shared" si="14"/>
        <v>9405</v>
      </c>
      <c r="Y27" s="139">
        <f t="shared" si="15"/>
        <v>103455</v>
      </c>
      <c r="Z27" s="109"/>
      <c r="AA27" s="184"/>
      <c r="AB27" s="174" t="s">
        <v>89</v>
      </c>
    </row>
    <row r="28">
      <c r="A28" s="167">
        <v>4.0</v>
      </c>
      <c r="B28" s="169" t="s">
        <v>95</v>
      </c>
      <c r="C28" s="169" t="s">
        <v>96</v>
      </c>
      <c r="D28" s="126" t="s">
        <v>1</v>
      </c>
      <c r="E28" s="167" t="s">
        <v>73</v>
      </c>
      <c r="F28" s="127">
        <v>38565.0</v>
      </c>
      <c r="G28" s="127">
        <v>40909.0</v>
      </c>
      <c r="H28" s="150">
        <v>45922.0</v>
      </c>
      <c r="I28" s="170" t="s">
        <v>298</v>
      </c>
      <c r="J28" s="172">
        <v>500000.0</v>
      </c>
      <c r="K28" s="131">
        <v>576000.0</v>
      </c>
      <c r="L28" s="131">
        <v>720000.0</v>
      </c>
      <c r="M28" s="125" t="s">
        <v>52</v>
      </c>
      <c r="N28" s="92"/>
      <c r="O28" s="46"/>
      <c r="P28" s="46"/>
      <c r="Q28" s="92"/>
      <c r="R28" s="36">
        <f>(P28/6)*Q28</f>
        <v>0</v>
      </c>
      <c r="S28" s="37">
        <f t="shared" si="12"/>
        <v>0</v>
      </c>
      <c r="T28" s="135">
        <f t="shared" si="13"/>
        <v>500000</v>
      </c>
      <c r="U28" s="136"/>
      <c r="V28" s="137"/>
      <c r="W28" s="138"/>
      <c r="X28" s="139"/>
      <c r="Y28" s="158"/>
      <c r="Z28" s="109"/>
      <c r="AA28" s="92"/>
      <c r="AB28" s="174" t="s">
        <v>94</v>
      </c>
    </row>
    <row r="29">
      <c r="A29" s="161">
        <v>4.0</v>
      </c>
      <c r="B29" s="162"/>
      <c r="I29" s="163"/>
      <c r="J29" s="185">
        <f>SUM(J25:J28)</f>
        <v>1465500</v>
      </c>
      <c r="K29" s="185"/>
      <c r="L29" s="185"/>
      <c r="M29" s="164"/>
      <c r="S29" s="165">
        <f t="shared" ref="S29:T29" si="16">sum(S25:S28)</f>
        <v>40550</v>
      </c>
      <c r="T29" s="165">
        <f t="shared" si="16"/>
        <v>1506050</v>
      </c>
      <c r="U29" s="186"/>
      <c r="V29" s="187"/>
      <c r="W29" s="188"/>
      <c r="X29" s="166">
        <f t="shared" ref="X29:Y29" si="17">sum(X26:X27)</f>
        <v>52605</v>
      </c>
      <c r="Y29" s="189">
        <f t="shared" si="17"/>
        <v>578655</v>
      </c>
      <c r="Z29" s="109"/>
    </row>
    <row r="30">
      <c r="A30" s="190" t="s">
        <v>98</v>
      </c>
      <c r="Z30" s="109"/>
    </row>
    <row r="31">
      <c r="A31" s="125">
        <v>1.0</v>
      </c>
      <c r="B31" s="126" t="s">
        <v>99</v>
      </c>
      <c r="C31" s="126" t="s">
        <v>100</v>
      </c>
      <c r="D31" s="126" t="s">
        <v>1</v>
      </c>
      <c r="E31" s="125" t="s">
        <v>28</v>
      </c>
      <c r="F31" s="127">
        <v>43586.0</v>
      </c>
      <c r="G31" s="127">
        <v>43586.0</v>
      </c>
      <c r="H31" s="191">
        <v>45061.0</v>
      </c>
      <c r="I31" s="129">
        <v>45717.0</v>
      </c>
      <c r="J31" s="130">
        <v>225760.0</v>
      </c>
      <c r="K31" s="131">
        <v>255000.0</v>
      </c>
      <c r="L31" s="131">
        <v>295000.0</v>
      </c>
      <c r="M31" s="132" t="s">
        <v>30</v>
      </c>
      <c r="N31" s="180" t="s">
        <v>102</v>
      </c>
      <c r="O31" s="181">
        <v>0.08</v>
      </c>
      <c r="P31" s="181">
        <v>0.08</v>
      </c>
      <c r="Q31" s="180" t="s">
        <v>33</v>
      </c>
      <c r="R31" s="183">
        <v>0.08</v>
      </c>
      <c r="S31" s="135">
        <f>sum(J31*R31)</f>
        <v>18060.8</v>
      </c>
      <c r="T31" s="135">
        <f t="shared" ref="T31:T35" si="18">sum(J31,S31)</f>
        <v>243820.8</v>
      </c>
      <c r="U31" s="136"/>
      <c r="V31" s="137">
        <v>0.1</v>
      </c>
      <c r="W31" s="138">
        <v>6.0</v>
      </c>
      <c r="X31" s="139">
        <f t="shared" ref="X31:X34" si="19">sum(T31*V31)</f>
        <v>24382.08</v>
      </c>
      <c r="Y31" s="139">
        <f t="shared" ref="Y31:Y34" si="20">sum(X31,T31)</f>
        <v>268202.88</v>
      </c>
      <c r="Z31" s="109"/>
    </row>
    <row r="32">
      <c r="A32" s="125">
        <v>2.0</v>
      </c>
      <c r="B32" s="126" t="s">
        <v>103</v>
      </c>
      <c r="C32" s="126" t="s">
        <v>104</v>
      </c>
      <c r="D32" s="126" t="s">
        <v>1</v>
      </c>
      <c r="E32" s="125" t="s">
        <v>28</v>
      </c>
      <c r="F32" s="127">
        <v>45108.0</v>
      </c>
      <c r="G32" s="127">
        <v>45200.0</v>
      </c>
      <c r="H32" s="191">
        <v>45439.0</v>
      </c>
      <c r="I32" s="129">
        <v>45870.0</v>
      </c>
      <c r="J32" s="192">
        <v>89505.0</v>
      </c>
      <c r="K32" s="149">
        <v>102000.0</v>
      </c>
      <c r="L32" s="149">
        <v>130000.0</v>
      </c>
      <c r="M32" s="132" t="s">
        <v>52</v>
      </c>
      <c r="N32" s="193"/>
      <c r="O32" s="194"/>
      <c r="P32" s="194"/>
      <c r="Q32" s="193"/>
      <c r="R32" s="195"/>
      <c r="S32" s="196">
        <v>35495.0</v>
      </c>
      <c r="T32" s="135">
        <f t="shared" si="18"/>
        <v>125000</v>
      </c>
      <c r="V32" s="137">
        <v>0.1</v>
      </c>
      <c r="W32" s="138">
        <v>6.0</v>
      </c>
      <c r="X32" s="139">
        <f t="shared" si="19"/>
        <v>12500</v>
      </c>
      <c r="Y32" s="139">
        <f t="shared" si="20"/>
        <v>137500</v>
      </c>
      <c r="Z32" s="109"/>
    </row>
    <row r="33">
      <c r="A33" s="125">
        <v>3.0</v>
      </c>
      <c r="B33" s="126" t="s">
        <v>106</v>
      </c>
      <c r="C33" s="126" t="s">
        <v>100</v>
      </c>
      <c r="D33" s="126" t="s">
        <v>1</v>
      </c>
      <c r="E33" s="125" t="s">
        <v>28</v>
      </c>
      <c r="F33" s="127">
        <v>44682.0</v>
      </c>
      <c r="G33" s="127">
        <v>44682.0</v>
      </c>
      <c r="H33" s="128">
        <v>45313.0</v>
      </c>
      <c r="I33" s="129">
        <v>45870.0</v>
      </c>
      <c r="J33" s="192">
        <v>92650.0</v>
      </c>
      <c r="K33" s="149">
        <v>102000.0</v>
      </c>
      <c r="L33" s="149">
        <v>130000.0</v>
      </c>
      <c r="M33" s="132" t="s">
        <v>52</v>
      </c>
      <c r="N33" s="193"/>
      <c r="O33" s="194"/>
      <c r="P33" s="194"/>
      <c r="Q33" s="193"/>
      <c r="R33" s="195"/>
      <c r="S33" s="196">
        <v>32350.0</v>
      </c>
      <c r="T33" s="135">
        <f t="shared" si="18"/>
        <v>125000</v>
      </c>
      <c r="V33" s="137">
        <v>0.1</v>
      </c>
      <c r="W33" s="138">
        <v>6.0</v>
      </c>
      <c r="X33" s="139">
        <f t="shared" si="19"/>
        <v>12500</v>
      </c>
      <c r="Y33" s="139">
        <f t="shared" si="20"/>
        <v>137500</v>
      </c>
      <c r="Z33" s="109"/>
    </row>
    <row r="34">
      <c r="A34" s="125">
        <v>4.0</v>
      </c>
      <c r="B34" s="126" t="s">
        <v>108</v>
      </c>
      <c r="C34" s="197" t="s">
        <v>100</v>
      </c>
      <c r="D34" s="126" t="s">
        <v>1</v>
      </c>
      <c r="E34" s="125" t="s">
        <v>28</v>
      </c>
      <c r="F34" s="127">
        <v>44378.0</v>
      </c>
      <c r="G34" s="127">
        <v>44378.0</v>
      </c>
      <c r="H34" s="128">
        <v>45537.0</v>
      </c>
      <c r="I34" s="129">
        <v>45870.0</v>
      </c>
      <c r="J34" s="192">
        <v>110000.0</v>
      </c>
      <c r="K34" s="149">
        <v>175000.0</v>
      </c>
      <c r="L34" s="149">
        <v>200000.0</v>
      </c>
      <c r="M34" s="132" t="s">
        <v>52</v>
      </c>
      <c r="N34" s="193"/>
      <c r="O34" s="198"/>
      <c r="P34" s="194"/>
      <c r="Q34" s="193"/>
      <c r="R34" s="195"/>
      <c r="S34" s="196">
        <v>20000.0</v>
      </c>
      <c r="T34" s="135">
        <f t="shared" si="18"/>
        <v>130000</v>
      </c>
      <c r="V34" s="137">
        <v>0.1</v>
      </c>
      <c r="W34" s="138">
        <v>6.0</v>
      </c>
      <c r="X34" s="139">
        <f t="shared" si="19"/>
        <v>13000</v>
      </c>
      <c r="Y34" s="139">
        <f t="shared" si="20"/>
        <v>143000</v>
      </c>
      <c r="Z34" s="109"/>
    </row>
    <row r="35">
      <c r="A35" s="167">
        <v>5.0</v>
      </c>
      <c r="B35" s="126" t="s">
        <v>110</v>
      </c>
      <c r="C35" s="197" t="s">
        <v>111</v>
      </c>
      <c r="D35" s="126" t="s">
        <v>1</v>
      </c>
      <c r="E35" s="167" t="s">
        <v>73</v>
      </c>
      <c r="F35" s="127">
        <v>43101.0</v>
      </c>
      <c r="G35" s="127">
        <v>43101.0</v>
      </c>
      <c r="H35" s="150">
        <v>45922.0</v>
      </c>
      <c r="I35" s="170" t="s">
        <v>298</v>
      </c>
      <c r="J35" s="171">
        <v>230000.0</v>
      </c>
      <c r="K35" s="131">
        <v>255000.0</v>
      </c>
      <c r="L35" s="131">
        <v>295000.0</v>
      </c>
      <c r="M35" s="125" t="s">
        <v>52</v>
      </c>
      <c r="N35" s="92"/>
      <c r="O35" s="46"/>
      <c r="P35" s="46"/>
      <c r="Q35" s="92"/>
      <c r="R35" s="36">
        <f>(P35/6)*Q35</f>
        <v>0</v>
      </c>
      <c r="S35" s="37">
        <f>sum(J35*R35)</f>
        <v>0</v>
      </c>
      <c r="T35" s="135">
        <f t="shared" si="18"/>
        <v>230000</v>
      </c>
      <c r="U35" s="136"/>
      <c r="V35" s="137"/>
      <c r="W35" s="138"/>
      <c r="X35" s="139"/>
      <c r="Y35" s="158"/>
      <c r="Z35" s="109"/>
    </row>
    <row r="36">
      <c r="A36" s="161">
        <v>5.0</v>
      </c>
      <c r="B36" s="162"/>
      <c r="I36" s="163"/>
      <c r="J36" s="185">
        <f>sum(J31:J35)</f>
        <v>747915</v>
      </c>
      <c r="K36" s="185"/>
      <c r="L36" s="185"/>
      <c r="M36" s="164"/>
      <c r="S36" s="165">
        <f>sum(S31:S35)</f>
        <v>105905.8</v>
      </c>
      <c r="T36" s="165">
        <f>SUM(T31:T35)</f>
        <v>853820.8</v>
      </c>
      <c r="U36" s="186"/>
      <c r="V36" s="187"/>
      <c r="W36" s="188"/>
      <c r="X36" s="166">
        <f>sum(X31:X34)</f>
        <v>62382.08</v>
      </c>
      <c r="Y36" s="189">
        <f>SUM(Y31:Y34)</f>
        <v>686202.88</v>
      </c>
      <c r="Z36" s="109"/>
    </row>
    <row r="37">
      <c r="A37" s="124" t="s">
        <v>113</v>
      </c>
      <c r="Z37" s="109"/>
    </row>
    <row r="38">
      <c r="A38" s="125">
        <v>1.0</v>
      </c>
      <c r="B38" s="199" t="s">
        <v>114</v>
      </c>
      <c r="C38" s="199" t="s">
        <v>115</v>
      </c>
      <c r="D38" s="199" t="s">
        <v>1</v>
      </c>
      <c r="E38" s="125" t="s">
        <v>28</v>
      </c>
      <c r="F38" s="127">
        <v>42552.0</v>
      </c>
      <c r="G38" s="127">
        <v>43891.0</v>
      </c>
      <c r="H38" s="128">
        <v>45286.0</v>
      </c>
      <c r="I38" s="129">
        <v>45474.0</v>
      </c>
      <c r="J38" s="192">
        <v>450000.0</v>
      </c>
      <c r="K38" s="131">
        <v>325000.0</v>
      </c>
      <c r="L38" s="131">
        <v>380000.0</v>
      </c>
      <c r="M38" s="132" t="s">
        <v>30</v>
      </c>
      <c r="N38" s="24" t="s">
        <v>117</v>
      </c>
      <c r="O38" s="133">
        <v>0.28</v>
      </c>
      <c r="P38" s="154">
        <v>0.0</v>
      </c>
      <c r="Q38" s="24"/>
      <c r="R38" s="25">
        <f>(P38/6)*Q38</f>
        <v>0</v>
      </c>
      <c r="S38" s="135">
        <f t="shared" ref="S38:S41" si="21">sum(J38*R38)</f>
        <v>0</v>
      </c>
      <c r="T38" s="135">
        <f t="shared" ref="T38:T41" si="22">sum(J38,S38)</f>
        <v>450000</v>
      </c>
      <c r="U38" s="136"/>
      <c r="V38" s="137">
        <v>0.1</v>
      </c>
      <c r="W38" s="138">
        <v>6.0</v>
      </c>
      <c r="X38" s="139">
        <f t="shared" ref="X38:X40" si="23">sum(T38*V38)</f>
        <v>45000</v>
      </c>
      <c r="Y38" s="139">
        <f t="shared" ref="Y38:Y40" si="24">sum(X38,T38)</f>
        <v>495000</v>
      </c>
      <c r="Z38" s="109"/>
    </row>
    <row r="39">
      <c r="A39" s="125">
        <v>2.0</v>
      </c>
      <c r="B39" s="200" t="s">
        <v>118</v>
      </c>
      <c r="C39" s="201" t="s">
        <v>119</v>
      </c>
      <c r="D39" s="199" t="s">
        <v>1</v>
      </c>
      <c r="E39" s="202" t="s">
        <v>28</v>
      </c>
      <c r="F39" s="127">
        <v>44805.0</v>
      </c>
      <c r="G39" s="127">
        <v>44805.0</v>
      </c>
      <c r="H39" s="128">
        <v>45537.0</v>
      </c>
      <c r="I39" s="129">
        <v>45717.0</v>
      </c>
      <c r="J39" s="192">
        <v>140000.0</v>
      </c>
      <c r="K39" s="131">
        <v>170000.0</v>
      </c>
      <c r="L39" s="131">
        <v>200000.0</v>
      </c>
      <c r="M39" s="132" t="s">
        <v>30</v>
      </c>
      <c r="N39" s="24" t="s">
        <v>121</v>
      </c>
      <c r="O39" s="133">
        <v>0.08</v>
      </c>
      <c r="P39" s="133">
        <v>0.06</v>
      </c>
      <c r="Q39" s="24" t="s">
        <v>33</v>
      </c>
      <c r="R39" s="134">
        <v>0.06</v>
      </c>
      <c r="S39" s="135">
        <f t="shared" si="21"/>
        <v>8400</v>
      </c>
      <c r="T39" s="135">
        <f t="shared" si="22"/>
        <v>148400</v>
      </c>
      <c r="V39" s="137">
        <v>0.1</v>
      </c>
      <c r="W39" s="138">
        <v>6.0</v>
      </c>
      <c r="X39" s="139">
        <f t="shared" si="23"/>
        <v>14840</v>
      </c>
      <c r="Y39" s="139">
        <f t="shared" si="24"/>
        <v>163240</v>
      </c>
      <c r="Z39" s="109"/>
    </row>
    <row r="40">
      <c r="A40" s="125">
        <v>3.0</v>
      </c>
      <c r="B40" s="201" t="s">
        <v>122</v>
      </c>
      <c r="C40" s="201" t="s">
        <v>123</v>
      </c>
      <c r="D40" s="199" t="s">
        <v>1</v>
      </c>
      <c r="E40" s="202" t="s">
        <v>28</v>
      </c>
      <c r="F40" s="127">
        <v>42552.0</v>
      </c>
      <c r="G40" s="127">
        <v>44044.0</v>
      </c>
      <c r="H40" s="128">
        <v>45572.0</v>
      </c>
      <c r="I40" s="129">
        <v>45717.0</v>
      </c>
      <c r="J40" s="192">
        <v>295000.0</v>
      </c>
      <c r="K40" s="131">
        <v>325000.0</v>
      </c>
      <c r="L40" s="131">
        <v>380000.0</v>
      </c>
      <c r="M40" s="132" t="s">
        <v>30</v>
      </c>
      <c r="N40" s="24" t="s">
        <v>124</v>
      </c>
      <c r="O40" s="133">
        <v>0.05</v>
      </c>
      <c r="P40" s="133">
        <v>0.08</v>
      </c>
      <c r="Q40" s="24" t="s">
        <v>33</v>
      </c>
      <c r="R40" s="134">
        <v>0.08</v>
      </c>
      <c r="S40" s="135">
        <f t="shared" si="21"/>
        <v>23600</v>
      </c>
      <c r="T40" s="135">
        <f t="shared" si="22"/>
        <v>318600</v>
      </c>
      <c r="V40" s="137">
        <v>0.1</v>
      </c>
      <c r="W40" s="138">
        <v>6.0</v>
      </c>
      <c r="X40" s="139">
        <f t="shared" si="23"/>
        <v>31860</v>
      </c>
      <c r="Y40" s="139">
        <f t="shared" si="24"/>
        <v>350460</v>
      </c>
      <c r="Z40" s="109"/>
    </row>
    <row r="41">
      <c r="A41" s="125">
        <v>4.0</v>
      </c>
      <c r="B41" s="201" t="s">
        <v>125</v>
      </c>
      <c r="C41" s="201" t="s">
        <v>123</v>
      </c>
      <c r="D41" s="199" t="s">
        <v>1</v>
      </c>
      <c r="E41" s="202" t="s">
        <v>28</v>
      </c>
      <c r="F41" s="127">
        <v>43831.0</v>
      </c>
      <c r="G41" s="127">
        <v>43831.0</v>
      </c>
      <c r="H41" s="128">
        <v>45839.0</v>
      </c>
      <c r="I41" s="132" t="s">
        <v>298</v>
      </c>
      <c r="J41" s="130">
        <v>220000.0</v>
      </c>
      <c r="K41" s="131">
        <v>325000.0</v>
      </c>
      <c r="L41" s="131">
        <v>380000.0</v>
      </c>
      <c r="M41" s="132" t="s">
        <v>52</v>
      </c>
      <c r="N41" s="92"/>
      <c r="O41" s="46"/>
      <c r="P41" s="46"/>
      <c r="Q41" s="92"/>
      <c r="R41" s="36">
        <f>(P41/6)*Q41</f>
        <v>0</v>
      </c>
      <c r="S41" s="203">
        <f t="shared" si="21"/>
        <v>0</v>
      </c>
      <c r="T41" s="135">
        <f t="shared" si="22"/>
        <v>220000</v>
      </c>
      <c r="U41" s="136"/>
      <c r="V41" s="137"/>
      <c r="W41" s="138"/>
      <c r="X41" s="139"/>
      <c r="Y41" s="158"/>
      <c r="Z41" s="109"/>
    </row>
    <row r="42">
      <c r="A42" s="161">
        <v>4.0</v>
      </c>
      <c r="B42" s="162"/>
      <c r="C42" s="162"/>
      <c r="D42" s="162"/>
      <c r="E42" s="204"/>
      <c r="F42" s="205"/>
      <c r="G42" s="205"/>
      <c r="H42" s="205"/>
      <c r="I42" s="163"/>
      <c r="J42" s="185">
        <f>sum(J38:J41)</f>
        <v>1105000</v>
      </c>
      <c r="K42" s="185"/>
      <c r="L42" s="185"/>
      <c r="M42" s="164"/>
      <c r="S42" s="165">
        <f t="shared" ref="S42:T42" si="25">sum(S38:S41)</f>
        <v>32000</v>
      </c>
      <c r="T42" s="165">
        <f t="shared" si="25"/>
        <v>1137000</v>
      </c>
      <c r="U42" s="186"/>
      <c r="V42" s="187"/>
      <c r="W42" s="188"/>
      <c r="X42" s="166">
        <f>sum(X38:X40)</f>
        <v>91700</v>
      </c>
      <c r="Y42" s="189">
        <f>SUM(Y38:Y40)</f>
        <v>1008700</v>
      </c>
      <c r="Z42" s="109"/>
    </row>
    <row r="43">
      <c r="A43" s="124" t="s">
        <v>126</v>
      </c>
      <c r="Z43" s="109"/>
    </row>
    <row r="44">
      <c r="A44" s="132">
        <v>1.0</v>
      </c>
      <c r="B44" s="199" t="s">
        <v>127</v>
      </c>
      <c r="C44" s="199" t="s">
        <v>128</v>
      </c>
      <c r="D44" s="199" t="s">
        <v>1</v>
      </c>
      <c r="E44" s="132" t="s">
        <v>28</v>
      </c>
      <c r="F44" s="127">
        <v>40575.0</v>
      </c>
      <c r="G44" s="127">
        <v>40575.0</v>
      </c>
      <c r="H44" s="147">
        <v>43642.0</v>
      </c>
      <c r="I44" s="132" t="s">
        <v>298</v>
      </c>
      <c r="J44" s="206">
        <v>480000.0</v>
      </c>
      <c r="K44" s="149">
        <v>437000.0</v>
      </c>
      <c r="L44" s="149">
        <v>675000.0</v>
      </c>
      <c r="M44" s="132" t="s">
        <v>30</v>
      </c>
      <c r="N44" s="24" t="s">
        <v>32</v>
      </c>
      <c r="O44" s="141" t="s">
        <v>32</v>
      </c>
      <c r="P44" s="23"/>
      <c r="Q44" s="24" t="s">
        <v>130</v>
      </c>
      <c r="R44" s="25">
        <f>(P44/6)*Q44</f>
        <v>0</v>
      </c>
      <c r="S44" s="135">
        <f>sum(J44*R44)</f>
        <v>0</v>
      </c>
      <c r="T44" s="135">
        <f>sum(J44,S44)</f>
        <v>480000</v>
      </c>
      <c r="U44" s="136"/>
      <c r="V44" s="137">
        <v>0.1</v>
      </c>
      <c r="W44" s="138">
        <v>6.0</v>
      </c>
      <c r="X44" s="139">
        <f>sum(T44*V44)</f>
        <v>48000</v>
      </c>
      <c r="Y44" s="139">
        <f>sum(X44,T44)</f>
        <v>528000</v>
      </c>
      <c r="Z44" s="109"/>
    </row>
    <row r="45">
      <c r="A45" s="161">
        <v>1.0</v>
      </c>
      <c r="B45" s="207"/>
      <c r="I45" s="163"/>
      <c r="J45" s="185">
        <f>sum(J44)</f>
        <v>480000</v>
      </c>
      <c r="K45" s="163"/>
      <c r="L45" s="163"/>
      <c r="M45" s="164"/>
      <c r="S45" s="165">
        <f t="shared" ref="S45:T45" si="26">sum(S44)</f>
        <v>0</v>
      </c>
      <c r="T45" s="165">
        <f t="shared" si="26"/>
        <v>480000</v>
      </c>
      <c r="U45" s="186"/>
      <c r="V45" s="187"/>
      <c r="W45" s="188"/>
      <c r="X45" s="166">
        <f t="shared" ref="X45:Y45" si="27">sum(X44)</f>
        <v>48000</v>
      </c>
      <c r="Y45" s="189">
        <f t="shared" si="27"/>
        <v>528000</v>
      </c>
      <c r="Z45" s="109"/>
    </row>
    <row r="46">
      <c r="A46" s="208">
        <f>sum(A45,A42,A36,A29,A23)</f>
        <v>31</v>
      </c>
      <c r="B46" s="209"/>
      <c r="C46" s="209"/>
      <c r="D46" s="209"/>
      <c r="E46" s="210"/>
      <c r="F46" s="211"/>
      <c r="G46" s="211"/>
      <c r="H46" s="211"/>
      <c r="I46" s="208"/>
      <c r="J46" s="212">
        <f>sum(J23,J29,J36,J42,J45)</f>
        <v>8693415</v>
      </c>
      <c r="K46" s="208"/>
      <c r="L46" s="208"/>
      <c r="M46" s="213"/>
      <c r="N46" s="213"/>
      <c r="O46" s="213"/>
      <c r="P46" s="213"/>
      <c r="Q46" s="213"/>
      <c r="R46" s="213"/>
      <c r="S46" s="214">
        <f t="shared" ref="S46:T46" si="28">sum(S23,S29,S36,S42,S45)</f>
        <v>305815.8</v>
      </c>
      <c r="T46" s="212">
        <f t="shared" si="28"/>
        <v>8999230.8</v>
      </c>
      <c r="U46" s="215"/>
      <c r="V46" s="216"/>
      <c r="W46" s="216"/>
      <c r="X46" s="217" t="str">
        <f>sum(#REF!,X29,X36,X62,X42,X45)</f>
        <v>#REF!</v>
      </c>
      <c r="Y46" s="216" t="str">
        <f>sum(Y45,Y42,Y62,Y36,Y29,#REF!)</f>
        <v>#REF!</v>
      </c>
      <c r="Z46" s="109"/>
    </row>
    <row r="47">
      <c r="A47" s="218"/>
      <c r="Z47" s="109"/>
      <c r="AA47" s="219"/>
      <c r="AB47" s="219"/>
      <c r="AC47" s="219"/>
    </row>
    <row r="48">
      <c r="A48" s="124" t="s">
        <v>131</v>
      </c>
      <c r="Z48" s="109"/>
    </row>
    <row r="49">
      <c r="A49" s="132">
        <v>1.0</v>
      </c>
      <c r="B49" s="126" t="s">
        <v>132</v>
      </c>
      <c r="C49" s="126" t="s">
        <v>133</v>
      </c>
      <c r="D49" s="126" t="s">
        <v>134</v>
      </c>
      <c r="E49" s="220" t="s">
        <v>28</v>
      </c>
      <c r="F49" s="127">
        <v>43952.0</v>
      </c>
      <c r="G49" s="127">
        <v>43952.0</v>
      </c>
      <c r="H49" s="128">
        <v>45467.0</v>
      </c>
      <c r="I49" s="129">
        <v>45536.0</v>
      </c>
      <c r="J49" s="130">
        <v>200000.0</v>
      </c>
      <c r="K49" s="131">
        <v>230000.0</v>
      </c>
      <c r="L49" s="131">
        <v>235000.0</v>
      </c>
      <c r="M49" s="132" t="s">
        <v>30</v>
      </c>
      <c r="N49" s="24" t="s">
        <v>121</v>
      </c>
      <c r="O49" s="141" t="s">
        <v>32</v>
      </c>
      <c r="P49" s="33">
        <v>0.08</v>
      </c>
      <c r="Q49" s="24" t="s">
        <v>130</v>
      </c>
      <c r="R49" s="134">
        <v>0.08</v>
      </c>
      <c r="S49" s="135">
        <f t="shared" ref="S49:S51" si="29">sum(J49*R49)</f>
        <v>16000</v>
      </c>
      <c r="T49" s="135">
        <f t="shared" ref="T49:T51" si="30">sum(J49,S49)</f>
        <v>216000</v>
      </c>
      <c r="U49" s="124"/>
      <c r="V49" s="124"/>
      <c r="W49" s="124"/>
      <c r="X49" s="124"/>
      <c r="Y49" s="124"/>
      <c r="Z49" s="109"/>
    </row>
    <row r="50">
      <c r="A50" s="132">
        <v>2.0</v>
      </c>
      <c r="B50" s="126" t="s">
        <v>136</v>
      </c>
      <c r="C50" s="126" t="s">
        <v>133</v>
      </c>
      <c r="D50" s="126" t="s">
        <v>134</v>
      </c>
      <c r="E50" s="220" t="s">
        <v>28</v>
      </c>
      <c r="F50" s="127">
        <v>44835.0</v>
      </c>
      <c r="G50" s="127">
        <v>44835.0</v>
      </c>
      <c r="H50" s="128">
        <v>45642.0</v>
      </c>
      <c r="I50" s="129">
        <v>45778.0</v>
      </c>
      <c r="J50" s="130">
        <v>130000.0</v>
      </c>
      <c r="K50" s="131">
        <v>150000.0</v>
      </c>
      <c r="L50" s="131">
        <v>160000.0</v>
      </c>
      <c r="M50" s="132" t="s">
        <v>52</v>
      </c>
      <c r="N50" s="92"/>
      <c r="O50" s="46"/>
      <c r="P50" s="46"/>
      <c r="Q50" s="92"/>
      <c r="R50" s="36">
        <f t="shared" ref="R50:R51" si="31">(P50/6)*Q50</f>
        <v>0</v>
      </c>
      <c r="S50" s="203">
        <f t="shared" si="29"/>
        <v>0</v>
      </c>
      <c r="T50" s="135">
        <f t="shared" si="30"/>
        <v>130000</v>
      </c>
      <c r="U50" s="124"/>
      <c r="V50" s="124"/>
      <c r="W50" s="124"/>
      <c r="X50" s="124"/>
      <c r="Y50" s="124"/>
      <c r="Z50" s="109"/>
    </row>
    <row r="51">
      <c r="A51" s="132">
        <v>3.0</v>
      </c>
      <c r="B51" s="126" t="s">
        <v>138</v>
      </c>
      <c r="C51" s="126" t="s">
        <v>133</v>
      </c>
      <c r="D51" s="126" t="s">
        <v>134</v>
      </c>
      <c r="E51" s="220" t="s">
        <v>73</v>
      </c>
      <c r="F51" s="127">
        <v>44743.0</v>
      </c>
      <c r="G51" s="127">
        <v>44743.0</v>
      </c>
      <c r="H51" s="128">
        <v>45874.0</v>
      </c>
      <c r="I51" s="132" t="s">
        <v>298</v>
      </c>
      <c r="J51" s="130">
        <v>230000.0</v>
      </c>
      <c r="K51" s="131">
        <v>150000.0</v>
      </c>
      <c r="L51" s="131">
        <v>160000.0</v>
      </c>
      <c r="M51" s="132" t="s">
        <v>52</v>
      </c>
      <c r="N51" s="92"/>
      <c r="O51" s="46"/>
      <c r="P51" s="46"/>
      <c r="Q51" s="92"/>
      <c r="R51" s="36">
        <f t="shared" si="31"/>
        <v>0</v>
      </c>
      <c r="S51" s="203">
        <f t="shared" si="29"/>
        <v>0</v>
      </c>
      <c r="T51" s="135">
        <f t="shared" si="30"/>
        <v>230000</v>
      </c>
      <c r="U51" s="124"/>
      <c r="V51" s="124"/>
      <c r="W51" s="124"/>
      <c r="X51" s="124"/>
      <c r="Y51" s="124"/>
      <c r="Z51" s="109"/>
    </row>
    <row r="52">
      <c r="A52" s="161">
        <v>3.0</v>
      </c>
      <c r="B52" s="162"/>
      <c r="C52" s="162"/>
      <c r="D52" s="162"/>
      <c r="E52" s="204"/>
      <c r="F52" s="205"/>
      <c r="G52" s="205"/>
      <c r="H52" s="205"/>
      <c r="I52" s="163"/>
      <c r="J52" s="185">
        <f>sum(J49:J51)</f>
        <v>560000</v>
      </c>
      <c r="K52" s="185"/>
      <c r="L52" s="185"/>
      <c r="M52" s="164"/>
      <c r="S52" s="165">
        <f t="shared" ref="S52:T52" si="32">sum(S49:S51)</f>
        <v>16000</v>
      </c>
      <c r="T52" s="165">
        <f t="shared" si="32"/>
        <v>576000</v>
      </c>
      <c r="U52" s="186"/>
      <c r="V52" s="187"/>
      <c r="W52" s="188"/>
      <c r="X52" s="221">
        <f>sum(X48:X50)</f>
        <v>0</v>
      </c>
      <c r="Y52" s="222">
        <f>SUM(Y48:Y50)</f>
        <v>0</v>
      </c>
      <c r="Z52" s="109"/>
    </row>
    <row r="53">
      <c r="A53" s="124" t="s">
        <v>140</v>
      </c>
      <c r="Z53" s="109"/>
    </row>
    <row r="54">
      <c r="A54" s="125">
        <v>1.0</v>
      </c>
      <c r="B54" s="126" t="s">
        <v>141</v>
      </c>
      <c r="C54" s="126" t="s">
        <v>142</v>
      </c>
      <c r="D54" s="126" t="s">
        <v>134</v>
      </c>
      <c r="E54" s="125" t="s">
        <v>28</v>
      </c>
      <c r="F54" s="127">
        <v>43252.0</v>
      </c>
      <c r="G54" s="127">
        <v>43252.0</v>
      </c>
      <c r="H54" s="128">
        <v>44550.0</v>
      </c>
      <c r="I54" s="129">
        <v>45717.0</v>
      </c>
      <c r="J54" s="130">
        <v>286667.0</v>
      </c>
      <c r="K54" s="131">
        <v>325000.0</v>
      </c>
      <c r="L54" s="131">
        <v>400000.0</v>
      </c>
      <c r="M54" s="132" t="s">
        <v>30</v>
      </c>
      <c r="N54" s="24" t="s">
        <v>144</v>
      </c>
      <c r="O54" s="133">
        <v>0.08</v>
      </c>
      <c r="P54" s="33">
        <v>0.08</v>
      </c>
      <c r="Q54" s="24" t="s">
        <v>33</v>
      </c>
      <c r="R54" s="134">
        <v>0.08</v>
      </c>
      <c r="S54" s="135">
        <f t="shared" ref="S54:S61" si="33">sum(J54*R54)</f>
        <v>22933.36</v>
      </c>
      <c r="T54" s="135">
        <f t="shared" ref="T54:T61" si="34">sum(J54,S54)</f>
        <v>309600.36</v>
      </c>
      <c r="U54" s="136"/>
      <c r="V54" s="137">
        <v>0.1</v>
      </c>
      <c r="W54" s="138">
        <v>6.0</v>
      </c>
      <c r="X54" s="139">
        <f t="shared" ref="X54:X57" si="35">sum(T54*V54)</f>
        <v>30960.036</v>
      </c>
      <c r="Y54" s="139">
        <f t="shared" ref="Y54:Y60" si="36">sum(X54,T54)</f>
        <v>340560.396</v>
      </c>
      <c r="Z54" s="109"/>
    </row>
    <row r="55">
      <c r="A55" s="125">
        <v>2.0</v>
      </c>
      <c r="B55" s="126" t="s">
        <v>145</v>
      </c>
      <c r="C55" s="126" t="s">
        <v>58</v>
      </c>
      <c r="D55" s="126" t="s">
        <v>134</v>
      </c>
      <c r="E55" s="125" t="s">
        <v>28</v>
      </c>
      <c r="F55" s="127">
        <v>43525.0</v>
      </c>
      <c r="G55" s="127">
        <v>43922.0</v>
      </c>
      <c r="H55" s="128">
        <v>44739.0</v>
      </c>
      <c r="I55" s="129">
        <v>45717.0</v>
      </c>
      <c r="J55" s="130">
        <v>192500.0</v>
      </c>
      <c r="K55" s="131">
        <v>195000.0</v>
      </c>
      <c r="L55" s="131">
        <v>230000.0</v>
      </c>
      <c r="M55" s="132" t="s">
        <v>30</v>
      </c>
      <c r="N55" s="24" t="s">
        <v>147</v>
      </c>
      <c r="O55" s="133">
        <v>0.1</v>
      </c>
      <c r="P55" s="133">
        <v>0.1</v>
      </c>
      <c r="Q55" s="24" t="s">
        <v>33</v>
      </c>
      <c r="R55" s="134">
        <v>0.1</v>
      </c>
      <c r="S55" s="135">
        <f t="shared" si="33"/>
        <v>19250</v>
      </c>
      <c r="T55" s="135">
        <f t="shared" si="34"/>
        <v>211750</v>
      </c>
      <c r="V55" s="137">
        <v>0.1</v>
      </c>
      <c r="W55" s="138">
        <v>6.0</v>
      </c>
      <c r="X55" s="139">
        <f t="shared" si="35"/>
        <v>21175</v>
      </c>
      <c r="Y55" s="139">
        <f t="shared" si="36"/>
        <v>232925</v>
      </c>
      <c r="Z55" s="109"/>
    </row>
    <row r="56">
      <c r="A56" s="125">
        <v>3.0</v>
      </c>
      <c r="B56" s="126" t="s">
        <v>148</v>
      </c>
      <c r="C56" s="126" t="s">
        <v>58</v>
      </c>
      <c r="D56" s="126" t="s">
        <v>134</v>
      </c>
      <c r="E56" s="125" t="s">
        <v>28</v>
      </c>
      <c r="F56" s="127">
        <v>43101.0</v>
      </c>
      <c r="G56" s="127">
        <v>43101.0</v>
      </c>
      <c r="H56" s="128">
        <v>44739.0</v>
      </c>
      <c r="I56" s="129">
        <v>45717.0</v>
      </c>
      <c r="J56" s="130">
        <v>267500.0</v>
      </c>
      <c r="K56" s="131">
        <v>325000.0</v>
      </c>
      <c r="L56" s="131">
        <v>400000.0</v>
      </c>
      <c r="M56" s="132" t="s">
        <v>30</v>
      </c>
      <c r="N56" s="24" t="s">
        <v>149</v>
      </c>
      <c r="O56" s="133">
        <v>0.07</v>
      </c>
      <c r="P56" s="133">
        <v>0.06</v>
      </c>
      <c r="Q56" s="24" t="s">
        <v>33</v>
      </c>
      <c r="R56" s="134">
        <v>0.06</v>
      </c>
      <c r="S56" s="135">
        <f t="shared" si="33"/>
        <v>16050</v>
      </c>
      <c r="T56" s="135">
        <f t="shared" si="34"/>
        <v>283550</v>
      </c>
      <c r="V56" s="137">
        <v>0.1</v>
      </c>
      <c r="W56" s="138">
        <v>6.0</v>
      </c>
      <c r="X56" s="139">
        <f t="shared" si="35"/>
        <v>28355</v>
      </c>
      <c r="Y56" s="139">
        <f t="shared" si="36"/>
        <v>311905</v>
      </c>
      <c r="Z56" s="109"/>
    </row>
    <row r="57">
      <c r="A57" s="125">
        <v>4.0</v>
      </c>
      <c r="B57" s="126" t="s">
        <v>150</v>
      </c>
      <c r="C57" s="126" t="s">
        <v>151</v>
      </c>
      <c r="D57" s="126" t="s">
        <v>134</v>
      </c>
      <c r="E57" s="125" t="s">
        <v>28</v>
      </c>
      <c r="F57" s="127">
        <v>44986.0</v>
      </c>
      <c r="G57" s="127">
        <v>44986.0</v>
      </c>
      <c r="H57" s="128">
        <v>45323.0</v>
      </c>
      <c r="I57" s="129">
        <v>45717.0</v>
      </c>
      <c r="J57" s="130">
        <v>72800.0</v>
      </c>
      <c r="K57" s="131">
        <v>195000.0</v>
      </c>
      <c r="L57" s="131">
        <v>230000.0</v>
      </c>
      <c r="M57" s="132" t="s">
        <v>30</v>
      </c>
      <c r="N57" s="24" t="s">
        <v>153</v>
      </c>
      <c r="O57" s="133">
        <v>0.09</v>
      </c>
      <c r="P57" s="133">
        <v>0.1</v>
      </c>
      <c r="Q57" s="24" t="s">
        <v>33</v>
      </c>
      <c r="R57" s="134">
        <v>0.1</v>
      </c>
      <c r="S57" s="135">
        <f t="shared" si="33"/>
        <v>7280</v>
      </c>
      <c r="T57" s="135">
        <f t="shared" si="34"/>
        <v>80080</v>
      </c>
      <c r="V57" s="137">
        <v>0.1</v>
      </c>
      <c r="W57" s="138">
        <v>6.0</v>
      </c>
      <c r="X57" s="139">
        <f t="shared" si="35"/>
        <v>8008</v>
      </c>
      <c r="Y57" s="139">
        <f t="shared" si="36"/>
        <v>88088</v>
      </c>
      <c r="Z57" s="109"/>
    </row>
    <row r="58">
      <c r="A58" s="125">
        <v>5.0</v>
      </c>
      <c r="B58" s="126" t="s">
        <v>154</v>
      </c>
      <c r="C58" s="126" t="s">
        <v>58</v>
      </c>
      <c r="D58" s="126" t="s">
        <v>134</v>
      </c>
      <c r="E58" s="125" t="s">
        <v>155</v>
      </c>
      <c r="F58" s="127"/>
      <c r="G58" s="127"/>
      <c r="H58" s="128">
        <v>45316.0</v>
      </c>
      <c r="I58" s="132" t="s">
        <v>298</v>
      </c>
      <c r="J58" s="130">
        <v>110000.0</v>
      </c>
      <c r="K58" s="223"/>
      <c r="L58" s="223"/>
      <c r="M58" s="132" t="s">
        <v>30</v>
      </c>
      <c r="N58" s="24" t="s">
        <v>157</v>
      </c>
      <c r="O58" s="141" t="s">
        <v>32</v>
      </c>
      <c r="P58" s="33">
        <v>0.1</v>
      </c>
      <c r="Q58" s="24" t="s">
        <v>33</v>
      </c>
      <c r="R58" s="134">
        <v>0.1</v>
      </c>
      <c r="S58" s="135">
        <f t="shared" si="33"/>
        <v>11000</v>
      </c>
      <c r="T58" s="135">
        <f t="shared" si="34"/>
        <v>121000</v>
      </c>
      <c r="V58" s="137"/>
      <c r="W58" s="138"/>
      <c r="X58" s="139"/>
      <c r="Y58" s="139">
        <f t="shared" si="36"/>
        <v>121000</v>
      </c>
      <c r="Z58" s="109"/>
    </row>
    <row r="59">
      <c r="A59" s="125">
        <v>6.0</v>
      </c>
      <c r="B59" s="126" t="s">
        <v>158</v>
      </c>
      <c r="C59" s="126" t="s">
        <v>159</v>
      </c>
      <c r="D59" s="126" t="s">
        <v>134</v>
      </c>
      <c r="E59" s="125" t="s">
        <v>28</v>
      </c>
      <c r="F59" s="127">
        <v>44409.0</v>
      </c>
      <c r="G59" s="127">
        <v>44409.0</v>
      </c>
      <c r="H59" s="128">
        <v>45336.0</v>
      </c>
      <c r="I59" s="129">
        <v>45717.0</v>
      </c>
      <c r="J59" s="130">
        <v>130800.0</v>
      </c>
      <c r="K59" s="131">
        <v>195000.0</v>
      </c>
      <c r="L59" s="131">
        <v>230000.0</v>
      </c>
      <c r="M59" s="132" t="s">
        <v>30</v>
      </c>
      <c r="N59" s="24" t="s">
        <v>161</v>
      </c>
      <c r="O59" s="133">
        <v>0.09</v>
      </c>
      <c r="P59" s="133">
        <v>0.1</v>
      </c>
      <c r="Q59" s="24" t="s">
        <v>33</v>
      </c>
      <c r="R59" s="134">
        <v>0.1</v>
      </c>
      <c r="S59" s="135">
        <f t="shared" si="33"/>
        <v>13080</v>
      </c>
      <c r="T59" s="135">
        <f t="shared" si="34"/>
        <v>143880</v>
      </c>
      <c r="V59" s="137">
        <v>0.1</v>
      </c>
      <c r="W59" s="138">
        <v>6.0</v>
      </c>
      <c r="X59" s="139">
        <f t="shared" ref="X59:X60" si="37">sum(T59*V59)</f>
        <v>14388</v>
      </c>
      <c r="Y59" s="139">
        <f t="shared" si="36"/>
        <v>158268</v>
      </c>
      <c r="Z59" s="109"/>
    </row>
    <row r="60">
      <c r="A60" s="125">
        <v>7.0</v>
      </c>
      <c r="B60" s="126" t="s">
        <v>162</v>
      </c>
      <c r="C60" s="126" t="s">
        <v>159</v>
      </c>
      <c r="D60" s="126" t="s">
        <v>134</v>
      </c>
      <c r="E60" s="220" t="s">
        <v>28</v>
      </c>
      <c r="F60" s="127">
        <v>43983.0</v>
      </c>
      <c r="G60" s="127">
        <v>43983.0</v>
      </c>
      <c r="H60" s="128">
        <v>45467.0</v>
      </c>
      <c r="I60" s="129">
        <v>45717.0</v>
      </c>
      <c r="J60" s="130">
        <v>218000.0</v>
      </c>
      <c r="K60" s="131">
        <v>325000.0</v>
      </c>
      <c r="L60" s="131">
        <v>400000.0</v>
      </c>
      <c r="M60" s="132" t="s">
        <v>30</v>
      </c>
      <c r="N60" s="24" t="s">
        <v>163</v>
      </c>
      <c r="O60" s="133">
        <v>0.09</v>
      </c>
      <c r="P60" s="133">
        <v>0.08</v>
      </c>
      <c r="Q60" s="24" t="s">
        <v>33</v>
      </c>
      <c r="R60" s="134">
        <v>0.08</v>
      </c>
      <c r="S60" s="135">
        <f t="shared" si="33"/>
        <v>17440</v>
      </c>
      <c r="T60" s="135">
        <f t="shared" si="34"/>
        <v>235440</v>
      </c>
      <c r="V60" s="137">
        <v>0.1</v>
      </c>
      <c r="W60" s="138">
        <v>6.0</v>
      </c>
      <c r="X60" s="139">
        <f t="shared" si="37"/>
        <v>23544</v>
      </c>
      <c r="Y60" s="139">
        <f t="shared" si="36"/>
        <v>258984</v>
      </c>
      <c r="Z60" s="109"/>
    </row>
    <row r="61">
      <c r="A61" s="125">
        <v>8.0</v>
      </c>
      <c r="B61" s="126" t="s">
        <v>164</v>
      </c>
      <c r="C61" s="126" t="s">
        <v>165</v>
      </c>
      <c r="D61" s="126" t="s">
        <v>134</v>
      </c>
      <c r="E61" s="220" t="s">
        <v>73</v>
      </c>
      <c r="F61" s="127">
        <v>44197.0</v>
      </c>
      <c r="G61" s="127">
        <v>44197.0</v>
      </c>
      <c r="H61" s="128">
        <v>45908.0</v>
      </c>
      <c r="I61" s="132" t="s">
        <v>298</v>
      </c>
      <c r="J61" s="130">
        <v>120000.0</v>
      </c>
      <c r="K61" s="131">
        <v>195000.0</v>
      </c>
      <c r="L61" s="131">
        <v>230000.0</v>
      </c>
      <c r="M61" s="132" t="s">
        <v>52</v>
      </c>
      <c r="N61" s="92"/>
      <c r="O61" s="46"/>
      <c r="P61" s="46"/>
      <c r="Q61" s="92"/>
      <c r="R61" s="36">
        <f>(P61/6)*Q61</f>
        <v>0</v>
      </c>
      <c r="S61" s="203">
        <f t="shared" si="33"/>
        <v>0</v>
      </c>
      <c r="T61" s="135">
        <f t="shared" si="34"/>
        <v>120000</v>
      </c>
      <c r="V61" s="137"/>
      <c r="W61" s="138"/>
      <c r="X61" s="139"/>
      <c r="Y61" s="158"/>
      <c r="Z61" s="109"/>
    </row>
    <row r="62">
      <c r="A62" s="161">
        <v>8.0</v>
      </c>
      <c r="B62" s="162"/>
      <c r="I62" s="163"/>
      <c r="J62" s="185">
        <f>sum(J54:J61)</f>
        <v>1398267</v>
      </c>
      <c r="K62" s="185"/>
      <c r="L62" s="185"/>
      <c r="M62" s="164"/>
      <c r="S62" s="165">
        <f t="shared" ref="S62:T62" si="38">sum(S54:S61)</f>
        <v>107033.36</v>
      </c>
      <c r="T62" s="165">
        <f t="shared" si="38"/>
        <v>1505300.36</v>
      </c>
      <c r="U62" s="186"/>
      <c r="V62" s="187"/>
      <c r="W62" s="188"/>
      <c r="X62" s="166">
        <f>sum(X54:X61)</f>
        <v>126430.036</v>
      </c>
      <c r="Y62" s="189">
        <f>SUM(Y54:Y61)</f>
        <v>1511730.396</v>
      </c>
      <c r="Z62" s="109"/>
    </row>
    <row r="63">
      <c r="A63" s="208">
        <f>sum(A62,A52)</f>
        <v>11</v>
      </c>
      <c r="B63" s="209"/>
      <c r="C63" s="209"/>
      <c r="D63" s="209"/>
      <c r="E63" s="210"/>
      <c r="F63" s="211"/>
      <c r="G63" s="211"/>
      <c r="H63" s="211"/>
      <c r="I63" s="208"/>
      <c r="J63" s="214">
        <f>sum(J62,J52)</f>
        <v>1958267</v>
      </c>
      <c r="K63" s="208"/>
      <c r="L63" s="208"/>
      <c r="M63" s="213"/>
      <c r="N63" s="213"/>
      <c r="O63" s="213"/>
      <c r="P63" s="213"/>
      <c r="Q63" s="213"/>
      <c r="R63" s="213"/>
      <c r="S63" s="214">
        <f t="shared" ref="S63:T63" si="39">sum(S62,S52)</f>
        <v>123033.36</v>
      </c>
      <c r="T63" s="214">
        <f t="shared" si="39"/>
        <v>2081300.36</v>
      </c>
      <c r="U63" s="215"/>
      <c r="V63" s="216"/>
      <c r="W63" s="216"/>
      <c r="X63" s="217" t="str">
        <f>sum(#REF!,X46,X53,X73,X59,X62)</f>
        <v>#REF!</v>
      </c>
      <c r="Y63" s="216" t="str">
        <f>sum(Y62,Y59,Y73,Y53,Y46,#REF!)</f>
        <v>#REF!</v>
      </c>
      <c r="Z63" s="109"/>
    </row>
    <row r="64">
      <c r="A64" s="224">
        <f>sum(A63,A46)</f>
        <v>42</v>
      </c>
      <c r="J64" s="225">
        <f>sum(J63,J46)</f>
        <v>10651682</v>
      </c>
      <c r="S64" s="225">
        <f t="shared" ref="S64:T64" si="40">sum(S63,S46)</f>
        <v>428849.16</v>
      </c>
      <c r="T64" s="225">
        <f t="shared" si="40"/>
        <v>11080531.16</v>
      </c>
    </row>
    <row r="65">
      <c r="A65" s="226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7"/>
      <c r="AA65" s="219"/>
      <c r="AB65" s="219"/>
      <c r="AC65" s="219"/>
      <c r="AD65" s="228"/>
      <c r="AE65" s="228"/>
    </row>
    <row r="66">
      <c r="A66" s="229"/>
      <c r="Z66" s="109"/>
      <c r="AA66" s="219"/>
      <c r="AB66" s="219"/>
      <c r="AC66" s="219"/>
    </row>
    <row r="67">
      <c r="A67" s="230" t="s">
        <v>166</v>
      </c>
      <c r="Z67" s="109"/>
      <c r="AA67" s="2"/>
      <c r="AB67" s="2"/>
      <c r="AC67" s="2"/>
    </row>
    <row r="68">
      <c r="A68" s="125">
        <v>1.0</v>
      </c>
      <c r="B68" s="126" t="s">
        <v>167</v>
      </c>
      <c r="C68" s="126" t="s">
        <v>38</v>
      </c>
      <c r="D68" s="126" t="s">
        <v>168</v>
      </c>
      <c r="E68" s="132" t="s">
        <v>28</v>
      </c>
      <c r="F68" s="127">
        <v>43831.0</v>
      </c>
      <c r="G68" s="127">
        <v>43831.0</v>
      </c>
      <c r="H68" s="150">
        <v>44277.0</v>
      </c>
      <c r="I68" s="129">
        <v>45717.0</v>
      </c>
      <c r="J68" s="148">
        <v>235750.0</v>
      </c>
      <c r="K68" s="148">
        <v>230000.0</v>
      </c>
      <c r="L68" s="148">
        <v>270000.0</v>
      </c>
      <c r="M68" s="132" t="s">
        <v>30</v>
      </c>
      <c r="N68" s="24" t="s">
        <v>169</v>
      </c>
      <c r="O68" s="133">
        <v>0.1</v>
      </c>
      <c r="P68" s="33">
        <v>0.1</v>
      </c>
      <c r="Q68" s="24" t="s">
        <v>33</v>
      </c>
      <c r="R68" s="134">
        <v>0.1</v>
      </c>
      <c r="S68" s="26">
        <f t="shared" ref="S68:S73" si="41">sum(J68*R68)</f>
        <v>23575</v>
      </c>
      <c r="T68" s="135">
        <f t="shared" ref="T68:T73" si="42">sum(J68,S68)</f>
        <v>259325</v>
      </c>
      <c r="U68" s="230"/>
      <c r="V68" s="230"/>
      <c r="W68" s="230"/>
      <c r="X68" s="230"/>
      <c r="Y68" s="230"/>
      <c r="Z68" s="109"/>
      <c r="AA68" s="2"/>
      <c r="AB68" s="2"/>
      <c r="AC68" s="2"/>
    </row>
    <row r="69">
      <c r="A69" s="125">
        <v>2.0</v>
      </c>
      <c r="B69" s="126" t="s">
        <v>170</v>
      </c>
      <c r="C69" s="126" t="s">
        <v>75</v>
      </c>
      <c r="D69" s="126" t="s">
        <v>168</v>
      </c>
      <c r="E69" s="125" t="s">
        <v>28</v>
      </c>
      <c r="F69" s="127">
        <v>44531.0</v>
      </c>
      <c r="G69" s="127">
        <v>44774.0</v>
      </c>
      <c r="H69" s="153">
        <v>45145.0</v>
      </c>
      <c r="I69" s="129">
        <v>45717.0</v>
      </c>
      <c r="J69" s="130">
        <v>149500.0</v>
      </c>
      <c r="K69" s="148">
        <v>230000.0</v>
      </c>
      <c r="L69" s="148">
        <v>270000.0</v>
      </c>
      <c r="M69" s="132" t="s">
        <v>30</v>
      </c>
      <c r="N69" s="24" t="s">
        <v>171</v>
      </c>
      <c r="O69" s="133">
        <v>0.12</v>
      </c>
      <c r="P69" s="33">
        <v>0.1</v>
      </c>
      <c r="Q69" s="24" t="s">
        <v>33</v>
      </c>
      <c r="R69" s="134">
        <v>0.1</v>
      </c>
      <c r="S69" s="26">
        <f t="shared" si="41"/>
        <v>14950</v>
      </c>
      <c r="T69" s="135">
        <f t="shared" si="42"/>
        <v>164450</v>
      </c>
      <c r="U69" s="230"/>
      <c r="V69" s="230"/>
      <c r="W69" s="230"/>
      <c r="X69" s="230"/>
      <c r="Y69" s="230"/>
      <c r="Z69" s="109"/>
      <c r="AA69" s="2"/>
      <c r="AB69" s="2"/>
      <c r="AC69" s="2"/>
    </row>
    <row r="70">
      <c r="A70" s="125">
        <v>3.0</v>
      </c>
      <c r="B70" s="126" t="s">
        <v>172</v>
      </c>
      <c r="C70" s="126" t="s">
        <v>58</v>
      </c>
      <c r="D70" s="126" t="s">
        <v>168</v>
      </c>
      <c r="E70" s="132" t="s">
        <v>28</v>
      </c>
      <c r="F70" s="127">
        <v>44075.0</v>
      </c>
      <c r="G70" s="127">
        <v>44075.0</v>
      </c>
      <c r="H70" s="150">
        <v>45841.0</v>
      </c>
      <c r="I70" s="132" t="s">
        <v>298</v>
      </c>
      <c r="J70" s="148">
        <v>320000.0</v>
      </c>
      <c r="K70" s="148">
        <v>230000.0</v>
      </c>
      <c r="L70" s="148">
        <v>270000.0</v>
      </c>
      <c r="M70" s="132" t="s">
        <v>52</v>
      </c>
      <c r="N70" s="92"/>
      <c r="O70" s="46"/>
      <c r="P70" s="46"/>
      <c r="Q70" s="92"/>
      <c r="R70" s="36">
        <f t="shared" ref="R70:R73" si="43">(P70/6)*Q70</f>
        <v>0</v>
      </c>
      <c r="S70" s="37">
        <f t="shared" si="41"/>
        <v>0</v>
      </c>
      <c r="T70" s="135">
        <f t="shared" si="42"/>
        <v>320000</v>
      </c>
      <c r="U70" s="230"/>
      <c r="V70" s="230"/>
      <c r="W70" s="230"/>
      <c r="X70" s="230"/>
      <c r="Y70" s="230"/>
      <c r="Z70" s="109"/>
      <c r="AA70" s="2"/>
      <c r="AB70" s="2"/>
      <c r="AC70" s="2"/>
    </row>
    <row r="71">
      <c r="A71" s="125">
        <v>4.0</v>
      </c>
      <c r="B71" s="126" t="s">
        <v>173</v>
      </c>
      <c r="C71" s="126" t="s">
        <v>58</v>
      </c>
      <c r="D71" s="126" t="s">
        <v>168</v>
      </c>
      <c r="E71" s="132" t="s">
        <v>73</v>
      </c>
      <c r="F71" s="127">
        <v>44228.0</v>
      </c>
      <c r="G71" s="127">
        <v>44228.0</v>
      </c>
      <c r="H71" s="150">
        <v>45859.0</v>
      </c>
      <c r="I71" s="132" t="s">
        <v>298</v>
      </c>
      <c r="J71" s="148">
        <v>300000.0</v>
      </c>
      <c r="K71" s="148">
        <v>230000.0</v>
      </c>
      <c r="L71" s="148">
        <v>270000.0</v>
      </c>
      <c r="M71" s="132" t="s">
        <v>52</v>
      </c>
      <c r="N71" s="92"/>
      <c r="O71" s="46"/>
      <c r="P71" s="46"/>
      <c r="Q71" s="92"/>
      <c r="R71" s="36">
        <f t="shared" si="43"/>
        <v>0</v>
      </c>
      <c r="S71" s="37">
        <f t="shared" si="41"/>
        <v>0</v>
      </c>
      <c r="T71" s="135">
        <f t="shared" si="42"/>
        <v>300000</v>
      </c>
      <c r="U71" s="230"/>
      <c r="V71" s="230"/>
      <c r="W71" s="230"/>
      <c r="X71" s="230"/>
      <c r="Y71" s="230"/>
      <c r="Z71" s="109"/>
      <c r="AA71" s="2"/>
      <c r="AB71" s="2"/>
      <c r="AC71" s="2"/>
    </row>
    <row r="72">
      <c r="A72" s="125">
        <v>5.0</v>
      </c>
      <c r="B72" s="126" t="s">
        <v>174</v>
      </c>
      <c r="C72" s="126" t="s">
        <v>58</v>
      </c>
      <c r="D72" s="126" t="s">
        <v>168</v>
      </c>
      <c r="E72" s="132" t="s">
        <v>28</v>
      </c>
      <c r="F72" s="127">
        <v>44075.0</v>
      </c>
      <c r="G72" s="127">
        <v>44075.0</v>
      </c>
      <c r="H72" s="150">
        <v>45839.0</v>
      </c>
      <c r="I72" s="132" t="s">
        <v>298</v>
      </c>
      <c r="J72" s="148">
        <v>280000.0</v>
      </c>
      <c r="K72" s="148">
        <v>230000.0</v>
      </c>
      <c r="L72" s="148">
        <v>270000.0</v>
      </c>
      <c r="M72" s="132" t="s">
        <v>52</v>
      </c>
      <c r="N72" s="92"/>
      <c r="O72" s="46"/>
      <c r="P72" s="46"/>
      <c r="Q72" s="92"/>
      <c r="R72" s="36">
        <f t="shared" si="43"/>
        <v>0</v>
      </c>
      <c r="S72" s="37">
        <f t="shared" si="41"/>
        <v>0</v>
      </c>
      <c r="T72" s="135">
        <f t="shared" si="42"/>
        <v>280000</v>
      </c>
      <c r="U72" s="230"/>
      <c r="V72" s="230"/>
      <c r="W72" s="230"/>
      <c r="X72" s="230"/>
      <c r="Y72" s="230"/>
      <c r="Z72" s="109"/>
      <c r="AA72" s="2"/>
      <c r="AB72" s="2"/>
      <c r="AC72" s="2"/>
    </row>
    <row r="73">
      <c r="A73" s="125">
        <v>6.0</v>
      </c>
      <c r="B73" s="126" t="s">
        <v>175</v>
      </c>
      <c r="C73" s="126" t="s">
        <v>58</v>
      </c>
      <c r="D73" s="126" t="s">
        <v>168</v>
      </c>
      <c r="E73" s="132" t="s">
        <v>28</v>
      </c>
      <c r="F73" s="127">
        <v>44013.0</v>
      </c>
      <c r="G73" s="127">
        <v>44013.0</v>
      </c>
      <c r="H73" s="150">
        <v>45839.0</v>
      </c>
      <c r="I73" s="132" t="s">
        <v>298</v>
      </c>
      <c r="J73" s="148">
        <v>300000.0</v>
      </c>
      <c r="K73" s="148">
        <v>230000.0</v>
      </c>
      <c r="L73" s="148">
        <v>270000.0</v>
      </c>
      <c r="M73" s="132" t="s">
        <v>52</v>
      </c>
      <c r="N73" s="92"/>
      <c r="O73" s="46"/>
      <c r="P73" s="46"/>
      <c r="Q73" s="92"/>
      <c r="R73" s="36">
        <f t="shared" si="43"/>
        <v>0</v>
      </c>
      <c r="S73" s="37">
        <f t="shared" si="41"/>
        <v>0</v>
      </c>
      <c r="T73" s="135">
        <f t="shared" si="42"/>
        <v>300000</v>
      </c>
      <c r="U73" s="230"/>
      <c r="V73" s="230"/>
      <c r="W73" s="230"/>
      <c r="X73" s="230"/>
      <c r="Y73" s="230"/>
      <c r="Z73" s="109"/>
      <c r="AA73" s="2"/>
      <c r="AB73" s="2"/>
      <c r="AC73" s="2"/>
    </row>
    <row r="74">
      <c r="A74" s="231">
        <v>6.0</v>
      </c>
      <c r="B74" s="232"/>
      <c r="C74" s="232"/>
      <c r="D74" s="232"/>
      <c r="E74" s="232"/>
      <c r="F74" s="232"/>
      <c r="G74" s="232"/>
      <c r="H74" s="232"/>
      <c r="I74" s="232"/>
      <c r="J74" s="233">
        <f>sum(J68:J73)</f>
        <v>1585250</v>
      </c>
      <c r="K74" s="232"/>
      <c r="L74" s="232"/>
      <c r="M74" s="232"/>
      <c r="N74" s="232"/>
      <c r="O74" s="232"/>
      <c r="P74" s="232"/>
      <c r="Q74" s="232"/>
      <c r="R74" s="232"/>
      <c r="S74" s="233">
        <f t="shared" ref="S74:T74" si="44">sum(S68:S73)</f>
        <v>38525</v>
      </c>
      <c r="T74" s="233">
        <f t="shared" si="44"/>
        <v>1623775</v>
      </c>
      <c r="Z74" s="109"/>
      <c r="AA74" s="219"/>
      <c r="AB74" s="219"/>
      <c r="AC74" s="219"/>
    </row>
    <row r="7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7"/>
      <c r="AA75" s="219"/>
      <c r="AB75" s="219"/>
      <c r="AC75" s="219"/>
      <c r="AD75" s="228"/>
      <c r="AE75" s="228"/>
    </row>
    <row r="76">
      <c r="A76" s="229"/>
      <c r="Z76" s="109"/>
      <c r="AA76" s="219"/>
      <c r="AB76" s="219"/>
      <c r="AC76" s="219"/>
    </row>
    <row r="77">
      <c r="A77" s="230" t="s">
        <v>176</v>
      </c>
      <c r="Z77" s="109"/>
      <c r="AA77" s="2"/>
      <c r="AB77" s="2"/>
      <c r="AC77" s="2"/>
    </row>
    <row r="78">
      <c r="A78" s="124" t="s">
        <v>177</v>
      </c>
      <c r="Z78" s="109"/>
    </row>
    <row r="79">
      <c r="A79" s="125">
        <v>1.0</v>
      </c>
      <c r="B79" s="126" t="s">
        <v>178</v>
      </c>
      <c r="C79" s="126" t="s">
        <v>179</v>
      </c>
      <c r="D79" s="126" t="s">
        <v>180</v>
      </c>
      <c r="E79" s="125" t="s">
        <v>28</v>
      </c>
      <c r="F79" s="127">
        <v>43709.0</v>
      </c>
      <c r="G79" s="127">
        <v>43709.0</v>
      </c>
      <c r="H79" s="128">
        <v>44571.0</v>
      </c>
      <c r="I79" s="132" t="s">
        <v>298</v>
      </c>
      <c r="J79" s="192">
        <v>162000.0</v>
      </c>
      <c r="K79" s="131">
        <v>165000.0</v>
      </c>
      <c r="L79" s="131">
        <v>175000.0</v>
      </c>
      <c r="M79" s="132" t="s">
        <v>30</v>
      </c>
      <c r="N79" s="24" t="s">
        <v>182</v>
      </c>
      <c r="O79" s="133">
        <v>0.08</v>
      </c>
      <c r="P79" s="133">
        <v>0.08</v>
      </c>
      <c r="Q79" s="24" t="s">
        <v>130</v>
      </c>
      <c r="R79" s="134">
        <v>0.08</v>
      </c>
      <c r="S79" s="26">
        <f t="shared" ref="S79:S85" si="45">sum(J79*R79)</f>
        <v>12960</v>
      </c>
      <c r="T79" s="135">
        <f t="shared" ref="T79:T85" si="46">sum(J79,S79)</f>
        <v>174960</v>
      </c>
      <c r="U79" s="136"/>
      <c r="V79" s="137">
        <v>0.1</v>
      </c>
      <c r="W79" s="138">
        <v>6.0</v>
      </c>
      <c r="X79" s="139">
        <f>sum(T79*V79)</f>
        <v>17496</v>
      </c>
      <c r="Y79" s="139">
        <f>sum(X79,T79)</f>
        <v>192456</v>
      </c>
      <c r="Z79" s="109"/>
    </row>
    <row r="80">
      <c r="A80" s="125">
        <v>2.0</v>
      </c>
      <c r="B80" s="126" t="s">
        <v>183</v>
      </c>
      <c r="C80" s="126" t="s">
        <v>184</v>
      </c>
      <c r="D80" s="126" t="s">
        <v>180</v>
      </c>
      <c r="E80" s="125" t="s">
        <v>28</v>
      </c>
      <c r="F80" s="127">
        <v>44986.0</v>
      </c>
      <c r="G80" s="127">
        <v>44986.0</v>
      </c>
      <c r="H80" s="128">
        <v>45553.0</v>
      </c>
      <c r="I80" s="132" t="s">
        <v>298</v>
      </c>
      <c r="J80" s="130">
        <v>80000.0</v>
      </c>
      <c r="K80" s="179">
        <v>70000.0</v>
      </c>
      <c r="L80" s="179">
        <v>85000.0</v>
      </c>
      <c r="M80" s="132" t="s">
        <v>52</v>
      </c>
      <c r="N80" s="234" t="s">
        <v>186</v>
      </c>
      <c r="O80" s="235" t="s">
        <v>32</v>
      </c>
      <c r="P80" s="144"/>
      <c r="Q80" s="234" t="s">
        <v>130</v>
      </c>
      <c r="R80" s="36">
        <f>(P80/6)*Q80</f>
        <v>0</v>
      </c>
      <c r="S80" s="37">
        <f t="shared" si="45"/>
        <v>0</v>
      </c>
      <c r="T80" s="135">
        <f t="shared" si="46"/>
        <v>80000</v>
      </c>
      <c r="V80" s="137">
        <v>0.1</v>
      </c>
      <c r="W80" s="138">
        <v>6.0</v>
      </c>
      <c r="X80" s="139" t="str">
        <f>sum(#REF!*V80)</f>
        <v>#REF!</v>
      </c>
      <c r="Y80" s="158" t="str">
        <f>sum(X80,#REF!)</f>
        <v>#REF!</v>
      </c>
      <c r="Z80" s="109"/>
    </row>
    <row r="81">
      <c r="A81" s="125">
        <v>3.0</v>
      </c>
      <c r="B81" s="126" t="s">
        <v>187</v>
      </c>
      <c r="C81" s="126" t="s">
        <v>188</v>
      </c>
      <c r="D81" s="126" t="s">
        <v>180</v>
      </c>
      <c r="E81" s="125" t="s">
        <v>28</v>
      </c>
      <c r="F81" s="127">
        <v>39326.0</v>
      </c>
      <c r="G81" s="127">
        <v>43770.0</v>
      </c>
      <c r="H81" s="128">
        <v>45491.0</v>
      </c>
      <c r="I81" s="132" t="s">
        <v>298</v>
      </c>
      <c r="J81" s="192">
        <v>180000.0</v>
      </c>
      <c r="K81" s="131">
        <v>190000.0</v>
      </c>
      <c r="L81" s="131">
        <v>295000.0</v>
      </c>
      <c r="M81" s="132" t="s">
        <v>30</v>
      </c>
      <c r="N81" s="24" t="s">
        <v>189</v>
      </c>
      <c r="O81" s="141" t="s">
        <v>32</v>
      </c>
      <c r="P81" s="133">
        <v>0.08</v>
      </c>
      <c r="Q81" s="24" t="s">
        <v>297</v>
      </c>
      <c r="R81" s="134">
        <v>0.08</v>
      </c>
      <c r="S81" s="26">
        <f t="shared" si="45"/>
        <v>14400</v>
      </c>
      <c r="T81" s="135">
        <f t="shared" si="46"/>
        <v>194400</v>
      </c>
      <c r="V81" s="137">
        <v>0.1</v>
      </c>
      <c r="W81" s="138">
        <v>6.0</v>
      </c>
      <c r="X81" s="139">
        <f>sum(T80*V81)</f>
        <v>8000</v>
      </c>
      <c r="Y81" s="139">
        <f>sum(X81,T80)</f>
        <v>88000</v>
      </c>
      <c r="Z81" s="109"/>
    </row>
    <row r="82">
      <c r="A82" s="125">
        <v>4.0</v>
      </c>
      <c r="B82" s="126" t="s">
        <v>190</v>
      </c>
      <c r="C82" s="126" t="s">
        <v>184</v>
      </c>
      <c r="D82" s="126" t="s">
        <v>180</v>
      </c>
      <c r="E82" s="220" t="s">
        <v>73</v>
      </c>
      <c r="F82" s="127">
        <v>44743.0</v>
      </c>
      <c r="G82" s="127">
        <v>45505.0</v>
      </c>
      <c r="H82" s="128">
        <v>45922.0</v>
      </c>
      <c r="I82" s="132" t="s">
        <v>298</v>
      </c>
      <c r="J82" s="130">
        <v>80000.0</v>
      </c>
      <c r="K82" s="179">
        <v>70000.0</v>
      </c>
      <c r="L82" s="179">
        <v>85000.0</v>
      </c>
      <c r="M82" s="132" t="s">
        <v>52</v>
      </c>
      <c r="N82" s="92"/>
      <c r="O82" s="46"/>
      <c r="P82" s="46"/>
      <c r="Q82" s="92"/>
      <c r="R82" s="36">
        <f>(P82/6)*Q82</f>
        <v>0</v>
      </c>
      <c r="S82" s="203">
        <f t="shared" si="45"/>
        <v>0</v>
      </c>
      <c r="T82" s="135">
        <f t="shared" si="46"/>
        <v>80000</v>
      </c>
      <c r="U82" s="186"/>
      <c r="V82" s="187"/>
      <c r="W82" s="188"/>
      <c r="X82" s="166"/>
      <c r="Y82" s="222"/>
      <c r="Z82" s="109"/>
    </row>
    <row r="83">
      <c r="A83" s="125">
        <v>5.0</v>
      </c>
      <c r="B83" s="199" t="s">
        <v>192</v>
      </c>
      <c r="C83" s="199" t="s">
        <v>193</v>
      </c>
      <c r="D83" s="126" t="s">
        <v>180</v>
      </c>
      <c r="E83" s="132" t="s">
        <v>28</v>
      </c>
      <c r="F83" s="127">
        <v>42736.0</v>
      </c>
      <c r="G83" s="127">
        <v>42736.0</v>
      </c>
      <c r="H83" s="150">
        <v>43642.0</v>
      </c>
      <c r="I83" s="129">
        <v>45717.0</v>
      </c>
      <c r="J83" s="148">
        <v>159000.0</v>
      </c>
      <c r="K83" s="179">
        <v>358000.0</v>
      </c>
      <c r="L83" s="179">
        <v>391000.0</v>
      </c>
      <c r="M83" s="132" t="s">
        <v>30</v>
      </c>
      <c r="N83" s="24" t="s">
        <v>40</v>
      </c>
      <c r="O83" s="133">
        <v>0.1</v>
      </c>
      <c r="P83" s="133">
        <v>0.08</v>
      </c>
      <c r="Q83" s="24" t="s">
        <v>33</v>
      </c>
      <c r="R83" s="134">
        <v>0.08</v>
      </c>
      <c r="S83" s="26">
        <f t="shared" si="45"/>
        <v>12720</v>
      </c>
      <c r="T83" s="135">
        <f t="shared" si="46"/>
        <v>171720</v>
      </c>
      <c r="U83" s="136"/>
      <c r="V83" s="137">
        <v>0.1</v>
      </c>
      <c r="W83" s="138">
        <v>6.0</v>
      </c>
      <c r="X83" s="139">
        <f t="shared" ref="X83:X85" si="47">sum(T83*V83)</f>
        <v>17172</v>
      </c>
      <c r="Y83" s="139">
        <f t="shared" ref="Y83:Y85" si="48">sum(X83,T83)</f>
        <v>188892</v>
      </c>
      <c r="Z83" s="109"/>
    </row>
    <row r="84">
      <c r="A84" s="125">
        <v>6.0</v>
      </c>
      <c r="B84" s="199" t="s">
        <v>195</v>
      </c>
      <c r="C84" s="199" t="s">
        <v>196</v>
      </c>
      <c r="D84" s="126" t="s">
        <v>180</v>
      </c>
      <c r="E84" s="132" t="s">
        <v>28</v>
      </c>
      <c r="F84" s="127"/>
      <c r="G84" s="127"/>
      <c r="H84" s="236" t="s">
        <v>32</v>
      </c>
      <c r="I84" s="129">
        <v>45718.0</v>
      </c>
      <c r="J84" s="237">
        <v>47500.0</v>
      </c>
      <c r="K84" s="148"/>
      <c r="L84" s="148"/>
      <c r="M84" s="132" t="s">
        <v>30</v>
      </c>
      <c r="N84" s="39"/>
      <c r="O84" s="154">
        <v>0.12</v>
      </c>
      <c r="P84" s="154">
        <v>0.05</v>
      </c>
      <c r="Q84" s="44" t="s">
        <v>33</v>
      </c>
      <c r="R84" s="155">
        <v>0.05</v>
      </c>
      <c r="S84" s="20">
        <f t="shared" si="45"/>
        <v>2375</v>
      </c>
      <c r="T84" s="135">
        <f t="shared" si="46"/>
        <v>49875</v>
      </c>
      <c r="V84" s="137">
        <v>0.1</v>
      </c>
      <c r="W84" s="138">
        <v>6.0</v>
      </c>
      <c r="X84" s="139">
        <f t="shared" si="47"/>
        <v>4987.5</v>
      </c>
      <c r="Y84" s="139">
        <f t="shared" si="48"/>
        <v>54862.5</v>
      </c>
      <c r="Z84" s="109"/>
    </row>
    <row r="85">
      <c r="A85" s="125">
        <v>7.0</v>
      </c>
      <c r="B85" s="199" t="s">
        <v>197</v>
      </c>
      <c r="C85" s="199" t="s">
        <v>196</v>
      </c>
      <c r="D85" s="126" t="s">
        <v>180</v>
      </c>
      <c r="E85" s="132" t="s">
        <v>28</v>
      </c>
      <c r="F85" s="127"/>
      <c r="G85" s="127"/>
      <c r="H85" s="236" t="s">
        <v>32</v>
      </c>
      <c r="I85" s="129">
        <v>45719.0</v>
      </c>
      <c r="J85" s="237">
        <v>37500.0</v>
      </c>
      <c r="K85" s="148"/>
      <c r="L85" s="148"/>
      <c r="M85" s="132" t="s">
        <v>30</v>
      </c>
      <c r="N85" s="39"/>
      <c r="O85" s="154">
        <v>0.25</v>
      </c>
      <c r="P85" s="154">
        <v>0.05</v>
      </c>
      <c r="Q85" s="44" t="s">
        <v>33</v>
      </c>
      <c r="R85" s="155">
        <v>0.05</v>
      </c>
      <c r="S85" s="20">
        <f t="shared" si="45"/>
        <v>1875</v>
      </c>
      <c r="T85" s="135">
        <f t="shared" si="46"/>
        <v>39375</v>
      </c>
      <c r="V85" s="137">
        <v>0.1</v>
      </c>
      <c r="W85" s="138">
        <v>6.0</v>
      </c>
      <c r="X85" s="139">
        <f t="shared" si="47"/>
        <v>3937.5</v>
      </c>
      <c r="Y85" s="139">
        <f t="shared" si="48"/>
        <v>43312.5</v>
      </c>
      <c r="Z85" s="109"/>
    </row>
    <row r="86">
      <c r="A86" s="231">
        <v>7.0</v>
      </c>
      <c r="B86" s="232"/>
      <c r="C86" s="232"/>
      <c r="D86" s="232"/>
      <c r="E86" s="232"/>
      <c r="F86" s="232"/>
      <c r="G86" s="232"/>
      <c r="H86" s="232"/>
      <c r="I86" s="232"/>
      <c r="J86" s="233">
        <f>SUM(J79:J85)</f>
        <v>746000</v>
      </c>
      <c r="K86" s="232"/>
      <c r="L86" s="232"/>
      <c r="M86" s="232"/>
      <c r="N86" s="232"/>
      <c r="O86" s="232"/>
      <c r="P86" s="232"/>
      <c r="Q86" s="232"/>
      <c r="R86" s="232"/>
      <c r="S86" s="233">
        <f t="shared" ref="S86:T86" si="49">SUM(S79:S85)</f>
        <v>44330</v>
      </c>
      <c r="T86" s="233">
        <f t="shared" si="49"/>
        <v>790330</v>
      </c>
      <c r="Z86" s="109"/>
      <c r="AA86" s="219"/>
      <c r="AB86" s="219"/>
      <c r="AC86" s="219"/>
    </row>
    <row r="87">
      <c r="A87" s="229"/>
      <c r="Z87" s="109"/>
      <c r="AA87" s="219"/>
      <c r="AB87" s="219"/>
      <c r="AC87" s="219"/>
    </row>
    <row r="88">
      <c r="A88" s="110" t="s">
        <v>198</v>
      </c>
      <c r="Z88" s="109"/>
    </row>
    <row r="89">
      <c r="A89" s="238" t="s">
        <v>199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53"/>
      <c r="Z89" s="109"/>
    </row>
    <row r="90">
      <c r="A90" s="132">
        <v>1.0</v>
      </c>
      <c r="B90" s="199" t="s">
        <v>200</v>
      </c>
      <c r="C90" s="199" t="s">
        <v>201</v>
      </c>
      <c r="D90" s="126" t="s">
        <v>134</v>
      </c>
      <c r="E90" s="132" t="s">
        <v>28</v>
      </c>
      <c r="F90" s="127">
        <v>43586.0</v>
      </c>
      <c r="G90" s="127">
        <v>43586.0</v>
      </c>
      <c r="H90" s="147">
        <v>44229.0</v>
      </c>
      <c r="I90" s="129">
        <v>45719.0</v>
      </c>
      <c r="J90" s="148">
        <v>283333.0</v>
      </c>
      <c r="K90" s="149">
        <v>240000.0</v>
      </c>
      <c r="L90" s="149">
        <v>300000.0</v>
      </c>
      <c r="M90" s="132" t="s">
        <v>30</v>
      </c>
      <c r="N90" s="24" t="s">
        <v>203</v>
      </c>
      <c r="O90" s="133">
        <v>0.08</v>
      </c>
      <c r="P90" s="154">
        <v>0.06</v>
      </c>
      <c r="Q90" s="24" t="s">
        <v>33</v>
      </c>
      <c r="R90" s="134">
        <v>0.06</v>
      </c>
      <c r="S90" s="26">
        <f t="shared" ref="S90:S96" si="50">sum(J90*R90)</f>
        <v>16999.98</v>
      </c>
      <c r="T90" s="135">
        <f t="shared" ref="T90:T96" si="51">sum(J90,S90)</f>
        <v>300332.98</v>
      </c>
      <c r="U90" s="136"/>
      <c r="V90" s="137">
        <v>0.1</v>
      </c>
      <c r="W90" s="138">
        <v>6.0</v>
      </c>
      <c r="X90" s="139">
        <f t="shared" ref="X90:X94" si="52">sum(T90*V90)</f>
        <v>30033.298</v>
      </c>
      <c r="Y90" s="139">
        <f t="shared" ref="Y90:Y94" si="53">sum(X90,T90)</f>
        <v>330366.278</v>
      </c>
      <c r="Z90" s="109"/>
    </row>
    <row r="91">
      <c r="A91" s="132">
        <v>2.0</v>
      </c>
      <c r="B91" s="199" t="s">
        <v>204</v>
      </c>
      <c r="C91" s="199" t="s">
        <v>205</v>
      </c>
      <c r="D91" s="126" t="s">
        <v>134</v>
      </c>
      <c r="E91" s="132" t="s">
        <v>28</v>
      </c>
      <c r="F91" s="127">
        <v>41791.0</v>
      </c>
      <c r="G91" s="127">
        <v>41791.0</v>
      </c>
      <c r="H91" s="147">
        <v>44475.0</v>
      </c>
      <c r="I91" s="129">
        <v>45719.0</v>
      </c>
      <c r="J91" s="130">
        <v>219420.0</v>
      </c>
      <c r="K91" s="149">
        <v>240000.0</v>
      </c>
      <c r="L91" s="149">
        <v>400000.0</v>
      </c>
      <c r="M91" s="132" t="s">
        <v>30</v>
      </c>
      <c r="N91" s="24" t="s">
        <v>207</v>
      </c>
      <c r="O91" s="133">
        <v>0.06</v>
      </c>
      <c r="P91" s="133">
        <v>0.05</v>
      </c>
      <c r="Q91" s="24" t="s">
        <v>33</v>
      </c>
      <c r="R91" s="134">
        <v>0.05</v>
      </c>
      <c r="S91" s="26">
        <f t="shared" si="50"/>
        <v>10971</v>
      </c>
      <c r="T91" s="135">
        <f t="shared" si="51"/>
        <v>230391</v>
      </c>
      <c r="V91" s="137">
        <v>0.1</v>
      </c>
      <c r="W91" s="138">
        <v>6.0</v>
      </c>
      <c r="X91" s="139">
        <f t="shared" si="52"/>
        <v>23039.1</v>
      </c>
      <c r="Y91" s="139">
        <f t="shared" si="53"/>
        <v>253430.1</v>
      </c>
      <c r="Z91" s="109"/>
    </row>
    <row r="92">
      <c r="A92" s="132">
        <v>3.0</v>
      </c>
      <c r="B92" s="199" t="s">
        <v>208</v>
      </c>
      <c r="C92" s="199" t="s">
        <v>209</v>
      </c>
      <c r="D92" s="126" t="s">
        <v>134</v>
      </c>
      <c r="E92" s="132" t="s">
        <v>28</v>
      </c>
      <c r="F92" s="127">
        <v>43586.0</v>
      </c>
      <c r="G92" s="127">
        <v>44075.0</v>
      </c>
      <c r="H92" s="150">
        <v>45315.0</v>
      </c>
      <c r="I92" s="129">
        <v>45719.0</v>
      </c>
      <c r="J92" s="148">
        <v>152600.0</v>
      </c>
      <c r="K92" s="149">
        <v>165000.0</v>
      </c>
      <c r="L92" s="149">
        <v>180000.0</v>
      </c>
      <c r="M92" s="132" t="s">
        <v>30</v>
      </c>
      <c r="N92" s="24" t="s">
        <v>211</v>
      </c>
      <c r="O92" s="133">
        <v>0.09</v>
      </c>
      <c r="P92" s="133">
        <v>0.08</v>
      </c>
      <c r="Q92" s="24" t="s">
        <v>33</v>
      </c>
      <c r="R92" s="134">
        <v>0.08</v>
      </c>
      <c r="S92" s="26">
        <f t="shared" si="50"/>
        <v>12208</v>
      </c>
      <c r="T92" s="135">
        <f t="shared" si="51"/>
        <v>164808</v>
      </c>
      <c r="V92" s="137">
        <v>0.1</v>
      </c>
      <c r="W92" s="138">
        <v>6.0</v>
      </c>
      <c r="X92" s="139">
        <f t="shared" si="52"/>
        <v>16480.8</v>
      </c>
      <c r="Y92" s="139">
        <f t="shared" si="53"/>
        <v>181288.8</v>
      </c>
      <c r="Z92" s="109"/>
    </row>
    <row r="93">
      <c r="A93" s="132">
        <v>4.0</v>
      </c>
      <c r="B93" s="199" t="s">
        <v>212</v>
      </c>
      <c r="C93" s="199" t="s">
        <v>213</v>
      </c>
      <c r="D93" s="126" t="s">
        <v>134</v>
      </c>
      <c r="E93" s="132" t="s">
        <v>28</v>
      </c>
      <c r="F93" s="127">
        <v>44105.0</v>
      </c>
      <c r="G93" s="127">
        <v>44197.0</v>
      </c>
      <c r="H93" s="147">
        <v>44197.0</v>
      </c>
      <c r="I93" s="129">
        <v>45719.0</v>
      </c>
      <c r="J93" s="148">
        <v>83520.0</v>
      </c>
      <c r="K93" s="206"/>
      <c r="L93" s="206"/>
      <c r="M93" s="132" t="s">
        <v>30</v>
      </c>
      <c r="N93" s="24" t="s">
        <v>215</v>
      </c>
      <c r="O93" s="133">
        <v>0.08</v>
      </c>
      <c r="P93" s="133">
        <v>0.06</v>
      </c>
      <c r="Q93" s="24" t="s">
        <v>33</v>
      </c>
      <c r="R93" s="134">
        <v>0.06</v>
      </c>
      <c r="S93" s="26">
        <f t="shared" si="50"/>
        <v>5011.2</v>
      </c>
      <c r="T93" s="135">
        <f t="shared" si="51"/>
        <v>88531.2</v>
      </c>
      <c r="V93" s="137">
        <v>0.1</v>
      </c>
      <c r="W93" s="138">
        <v>6.0</v>
      </c>
      <c r="X93" s="139">
        <f t="shared" si="52"/>
        <v>8853.12</v>
      </c>
      <c r="Y93" s="139">
        <f t="shared" si="53"/>
        <v>97384.32</v>
      </c>
      <c r="Z93" s="109"/>
    </row>
    <row r="94">
      <c r="A94" s="132">
        <v>5.0</v>
      </c>
      <c r="B94" s="199" t="s">
        <v>216</v>
      </c>
      <c r="C94" s="199" t="s">
        <v>217</v>
      </c>
      <c r="D94" s="126" t="s">
        <v>134</v>
      </c>
      <c r="E94" s="132" t="s">
        <v>28</v>
      </c>
      <c r="F94" s="127">
        <v>44562.0</v>
      </c>
      <c r="G94" s="127">
        <v>44562.0</v>
      </c>
      <c r="H94" s="150">
        <v>45166.0</v>
      </c>
      <c r="I94" s="129">
        <v>45719.0</v>
      </c>
      <c r="J94" s="148">
        <v>82500.0</v>
      </c>
      <c r="K94" s="149">
        <v>165000.0</v>
      </c>
      <c r="L94" s="149">
        <v>180000.0</v>
      </c>
      <c r="M94" s="132" t="s">
        <v>30</v>
      </c>
      <c r="N94" s="24" t="s">
        <v>219</v>
      </c>
      <c r="O94" s="133">
        <v>0.1</v>
      </c>
      <c r="P94" s="133">
        <v>0.08</v>
      </c>
      <c r="Q94" s="24" t="s">
        <v>33</v>
      </c>
      <c r="R94" s="134">
        <v>0.08</v>
      </c>
      <c r="S94" s="26">
        <f t="shared" si="50"/>
        <v>6600</v>
      </c>
      <c r="T94" s="135">
        <f t="shared" si="51"/>
        <v>89100</v>
      </c>
      <c r="V94" s="137">
        <v>0.1</v>
      </c>
      <c r="W94" s="138">
        <v>6.0</v>
      </c>
      <c r="X94" s="139">
        <f t="shared" si="52"/>
        <v>8910</v>
      </c>
      <c r="Y94" s="139">
        <f t="shared" si="53"/>
        <v>98010</v>
      </c>
      <c r="Z94" s="109"/>
    </row>
    <row r="95">
      <c r="A95" s="132">
        <v>6.0</v>
      </c>
      <c r="B95" s="199" t="s">
        <v>220</v>
      </c>
      <c r="C95" s="199" t="s">
        <v>221</v>
      </c>
      <c r="D95" s="126" t="s">
        <v>134</v>
      </c>
      <c r="E95" s="132" t="s">
        <v>73</v>
      </c>
      <c r="F95" s="127">
        <v>44013.0</v>
      </c>
      <c r="G95" s="127">
        <v>44013.0</v>
      </c>
      <c r="H95" s="150">
        <v>45911.0</v>
      </c>
      <c r="I95" s="132" t="s">
        <v>298</v>
      </c>
      <c r="J95" s="148">
        <v>275000.0</v>
      </c>
      <c r="K95" s="149">
        <v>350000.0</v>
      </c>
      <c r="L95" s="149">
        <v>410000.0</v>
      </c>
      <c r="M95" s="132" t="s">
        <v>52</v>
      </c>
      <c r="N95" s="92"/>
      <c r="O95" s="46"/>
      <c r="P95" s="46"/>
      <c r="Q95" s="92"/>
      <c r="R95" s="36">
        <f>(P95/6)*Q95</f>
        <v>0</v>
      </c>
      <c r="S95" s="203">
        <f t="shared" si="50"/>
        <v>0</v>
      </c>
      <c r="T95" s="135">
        <f t="shared" si="51"/>
        <v>275000</v>
      </c>
      <c r="U95" s="136"/>
      <c r="V95" s="137"/>
      <c r="W95" s="138"/>
      <c r="X95" s="139"/>
      <c r="Y95" s="158"/>
      <c r="Z95" s="109"/>
    </row>
    <row r="96">
      <c r="A96" s="132">
        <v>7.0</v>
      </c>
      <c r="B96" s="126" t="s">
        <v>222</v>
      </c>
      <c r="C96" s="126" t="s">
        <v>38</v>
      </c>
      <c r="D96" s="126" t="s">
        <v>223</v>
      </c>
      <c r="E96" s="132" t="s">
        <v>28</v>
      </c>
      <c r="F96" s="127">
        <v>42248.0</v>
      </c>
      <c r="G96" s="127">
        <v>43344.0</v>
      </c>
      <c r="H96" s="239">
        <v>45292.0</v>
      </c>
      <c r="I96" s="129">
        <v>45717.0</v>
      </c>
      <c r="J96" s="148">
        <v>294300.0</v>
      </c>
      <c r="K96" s="149">
        <v>240000.0</v>
      </c>
      <c r="L96" s="149">
        <v>300000.0</v>
      </c>
      <c r="M96" s="132" t="s">
        <v>30</v>
      </c>
      <c r="N96" s="24" t="s">
        <v>225</v>
      </c>
      <c r="O96" s="133">
        <v>0.09</v>
      </c>
      <c r="P96" s="133">
        <v>0.08</v>
      </c>
      <c r="Q96" s="24" t="s">
        <v>33</v>
      </c>
      <c r="R96" s="134">
        <v>0.08</v>
      </c>
      <c r="S96" s="26">
        <f t="shared" si="50"/>
        <v>23544</v>
      </c>
      <c r="T96" s="135">
        <f t="shared" si="51"/>
        <v>317844</v>
      </c>
      <c r="U96" s="186"/>
      <c r="V96" s="187"/>
      <c r="W96" s="188"/>
      <c r="X96" s="240"/>
      <c r="Y96" s="222"/>
      <c r="Z96" s="109"/>
    </row>
    <row r="97">
      <c r="A97" s="161">
        <v>7.0</v>
      </c>
      <c r="B97" s="162"/>
      <c r="I97" s="163"/>
      <c r="J97" s="185">
        <f>sum(J90:J96)</f>
        <v>1390673</v>
      </c>
      <c r="K97" s="185"/>
      <c r="L97" s="185"/>
      <c r="M97" s="164"/>
      <c r="S97" s="185">
        <f t="shared" ref="S97:T97" si="54">sum(S90:S96)</f>
        <v>75334.18</v>
      </c>
      <c r="T97" s="185">
        <f t="shared" si="54"/>
        <v>1466007.18</v>
      </c>
      <c r="U97" s="186"/>
      <c r="V97" s="187"/>
      <c r="W97" s="188"/>
      <c r="X97" s="240">
        <f t="shared" ref="X97:Y97" si="55">SUM(X90:X94)</f>
        <v>87316.318</v>
      </c>
      <c r="Y97" s="189">
        <f t="shared" si="55"/>
        <v>960479.498</v>
      </c>
      <c r="Z97" s="109"/>
    </row>
    <row r="98">
      <c r="A98" s="124" t="s">
        <v>226</v>
      </c>
      <c r="Z98" s="109"/>
    </row>
    <row r="99">
      <c r="A99" s="125">
        <v>1.0</v>
      </c>
      <c r="B99" s="126" t="s">
        <v>227</v>
      </c>
      <c r="C99" s="126" t="s">
        <v>228</v>
      </c>
      <c r="D99" s="126" t="s">
        <v>134</v>
      </c>
      <c r="E99" s="125" t="s">
        <v>28</v>
      </c>
      <c r="F99" s="127">
        <v>40422.0</v>
      </c>
      <c r="G99" s="127">
        <v>40422.0</v>
      </c>
      <c r="H99" s="153">
        <v>43989.0</v>
      </c>
      <c r="I99" s="129">
        <v>45717.0</v>
      </c>
      <c r="J99" s="192">
        <v>259200.0</v>
      </c>
      <c r="K99" s="131">
        <v>275000.0</v>
      </c>
      <c r="L99" s="131">
        <v>500000.0</v>
      </c>
      <c r="M99" s="132" t="s">
        <v>30</v>
      </c>
      <c r="N99" s="24" t="s">
        <v>230</v>
      </c>
      <c r="O99" s="133">
        <v>0.08</v>
      </c>
      <c r="P99" s="133">
        <v>0.06</v>
      </c>
      <c r="Q99" s="24" t="s">
        <v>33</v>
      </c>
      <c r="R99" s="134">
        <v>0.06</v>
      </c>
      <c r="S99" s="26">
        <f t="shared" ref="S99:S101" si="56">sum(J99*R99)</f>
        <v>15552</v>
      </c>
      <c r="T99" s="135">
        <f t="shared" ref="T99:T101" si="57">sum(J99,S99)</f>
        <v>274752</v>
      </c>
      <c r="U99" s="136"/>
      <c r="V99" s="137">
        <v>0.1</v>
      </c>
      <c r="W99" s="138">
        <v>6.0</v>
      </c>
      <c r="X99" s="139">
        <f t="shared" ref="X99:X100" si="58">sum(T99*V99)</f>
        <v>27475.2</v>
      </c>
      <c r="Y99" s="139">
        <f t="shared" ref="Y99:Y100" si="59">sum(X99,T99)</f>
        <v>302227.2</v>
      </c>
      <c r="Z99" s="109"/>
    </row>
    <row r="100">
      <c r="A100" s="132">
        <v>2.0</v>
      </c>
      <c r="B100" s="199" t="s">
        <v>231</v>
      </c>
      <c r="C100" s="199" t="s">
        <v>232</v>
      </c>
      <c r="D100" s="126" t="s">
        <v>134</v>
      </c>
      <c r="E100" s="125" t="s">
        <v>28</v>
      </c>
      <c r="F100" s="127">
        <v>43952.0</v>
      </c>
      <c r="G100" s="127">
        <v>43952.0</v>
      </c>
      <c r="H100" s="241">
        <v>45439.0</v>
      </c>
      <c r="I100" s="129">
        <v>45717.0</v>
      </c>
      <c r="J100" s="237">
        <v>171000.0</v>
      </c>
      <c r="K100" s="149">
        <v>220000.0</v>
      </c>
      <c r="L100" s="149">
        <v>235000.0</v>
      </c>
      <c r="M100" s="132" t="s">
        <v>30</v>
      </c>
      <c r="N100" s="24" t="s">
        <v>55</v>
      </c>
      <c r="O100" s="133">
        <v>0.12</v>
      </c>
      <c r="P100" s="133">
        <v>0.08</v>
      </c>
      <c r="Q100" s="24" t="s">
        <v>33</v>
      </c>
      <c r="R100" s="134">
        <v>0.08</v>
      </c>
      <c r="S100" s="26">
        <f t="shared" si="56"/>
        <v>13680</v>
      </c>
      <c r="T100" s="135">
        <f t="shared" si="57"/>
        <v>184680</v>
      </c>
      <c r="V100" s="137">
        <v>0.1</v>
      </c>
      <c r="W100" s="138">
        <v>6.0</v>
      </c>
      <c r="X100" s="139">
        <f t="shared" si="58"/>
        <v>18468</v>
      </c>
      <c r="Y100" s="139">
        <f t="shared" si="59"/>
        <v>203148</v>
      </c>
      <c r="Z100" s="109"/>
    </row>
    <row r="101">
      <c r="A101" s="132">
        <v>3.0</v>
      </c>
      <c r="B101" s="199" t="s">
        <v>233</v>
      </c>
      <c r="C101" s="199" t="s">
        <v>234</v>
      </c>
      <c r="D101" s="126" t="s">
        <v>134</v>
      </c>
      <c r="E101" s="125" t="s">
        <v>28</v>
      </c>
      <c r="F101" s="127">
        <v>42887.0</v>
      </c>
      <c r="G101" s="127">
        <v>42887.0</v>
      </c>
      <c r="H101" s="239">
        <v>45698.0</v>
      </c>
      <c r="I101" s="132" t="s">
        <v>298</v>
      </c>
      <c r="J101" s="148">
        <v>265000.0</v>
      </c>
      <c r="K101" s="149">
        <v>275000.0</v>
      </c>
      <c r="L101" s="149">
        <v>290000.0</v>
      </c>
      <c r="M101" s="132" t="s">
        <v>52</v>
      </c>
      <c r="N101" s="92"/>
      <c r="O101" s="46"/>
      <c r="P101" s="46"/>
      <c r="Q101" s="92"/>
      <c r="R101" s="36">
        <f>(P101/6)*Q101</f>
        <v>0</v>
      </c>
      <c r="S101" s="37">
        <f t="shared" si="56"/>
        <v>0</v>
      </c>
      <c r="T101" s="135">
        <f t="shared" si="57"/>
        <v>265000</v>
      </c>
      <c r="U101" s="136"/>
      <c r="V101" s="137"/>
      <c r="W101" s="138"/>
      <c r="X101" s="139"/>
      <c r="Y101" s="158"/>
      <c r="Z101" s="109"/>
    </row>
    <row r="102">
      <c r="A102" s="161">
        <v>3.0</v>
      </c>
      <c r="B102" s="162"/>
      <c r="I102" s="163"/>
      <c r="J102" s="185">
        <f>sum(J99:J101)</f>
        <v>695200</v>
      </c>
      <c r="K102" s="185"/>
      <c r="L102" s="185"/>
      <c r="M102" s="164"/>
      <c r="S102" s="185">
        <f t="shared" ref="S102:T102" si="60">sum(S99:S101)</f>
        <v>29232</v>
      </c>
      <c r="T102" s="185">
        <f t="shared" si="60"/>
        <v>724432</v>
      </c>
      <c r="U102" s="186"/>
      <c r="V102" s="187"/>
      <c r="W102" s="188"/>
      <c r="X102" s="240">
        <f t="shared" ref="X102:Y102" si="61">SUM(X99:X100)</f>
        <v>45943.2</v>
      </c>
      <c r="Y102" s="189">
        <f t="shared" si="61"/>
        <v>505375.2</v>
      </c>
      <c r="Z102" s="109"/>
    </row>
    <row r="103">
      <c r="A103" s="124" t="s">
        <v>236</v>
      </c>
      <c r="Z103" s="109"/>
    </row>
    <row r="104">
      <c r="A104" s="132">
        <v>1.0</v>
      </c>
      <c r="B104" s="199" t="s">
        <v>237</v>
      </c>
      <c r="C104" s="199" t="s">
        <v>238</v>
      </c>
      <c r="D104" s="199" t="s">
        <v>239</v>
      </c>
      <c r="E104" s="132" t="s">
        <v>28</v>
      </c>
      <c r="F104" s="127">
        <v>42948.0</v>
      </c>
      <c r="G104" s="127">
        <v>42948.0</v>
      </c>
      <c r="H104" s="147">
        <v>44931.0</v>
      </c>
      <c r="I104" s="129">
        <v>45719.0</v>
      </c>
      <c r="J104" s="237">
        <v>135700.0</v>
      </c>
      <c r="K104" s="149">
        <v>256000.0</v>
      </c>
      <c r="L104" s="149">
        <v>280000.0</v>
      </c>
      <c r="M104" s="132" t="s">
        <v>30</v>
      </c>
      <c r="N104" s="18">
        <v>73.75</v>
      </c>
      <c r="O104" s="133">
        <v>0.12</v>
      </c>
      <c r="P104" s="33">
        <v>0.06</v>
      </c>
      <c r="Q104" s="24" t="s">
        <v>33</v>
      </c>
      <c r="R104" s="134">
        <v>0.06</v>
      </c>
      <c r="S104" s="26">
        <f t="shared" ref="S104:S105" si="62">sum(J104*R104)</f>
        <v>8142</v>
      </c>
      <c r="T104" s="135">
        <f t="shared" ref="T104:T105" si="63">sum(J104,S104)</f>
        <v>143842</v>
      </c>
      <c r="U104" s="136"/>
      <c r="V104" s="137">
        <v>0.1</v>
      </c>
      <c r="W104" s="138">
        <v>6.0</v>
      </c>
      <c r="X104" s="139">
        <f t="shared" ref="X104:X105" si="64">sum(T104*V104)</f>
        <v>14384.2</v>
      </c>
      <c r="Y104" s="139">
        <f t="shared" ref="Y104:Y105" si="65">sum(X104,T104)</f>
        <v>158226.2</v>
      </c>
      <c r="Z104" s="109"/>
    </row>
    <row r="105">
      <c r="A105" s="132">
        <v>2.0</v>
      </c>
      <c r="B105" s="199" t="s">
        <v>241</v>
      </c>
      <c r="C105" s="199" t="s">
        <v>242</v>
      </c>
      <c r="D105" s="199" t="s">
        <v>239</v>
      </c>
      <c r="E105" s="132" t="s">
        <v>28</v>
      </c>
      <c r="F105" s="127">
        <v>43891.0</v>
      </c>
      <c r="G105" s="127">
        <v>43891.0</v>
      </c>
      <c r="H105" s="241">
        <v>45441.0</v>
      </c>
      <c r="I105" s="129">
        <v>45719.0</v>
      </c>
      <c r="J105" s="237">
        <v>100000.0</v>
      </c>
      <c r="K105" s="149">
        <v>181000.0</v>
      </c>
      <c r="L105" s="149">
        <v>192000.0</v>
      </c>
      <c r="M105" s="132" t="s">
        <v>30</v>
      </c>
      <c r="N105" s="18">
        <v>70.5</v>
      </c>
      <c r="O105" s="133">
        <v>0.1</v>
      </c>
      <c r="P105" s="33">
        <v>0.06</v>
      </c>
      <c r="Q105" s="24" t="s">
        <v>33</v>
      </c>
      <c r="R105" s="134">
        <v>0.06</v>
      </c>
      <c r="S105" s="26">
        <f t="shared" si="62"/>
        <v>6000</v>
      </c>
      <c r="T105" s="135">
        <f t="shared" si="63"/>
        <v>106000</v>
      </c>
      <c r="V105" s="137">
        <v>0.1</v>
      </c>
      <c r="W105" s="138">
        <v>6.0</v>
      </c>
      <c r="X105" s="139">
        <f t="shared" si="64"/>
        <v>10600</v>
      </c>
      <c r="Y105" s="139">
        <f t="shared" si="65"/>
        <v>116600</v>
      </c>
      <c r="Z105" s="109"/>
    </row>
    <row r="106">
      <c r="A106" s="161">
        <v>2.0</v>
      </c>
      <c r="B106" s="162"/>
      <c r="I106" s="163"/>
      <c r="J106" s="185">
        <f>sum(J104:J105)</f>
        <v>235700</v>
      </c>
      <c r="K106" s="185"/>
      <c r="L106" s="185"/>
      <c r="M106" s="164"/>
      <c r="S106" s="185">
        <f t="shared" ref="S106:T106" si="66">sum(S104:S105)</f>
        <v>14142</v>
      </c>
      <c r="T106" s="185">
        <f t="shared" si="66"/>
        <v>249842</v>
      </c>
      <c r="U106" s="186"/>
      <c r="V106" s="187"/>
      <c r="W106" s="188"/>
      <c r="X106" s="240">
        <f t="shared" ref="X106:Y106" si="67">SUM(X104:X105)</f>
        <v>24984.2</v>
      </c>
      <c r="Y106" s="189">
        <f t="shared" si="67"/>
        <v>274826.2</v>
      </c>
      <c r="Z106" s="109"/>
    </row>
    <row r="107">
      <c r="A107" s="231">
        <f>sum(A106,A102,A97)</f>
        <v>12</v>
      </c>
      <c r="B107" s="232"/>
      <c r="C107" s="232"/>
      <c r="D107" s="232"/>
      <c r="E107" s="232"/>
      <c r="F107" s="232"/>
      <c r="G107" s="232"/>
      <c r="H107" s="232"/>
      <c r="I107" s="232"/>
      <c r="J107" s="233">
        <f>sum(J106,J102,J97)</f>
        <v>2321573</v>
      </c>
      <c r="K107" s="232"/>
      <c r="L107" s="232"/>
      <c r="M107" s="232"/>
      <c r="N107" s="232"/>
      <c r="O107" s="232"/>
      <c r="P107" s="232"/>
      <c r="Q107" s="232"/>
      <c r="R107" s="232"/>
      <c r="S107" s="233">
        <f t="shared" ref="S107:T107" si="68">sum(S106,S102,S97)</f>
        <v>118708.18</v>
      </c>
      <c r="T107" s="233">
        <f t="shared" si="68"/>
        <v>2440281.18</v>
      </c>
      <c r="Z107" s="109"/>
      <c r="AA107" s="219"/>
      <c r="AB107" s="219"/>
      <c r="AC107" s="219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7"/>
      <c r="AA108" s="219"/>
      <c r="AB108" s="219"/>
      <c r="AC108" s="219"/>
      <c r="AD108" s="228"/>
      <c r="AE108" s="228"/>
    </row>
    <row r="109">
      <c r="A109" s="229"/>
      <c r="Z109" s="109"/>
      <c r="AA109" s="219"/>
      <c r="AB109" s="219"/>
      <c r="AC109" s="219"/>
    </row>
    <row r="110">
      <c r="A110" s="110" t="s">
        <v>244</v>
      </c>
      <c r="Z110" s="109"/>
    </row>
    <row r="111">
      <c r="A111" s="124" t="s">
        <v>245</v>
      </c>
      <c r="Z111" s="109"/>
    </row>
    <row r="112">
      <c r="A112" s="132">
        <v>1.0</v>
      </c>
      <c r="B112" s="126" t="s">
        <v>246</v>
      </c>
      <c r="C112" s="199" t="s">
        <v>247</v>
      </c>
      <c r="D112" s="199" t="s">
        <v>248</v>
      </c>
      <c r="E112" s="132" t="s">
        <v>28</v>
      </c>
      <c r="F112" s="127">
        <v>39083.0</v>
      </c>
      <c r="G112" s="127">
        <v>40909.0</v>
      </c>
      <c r="H112" s="147">
        <v>45042.0</v>
      </c>
      <c r="I112" s="129">
        <v>45444.0</v>
      </c>
      <c r="J112" s="148">
        <v>456000.0</v>
      </c>
      <c r="K112" s="148">
        <v>325000.0</v>
      </c>
      <c r="L112" s="148">
        <v>359000.0</v>
      </c>
      <c r="M112" s="132" t="s">
        <v>52</v>
      </c>
      <c r="N112" s="24" t="s">
        <v>32</v>
      </c>
      <c r="O112" s="141" t="s">
        <v>32</v>
      </c>
      <c r="P112" s="23"/>
      <c r="Q112" s="24" t="s">
        <v>130</v>
      </c>
      <c r="R112" s="25">
        <f t="shared" ref="R112:R113" si="69">(P112/6)*Q112</f>
        <v>0</v>
      </c>
      <c r="S112" s="135">
        <f t="shared" ref="S112:S113" si="70">sum(J112*R112)</f>
        <v>0</v>
      </c>
      <c r="T112" s="135">
        <f t="shared" ref="T112:T113" si="71">J112+S112</f>
        <v>456000</v>
      </c>
      <c r="U112" s="136"/>
      <c r="V112" s="137"/>
      <c r="W112" s="138"/>
      <c r="X112" s="139"/>
      <c r="Y112" s="158"/>
      <c r="Z112" s="109"/>
    </row>
    <row r="113">
      <c r="A113" s="132">
        <v>2.0</v>
      </c>
      <c r="B113" s="126" t="s">
        <v>250</v>
      </c>
      <c r="C113" s="199" t="s">
        <v>251</v>
      </c>
      <c r="D113" s="199" t="s">
        <v>248</v>
      </c>
      <c r="E113" s="132" t="s">
        <v>28</v>
      </c>
      <c r="F113" s="127">
        <v>42491.0</v>
      </c>
      <c r="G113" s="127">
        <v>43617.0</v>
      </c>
      <c r="H113" s="147">
        <v>45294.0</v>
      </c>
      <c r="I113" s="129">
        <v>45717.0</v>
      </c>
      <c r="J113" s="237">
        <v>90000.0</v>
      </c>
      <c r="K113" s="149">
        <v>140000.0</v>
      </c>
      <c r="L113" s="149">
        <v>160000.0</v>
      </c>
      <c r="M113" s="132" t="s">
        <v>52</v>
      </c>
      <c r="N113" s="234"/>
      <c r="O113" s="144"/>
      <c r="P113" s="46"/>
      <c r="Q113" s="234"/>
      <c r="R113" s="36">
        <f t="shared" si="69"/>
        <v>0</v>
      </c>
      <c r="S113" s="37">
        <f t="shared" si="70"/>
        <v>0</v>
      </c>
      <c r="T113" s="135">
        <f t="shared" si="71"/>
        <v>90000</v>
      </c>
      <c r="U113" s="136"/>
      <c r="V113" s="137">
        <v>0.1</v>
      </c>
      <c r="W113" s="138">
        <v>6.0</v>
      </c>
      <c r="X113" s="139">
        <f>sum(T113*V113)</f>
        <v>9000</v>
      </c>
      <c r="Y113" s="139">
        <f>sum(X113,T113)</f>
        <v>99000</v>
      </c>
      <c r="Z113" s="109"/>
    </row>
    <row r="114">
      <c r="A114" s="161">
        <v>2.0</v>
      </c>
      <c r="B114" s="162"/>
      <c r="I114" s="163"/>
      <c r="J114" s="185">
        <f>SUM(J112:J113)</f>
        <v>546000</v>
      </c>
      <c r="K114" s="185"/>
      <c r="L114" s="185"/>
      <c r="M114" s="164"/>
      <c r="S114" s="185">
        <f t="shared" ref="S114:T114" si="72">SUM(S112:S113)</f>
        <v>0</v>
      </c>
      <c r="T114" s="185">
        <f t="shared" si="72"/>
        <v>546000</v>
      </c>
      <c r="U114" s="186"/>
      <c r="V114" s="187"/>
      <c r="W114" s="188"/>
      <c r="X114" s="240">
        <f t="shared" ref="X114:Y114" si="73">SUM(X112:X113)</f>
        <v>9000</v>
      </c>
      <c r="Y114" s="222">
        <f t="shared" si="73"/>
        <v>99000</v>
      </c>
      <c r="Z114" s="109"/>
    </row>
    <row r="115">
      <c r="A115" s="124" t="s">
        <v>253</v>
      </c>
      <c r="Z115" s="109"/>
    </row>
    <row r="116">
      <c r="A116" s="132">
        <v>1.0</v>
      </c>
      <c r="B116" s="126" t="s">
        <v>254</v>
      </c>
      <c r="C116" s="199" t="s">
        <v>255</v>
      </c>
      <c r="D116" s="199" t="s">
        <v>256</v>
      </c>
      <c r="E116" s="132" t="s">
        <v>73</v>
      </c>
      <c r="F116" s="127">
        <v>43617.0</v>
      </c>
      <c r="G116" s="127">
        <v>43617.0</v>
      </c>
      <c r="H116" s="147">
        <v>45839.0</v>
      </c>
      <c r="I116" s="132" t="s">
        <v>298</v>
      </c>
      <c r="J116" s="148">
        <v>180000.0</v>
      </c>
      <c r="K116" s="149">
        <v>140000.0</v>
      </c>
      <c r="L116" s="149">
        <v>160000.0</v>
      </c>
      <c r="M116" s="132" t="s">
        <v>52</v>
      </c>
      <c r="N116" s="92"/>
      <c r="O116" s="46"/>
      <c r="P116" s="46"/>
      <c r="Q116" s="92"/>
      <c r="R116" s="36">
        <f t="shared" ref="R116:R119" si="74">(P116/6)*Q116</f>
        <v>0</v>
      </c>
      <c r="S116" s="37">
        <f t="shared" ref="S116:S119" si="75">sum(J116*R116)</f>
        <v>0</v>
      </c>
      <c r="T116" s="135">
        <f t="shared" ref="T116:T119" si="76">J116+S116</f>
        <v>180000</v>
      </c>
      <c r="U116" s="136"/>
      <c r="V116" s="137"/>
      <c r="W116" s="138"/>
      <c r="X116" s="139"/>
      <c r="Y116" s="158"/>
      <c r="Z116" s="109"/>
    </row>
    <row r="117">
      <c r="A117" s="132">
        <v>2.0</v>
      </c>
      <c r="B117" s="126" t="s">
        <v>258</v>
      </c>
      <c r="C117" s="199" t="s">
        <v>255</v>
      </c>
      <c r="D117" s="199" t="s">
        <v>256</v>
      </c>
      <c r="E117" s="132" t="s">
        <v>73</v>
      </c>
      <c r="F117" s="127">
        <v>44228.0</v>
      </c>
      <c r="G117" s="127">
        <v>44228.0</v>
      </c>
      <c r="H117" s="147">
        <v>45839.0</v>
      </c>
      <c r="I117" s="132" t="s">
        <v>298</v>
      </c>
      <c r="J117" s="148">
        <v>150000.0</v>
      </c>
      <c r="K117" s="149">
        <v>125000.0</v>
      </c>
      <c r="L117" s="149">
        <v>150000.0</v>
      </c>
      <c r="M117" s="132" t="s">
        <v>52</v>
      </c>
      <c r="N117" s="92"/>
      <c r="O117" s="46"/>
      <c r="P117" s="46"/>
      <c r="Q117" s="92"/>
      <c r="R117" s="36">
        <f t="shared" si="74"/>
        <v>0</v>
      </c>
      <c r="S117" s="37">
        <f t="shared" si="75"/>
        <v>0</v>
      </c>
      <c r="T117" s="135">
        <f t="shared" si="76"/>
        <v>150000</v>
      </c>
      <c r="U117" s="136"/>
      <c r="V117" s="137"/>
      <c r="W117" s="138"/>
      <c r="X117" s="139"/>
      <c r="Y117" s="158"/>
      <c r="Z117" s="109"/>
    </row>
    <row r="118">
      <c r="A118" s="132">
        <v>3.0</v>
      </c>
      <c r="B118" s="126" t="s">
        <v>260</v>
      </c>
      <c r="C118" s="199" t="s">
        <v>255</v>
      </c>
      <c r="D118" s="199" t="s">
        <v>256</v>
      </c>
      <c r="E118" s="132" t="s">
        <v>73</v>
      </c>
      <c r="F118" s="127">
        <v>43983.0</v>
      </c>
      <c r="G118" s="127">
        <v>44440.0</v>
      </c>
      <c r="H118" s="147">
        <v>45915.0</v>
      </c>
      <c r="I118" s="132" t="s">
        <v>298</v>
      </c>
      <c r="J118" s="148">
        <v>150000.0</v>
      </c>
      <c r="K118" s="149">
        <v>125000.0</v>
      </c>
      <c r="L118" s="149">
        <v>150000.0</v>
      </c>
      <c r="M118" s="132" t="s">
        <v>52</v>
      </c>
      <c r="N118" s="92"/>
      <c r="O118" s="46"/>
      <c r="P118" s="46"/>
      <c r="Q118" s="92"/>
      <c r="R118" s="36">
        <f t="shared" si="74"/>
        <v>0</v>
      </c>
      <c r="S118" s="37">
        <f t="shared" si="75"/>
        <v>0</v>
      </c>
      <c r="T118" s="135">
        <f t="shared" si="76"/>
        <v>150000</v>
      </c>
      <c r="U118" s="136"/>
      <c r="V118" s="137"/>
      <c r="W118" s="138"/>
      <c r="X118" s="139"/>
      <c r="Y118" s="158"/>
      <c r="Z118" s="109"/>
    </row>
    <row r="119">
      <c r="A119" s="132">
        <v>4.0</v>
      </c>
      <c r="B119" s="126" t="s">
        <v>261</v>
      </c>
      <c r="C119" s="199" t="s">
        <v>255</v>
      </c>
      <c r="D119" s="199" t="s">
        <v>256</v>
      </c>
      <c r="E119" s="132" t="s">
        <v>73</v>
      </c>
      <c r="F119" s="127">
        <v>44562.0</v>
      </c>
      <c r="G119" s="127">
        <v>44562.0</v>
      </c>
      <c r="H119" s="147">
        <v>45931.0</v>
      </c>
      <c r="I119" s="132" t="s">
        <v>298</v>
      </c>
      <c r="J119" s="148">
        <v>150000.0</v>
      </c>
      <c r="K119" s="149">
        <v>125000.0</v>
      </c>
      <c r="L119" s="149">
        <v>150000.0</v>
      </c>
      <c r="M119" s="132" t="s">
        <v>52</v>
      </c>
      <c r="N119" s="92"/>
      <c r="O119" s="46"/>
      <c r="P119" s="46"/>
      <c r="Q119" s="92"/>
      <c r="R119" s="36">
        <f t="shared" si="74"/>
        <v>0</v>
      </c>
      <c r="S119" s="37">
        <f t="shared" si="75"/>
        <v>0</v>
      </c>
      <c r="T119" s="135">
        <f t="shared" si="76"/>
        <v>150000</v>
      </c>
      <c r="U119" s="186"/>
      <c r="V119" s="187"/>
      <c r="W119" s="188"/>
      <c r="X119" s="189"/>
      <c r="Y119" s="164"/>
      <c r="Z119" s="109"/>
    </row>
    <row r="120">
      <c r="A120" s="242">
        <v>4.0</v>
      </c>
      <c r="B120" s="162"/>
      <c r="I120" s="163"/>
      <c r="J120" s="185">
        <f>sum(J116:J119)</f>
        <v>630000</v>
      </c>
      <c r="K120" s="185"/>
      <c r="L120" s="185"/>
      <c r="M120" s="164"/>
      <c r="S120" s="185">
        <f t="shared" ref="S120:T120" si="77">sum(S116:S119)</f>
        <v>0</v>
      </c>
      <c r="T120" s="185">
        <f t="shared" si="77"/>
        <v>630000</v>
      </c>
      <c r="U120" s="186"/>
      <c r="V120" s="187"/>
      <c r="W120" s="188"/>
      <c r="X120" s="189">
        <f t="shared" ref="X120:Y120" si="78">sum(X113)</f>
        <v>9000</v>
      </c>
      <c r="Y120" s="240">
        <f t="shared" si="78"/>
        <v>99000</v>
      </c>
      <c r="Z120" s="109"/>
    </row>
    <row r="121">
      <c r="A121" s="231">
        <f>SUM(A120,A114)</f>
        <v>6</v>
      </c>
      <c r="B121" s="232"/>
      <c r="C121" s="232"/>
      <c r="D121" s="232"/>
      <c r="E121" s="232"/>
      <c r="F121" s="232"/>
      <c r="G121" s="232"/>
      <c r="H121" s="232"/>
      <c r="I121" s="232"/>
      <c r="J121" s="233">
        <f>SUM(J120,J114)</f>
        <v>1176000</v>
      </c>
      <c r="K121" s="232"/>
      <c r="L121" s="232"/>
      <c r="M121" s="232"/>
      <c r="N121" s="232"/>
      <c r="O121" s="232"/>
      <c r="P121" s="232"/>
      <c r="Q121" s="232"/>
      <c r="R121" s="232"/>
      <c r="S121" s="233">
        <f t="shared" ref="S121:T121" si="79">SUM(S120,S114)</f>
        <v>0</v>
      </c>
      <c r="T121" s="233">
        <f t="shared" si="79"/>
        <v>1176000</v>
      </c>
      <c r="Z121" s="109"/>
      <c r="AA121" s="219"/>
      <c r="AB121" s="219"/>
      <c r="AC121" s="219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7"/>
      <c r="AA122" s="219"/>
      <c r="AB122" s="219"/>
      <c r="AC122" s="219"/>
      <c r="AD122" s="228"/>
      <c r="AE122" s="228"/>
    </row>
    <row r="123">
      <c r="A123" s="229"/>
      <c r="Z123" s="109"/>
      <c r="AA123" s="219"/>
      <c r="AB123" s="219"/>
      <c r="AC123" s="219"/>
    </row>
    <row r="124">
      <c r="A124" s="110" t="s">
        <v>263</v>
      </c>
      <c r="Z124" s="109"/>
    </row>
    <row r="125">
      <c r="A125" s="132">
        <v>1.0</v>
      </c>
      <c r="B125" s="199" t="s">
        <v>264</v>
      </c>
      <c r="C125" s="199" t="s">
        <v>265</v>
      </c>
      <c r="D125" s="199" t="s">
        <v>248</v>
      </c>
      <c r="E125" s="125" t="s">
        <v>28</v>
      </c>
      <c r="F125" s="150"/>
      <c r="G125" s="150"/>
      <c r="H125" s="150">
        <v>45216.0</v>
      </c>
      <c r="I125" s="129">
        <v>45719.0</v>
      </c>
      <c r="J125" s="148">
        <v>70000.0</v>
      </c>
      <c r="K125" s="148" t="s">
        <v>32</v>
      </c>
      <c r="L125" s="148" t="s">
        <v>32</v>
      </c>
      <c r="M125" s="132" t="s">
        <v>52</v>
      </c>
      <c r="N125" s="92"/>
      <c r="O125" s="46"/>
      <c r="P125" s="46"/>
      <c r="Q125" s="92"/>
      <c r="R125" s="36">
        <f t="shared" ref="R125:R139" si="80">(P125/6)*Q125</f>
        <v>0</v>
      </c>
      <c r="S125" s="37">
        <f t="shared" ref="S125:S139" si="81">sum(J125*R125)</f>
        <v>0</v>
      </c>
      <c r="T125" s="135">
        <f t="shared" ref="T125:T139" si="82">sum(J125,S125)</f>
        <v>70000</v>
      </c>
      <c r="U125" s="136"/>
      <c r="V125" s="137"/>
      <c r="W125" s="138">
        <v>6.0</v>
      </c>
      <c r="X125" s="139">
        <f t="shared" ref="X125:X137" si="83">sum(T125*V125)</f>
        <v>0</v>
      </c>
      <c r="Y125" s="139">
        <f t="shared" ref="Y125:Y137" si="84">sum(X125,T125)</f>
        <v>70000</v>
      </c>
      <c r="Z125" s="109"/>
    </row>
    <row r="126">
      <c r="A126" s="132">
        <v>2.0</v>
      </c>
      <c r="B126" s="126" t="s">
        <v>266</v>
      </c>
      <c r="C126" s="199" t="s">
        <v>267</v>
      </c>
      <c r="D126" s="199" t="s">
        <v>248</v>
      </c>
      <c r="E126" s="125" t="s">
        <v>28</v>
      </c>
      <c r="F126" s="150"/>
      <c r="G126" s="150"/>
      <c r="H126" s="150">
        <v>45216.0</v>
      </c>
      <c r="I126" s="129">
        <v>45719.0</v>
      </c>
      <c r="J126" s="148">
        <v>60000.0</v>
      </c>
      <c r="K126" s="148" t="s">
        <v>32</v>
      </c>
      <c r="L126" s="148" t="s">
        <v>32</v>
      </c>
      <c r="M126" s="132" t="s">
        <v>52</v>
      </c>
      <c r="N126" s="92"/>
      <c r="O126" s="46"/>
      <c r="P126" s="46"/>
      <c r="Q126" s="92"/>
      <c r="R126" s="36">
        <f t="shared" si="80"/>
        <v>0</v>
      </c>
      <c r="S126" s="37">
        <f t="shared" si="81"/>
        <v>0</v>
      </c>
      <c r="T126" s="135">
        <f t="shared" si="82"/>
        <v>60000</v>
      </c>
      <c r="V126" s="137"/>
      <c r="W126" s="138">
        <v>6.0</v>
      </c>
      <c r="X126" s="139">
        <f t="shared" si="83"/>
        <v>0</v>
      </c>
      <c r="Y126" s="139">
        <f t="shared" si="84"/>
        <v>60000</v>
      </c>
      <c r="Z126" s="109"/>
    </row>
    <row r="127">
      <c r="A127" s="132">
        <v>3.0</v>
      </c>
      <c r="B127" s="126" t="s">
        <v>268</v>
      </c>
      <c r="C127" s="199" t="s">
        <v>269</v>
      </c>
      <c r="D127" s="199" t="s">
        <v>248</v>
      </c>
      <c r="E127" s="125" t="s">
        <v>28</v>
      </c>
      <c r="F127" s="150"/>
      <c r="G127" s="150"/>
      <c r="H127" s="150">
        <v>45216.0</v>
      </c>
      <c r="I127" s="129">
        <v>45719.0</v>
      </c>
      <c r="J127" s="148">
        <v>40000.0</v>
      </c>
      <c r="K127" s="148" t="s">
        <v>32</v>
      </c>
      <c r="L127" s="148" t="s">
        <v>32</v>
      </c>
      <c r="M127" s="132" t="s">
        <v>52</v>
      </c>
      <c r="N127" s="92"/>
      <c r="O127" s="46"/>
      <c r="P127" s="46"/>
      <c r="Q127" s="92"/>
      <c r="R127" s="36">
        <f t="shared" si="80"/>
        <v>0</v>
      </c>
      <c r="S127" s="37">
        <f t="shared" si="81"/>
        <v>0</v>
      </c>
      <c r="T127" s="135">
        <f t="shared" si="82"/>
        <v>40000</v>
      </c>
      <c r="V127" s="137"/>
      <c r="W127" s="138">
        <v>6.0</v>
      </c>
      <c r="X127" s="139">
        <f t="shared" si="83"/>
        <v>0</v>
      </c>
      <c r="Y127" s="139">
        <f t="shared" si="84"/>
        <v>40000</v>
      </c>
      <c r="Z127" s="109"/>
    </row>
    <row r="128">
      <c r="A128" s="132">
        <v>4.0</v>
      </c>
      <c r="B128" s="126" t="s">
        <v>270</v>
      </c>
      <c r="C128" s="199" t="s">
        <v>271</v>
      </c>
      <c r="D128" s="199" t="s">
        <v>248</v>
      </c>
      <c r="E128" s="125" t="s">
        <v>28</v>
      </c>
      <c r="F128" s="150"/>
      <c r="G128" s="150"/>
      <c r="H128" s="150">
        <v>45216.0</v>
      </c>
      <c r="I128" s="129">
        <v>45719.0</v>
      </c>
      <c r="J128" s="148">
        <v>37000.0</v>
      </c>
      <c r="K128" s="148" t="s">
        <v>32</v>
      </c>
      <c r="L128" s="148" t="s">
        <v>32</v>
      </c>
      <c r="M128" s="132" t="s">
        <v>52</v>
      </c>
      <c r="N128" s="92"/>
      <c r="O128" s="46"/>
      <c r="P128" s="46"/>
      <c r="Q128" s="92"/>
      <c r="R128" s="36">
        <f t="shared" si="80"/>
        <v>0</v>
      </c>
      <c r="S128" s="37">
        <f t="shared" si="81"/>
        <v>0</v>
      </c>
      <c r="T128" s="135">
        <f t="shared" si="82"/>
        <v>37000</v>
      </c>
      <c r="V128" s="137"/>
      <c r="W128" s="138">
        <v>6.0</v>
      </c>
      <c r="X128" s="139">
        <f t="shared" si="83"/>
        <v>0</v>
      </c>
      <c r="Y128" s="139">
        <f t="shared" si="84"/>
        <v>37000</v>
      </c>
      <c r="Z128" s="109"/>
    </row>
    <row r="129">
      <c r="A129" s="132">
        <v>5.0</v>
      </c>
      <c r="B129" s="126" t="s">
        <v>272</v>
      </c>
      <c r="C129" s="199" t="s">
        <v>271</v>
      </c>
      <c r="D129" s="199" t="s">
        <v>248</v>
      </c>
      <c r="E129" s="125" t="s">
        <v>28</v>
      </c>
      <c r="F129" s="150"/>
      <c r="G129" s="150"/>
      <c r="H129" s="150">
        <v>45216.0</v>
      </c>
      <c r="I129" s="129">
        <v>45719.0</v>
      </c>
      <c r="J129" s="148">
        <v>37000.0</v>
      </c>
      <c r="K129" s="148" t="s">
        <v>32</v>
      </c>
      <c r="L129" s="148" t="s">
        <v>32</v>
      </c>
      <c r="M129" s="132" t="s">
        <v>52</v>
      </c>
      <c r="N129" s="92"/>
      <c r="O129" s="46"/>
      <c r="P129" s="46"/>
      <c r="Q129" s="92"/>
      <c r="R129" s="36">
        <f t="shared" si="80"/>
        <v>0</v>
      </c>
      <c r="S129" s="37">
        <f t="shared" si="81"/>
        <v>0</v>
      </c>
      <c r="T129" s="135">
        <f t="shared" si="82"/>
        <v>37000</v>
      </c>
      <c r="V129" s="137"/>
      <c r="W129" s="138">
        <v>6.0</v>
      </c>
      <c r="X129" s="139">
        <f t="shared" si="83"/>
        <v>0</v>
      </c>
      <c r="Y129" s="139">
        <f t="shared" si="84"/>
        <v>37000</v>
      </c>
      <c r="Z129" s="109"/>
    </row>
    <row r="130">
      <c r="A130" s="132">
        <v>6.0</v>
      </c>
      <c r="B130" s="126" t="s">
        <v>273</v>
      </c>
      <c r="C130" s="199" t="s">
        <v>271</v>
      </c>
      <c r="D130" s="199" t="s">
        <v>248</v>
      </c>
      <c r="E130" s="125" t="s">
        <v>28</v>
      </c>
      <c r="F130" s="150"/>
      <c r="G130" s="150"/>
      <c r="H130" s="150">
        <v>45216.0</v>
      </c>
      <c r="I130" s="129">
        <v>45719.0</v>
      </c>
      <c r="J130" s="148">
        <v>37000.0</v>
      </c>
      <c r="K130" s="148" t="s">
        <v>32</v>
      </c>
      <c r="L130" s="148" t="s">
        <v>32</v>
      </c>
      <c r="M130" s="132" t="s">
        <v>52</v>
      </c>
      <c r="N130" s="92"/>
      <c r="O130" s="46"/>
      <c r="P130" s="46"/>
      <c r="Q130" s="92"/>
      <c r="R130" s="36">
        <f t="shared" si="80"/>
        <v>0</v>
      </c>
      <c r="S130" s="37">
        <f t="shared" si="81"/>
        <v>0</v>
      </c>
      <c r="T130" s="135">
        <f t="shared" si="82"/>
        <v>37000</v>
      </c>
      <c r="V130" s="137"/>
      <c r="W130" s="138">
        <v>6.0</v>
      </c>
      <c r="X130" s="139">
        <f t="shared" si="83"/>
        <v>0</v>
      </c>
      <c r="Y130" s="139">
        <f t="shared" si="84"/>
        <v>37000</v>
      </c>
      <c r="Z130" s="109"/>
    </row>
    <row r="131">
      <c r="A131" s="132">
        <v>7.0</v>
      </c>
      <c r="B131" s="126" t="s">
        <v>274</v>
      </c>
      <c r="C131" s="199" t="s">
        <v>275</v>
      </c>
      <c r="D131" s="199" t="s">
        <v>248</v>
      </c>
      <c r="E131" s="125" t="s">
        <v>276</v>
      </c>
      <c r="F131" s="150"/>
      <c r="G131" s="150"/>
      <c r="H131" s="150">
        <v>45216.0</v>
      </c>
      <c r="I131" s="129">
        <v>45719.0</v>
      </c>
      <c r="J131" s="148">
        <v>40000.0</v>
      </c>
      <c r="K131" s="148" t="s">
        <v>32</v>
      </c>
      <c r="L131" s="148" t="s">
        <v>32</v>
      </c>
      <c r="M131" s="132" t="s">
        <v>52</v>
      </c>
      <c r="N131" s="92"/>
      <c r="O131" s="46"/>
      <c r="P131" s="46"/>
      <c r="Q131" s="92"/>
      <c r="R131" s="36">
        <f t="shared" si="80"/>
        <v>0</v>
      </c>
      <c r="S131" s="37">
        <f t="shared" si="81"/>
        <v>0</v>
      </c>
      <c r="T131" s="135">
        <f t="shared" si="82"/>
        <v>40000</v>
      </c>
      <c r="V131" s="137"/>
      <c r="W131" s="138">
        <v>6.0</v>
      </c>
      <c r="X131" s="139">
        <f t="shared" si="83"/>
        <v>0</v>
      </c>
      <c r="Y131" s="139">
        <f t="shared" si="84"/>
        <v>40000</v>
      </c>
      <c r="Z131" s="109"/>
    </row>
    <row r="132">
      <c r="A132" s="132">
        <v>8.0</v>
      </c>
      <c r="B132" s="126" t="s">
        <v>277</v>
      </c>
      <c r="C132" s="199" t="s">
        <v>275</v>
      </c>
      <c r="D132" s="199" t="s">
        <v>248</v>
      </c>
      <c r="E132" s="125" t="s">
        <v>276</v>
      </c>
      <c r="F132" s="150"/>
      <c r="G132" s="150"/>
      <c r="H132" s="150">
        <v>45216.0</v>
      </c>
      <c r="I132" s="129">
        <v>45719.0</v>
      </c>
      <c r="J132" s="148">
        <v>32000.0</v>
      </c>
      <c r="K132" s="148" t="s">
        <v>32</v>
      </c>
      <c r="L132" s="148" t="s">
        <v>32</v>
      </c>
      <c r="M132" s="132" t="s">
        <v>52</v>
      </c>
      <c r="N132" s="92"/>
      <c r="O132" s="46"/>
      <c r="P132" s="46"/>
      <c r="Q132" s="92"/>
      <c r="R132" s="36">
        <f t="shared" si="80"/>
        <v>0</v>
      </c>
      <c r="S132" s="37">
        <f t="shared" si="81"/>
        <v>0</v>
      </c>
      <c r="T132" s="135">
        <f t="shared" si="82"/>
        <v>32000</v>
      </c>
      <c r="V132" s="137"/>
      <c r="W132" s="138">
        <v>6.0</v>
      </c>
      <c r="X132" s="139">
        <f t="shared" si="83"/>
        <v>0</v>
      </c>
      <c r="Y132" s="139">
        <f t="shared" si="84"/>
        <v>32000</v>
      </c>
      <c r="Z132" s="109"/>
    </row>
    <row r="133">
      <c r="A133" s="132">
        <v>9.0</v>
      </c>
      <c r="B133" s="126" t="s">
        <v>278</v>
      </c>
      <c r="C133" s="199" t="s">
        <v>279</v>
      </c>
      <c r="D133" s="199" t="s">
        <v>248</v>
      </c>
      <c r="E133" s="125" t="s">
        <v>28</v>
      </c>
      <c r="F133" s="150"/>
      <c r="G133" s="150"/>
      <c r="H133" s="150">
        <v>45579.0</v>
      </c>
      <c r="I133" s="129">
        <v>45719.0</v>
      </c>
      <c r="J133" s="148">
        <v>37000.0</v>
      </c>
      <c r="K133" s="148" t="s">
        <v>32</v>
      </c>
      <c r="L133" s="148" t="s">
        <v>32</v>
      </c>
      <c r="M133" s="132" t="s">
        <v>52</v>
      </c>
      <c r="N133" s="92"/>
      <c r="O133" s="46"/>
      <c r="P133" s="46"/>
      <c r="Q133" s="92"/>
      <c r="R133" s="36">
        <f t="shared" si="80"/>
        <v>0</v>
      </c>
      <c r="S133" s="37">
        <f t="shared" si="81"/>
        <v>0</v>
      </c>
      <c r="T133" s="135">
        <f t="shared" si="82"/>
        <v>37000</v>
      </c>
      <c r="V133" s="137"/>
      <c r="W133" s="138">
        <v>6.0</v>
      </c>
      <c r="X133" s="139">
        <f t="shared" si="83"/>
        <v>0</v>
      </c>
      <c r="Y133" s="139">
        <f t="shared" si="84"/>
        <v>37000</v>
      </c>
      <c r="Z133" s="109"/>
    </row>
    <row r="134">
      <c r="A134" s="132">
        <v>10.0</v>
      </c>
      <c r="B134" s="126" t="s">
        <v>280</v>
      </c>
      <c r="C134" s="199" t="s">
        <v>281</v>
      </c>
      <c r="D134" s="199" t="s">
        <v>248</v>
      </c>
      <c r="E134" s="125" t="s">
        <v>276</v>
      </c>
      <c r="F134" s="243"/>
      <c r="G134" s="243"/>
      <c r="H134" s="243"/>
      <c r="I134" s="129">
        <v>45719.0</v>
      </c>
      <c r="J134" s="130">
        <v>33000.0</v>
      </c>
      <c r="K134" s="148" t="s">
        <v>32</v>
      </c>
      <c r="L134" s="148" t="s">
        <v>32</v>
      </c>
      <c r="M134" s="132" t="s">
        <v>52</v>
      </c>
      <c r="N134" s="92"/>
      <c r="O134" s="46"/>
      <c r="P134" s="46"/>
      <c r="Q134" s="92"/>
      <c r="R134" s="36">
        <f t="shared" si="80"/>
        <v>0</v>
      </c>
      <c r="S134" s="37">
        <f t="shared" si="81"/>
        <v>0</v>
      </c>
      <c r="T134" s="135">
        <f t="shared" si="82"/>
        <v>33000</v>
      </c>
      <c r="V134" s="137"/>
      <c r="W134" s="138">
        <v>6.0</v>
      </c>
      <c r="X134" s="139">
        <f t="shared" si="83"/>
        <v>0</v>
      </c>
      <c r="Y134" s="139">
        <f t="shared" si="84"/>
        <v>33000</v>
      </c>
      <c r="Z134" s="109"/>
    </row>
    <row r="135">
      <c r="A135" s="132">
        <v>11.0</v>
      </c>
      <c r="B135" s="126" t="s">
        <v>282</v>
      </c>
      <c r="C135" s="199" t="s">
        <v>283</v>
      </c>
      <c r="D135" s="199" t="s">
        <v>248</v>
      </c>
      <c r="E135" s="125" t="s">
        <v>276</v>
      </c>
      <c r="F135" s="244"/>
      <c r="G135" s="244"/>
      <c r="H135" s="244"/>
      <c r="I135" s="129">
        <v>45719.0</v>
      </c>
      <c r="J135" s="130">
        <v>33000.0</v>
      </c>
      <c r="K135" s="148" t="s">
        <v>32</v>
      </c>
      <c r="L135" s="148" t="s">
        <v>32</v>
      </c>
      <c r="M135" s="132" t="s">
        <v>52</v>
      </c>
      <c r="N135" s="92"/>
      <c r="O135" s="46"/>
      <c r="P135" s="46"/>
      <c r="Q135" s="92"/>
      <c r="R135" s="36">
        <f t="shared" si="80"/>
        <v>0</v>
      </c>
      <c r="S135" s="37">
        <f t="shared" si="81"/>
        <v>0</v>
      </c>
      <c r="T135" s="135">
        <f t="shared" si="82"/>
        <v>33000</v>
      </c>
      <c r="V135" s="137"/>
      <c r="W135" s="138">
        <v>6.0</v>
      </c>
      <c r="X135" s="139">
        <f t="shared" si="83"/>
        <v>0</v>
      </c>
      <c r="Y135" s="139">
        <f t="shared" si="84"/>
        <v>33000</v>
      </c>
      <c r="Z135" s="109"/>
    </row>
    <row r="136">
      <c r="A136" s="132">
        <v>12.0</v>
      </c>
      <c r="B136" s="126" t="s">
        <v>284</v>
      </c>
      <c r="C136" s="199" t="s">
        <v>279</v>
      </c>
      <c r="D136" s="199" t="s">
        <v>248</v>
      </c>
      <c r="E136" s="125" t="s">
        <v>28</v>
      </c>
      <c r="F136" s="128"/>
      <c r="G136" s="128"/>
      <c r="H136" s="128">
        <v>45342.0</v>
      </c>
      <c r="I136" s="129">
        <v>45719.0</v>
      </c>
      <c r="J136" s="130">
        <v>40000.0</v>
      </c>
      <c r="K136" s="148" t="s">
        <v>32</v>
      </c>
      <c r="L136" s="148" t="s">
        <v>32</v>
      </c>
      <c r="M136" s="132" t="s">
        <v>52</v>
      </c>
      <c r="N136" s="92"/>
      <c r="O136" s="46"/>
      <c r="P136" s="46"/>
      <c r="Q136" s="92"/>
      <c r="R136" s="36">
        <f t="shared" si="80"/>
        <v>0</v>
      </c>
      <c r="S136" s="37">
        <f t="shared" si="81"/>
        <v>0</v>
      </c>
      <c r="T136" s="135">
        <f t="shared" si="82"/>
        <v>40000</v>
      </c>
      <c r="V136" s="137"/>
      <c r="W136" s="138">
        <v>6.0</v>
      </c>
      <c r="X136" s="139">
        <f t="shared" si="83"/>
        <v>0</v>
      </c>
      <c r="Y136" s="139">
        <f t="shared" si="84"/>
        <v>40000</v>
      </c>
      <c r="Z136" s="109"/>
    </row>
    <row r="137">
      <c r="A137" s="132">
        <v>13.0</v>
      </c>
      <c r="B137" s="199" t="s">
        <v>285</v>
      </c>
      <c r="C137" s="199" t="s">
        <v>286</v>
      </c>
      <c r="D137" s="199" t="s">
        <v>248</v>
      </c>
      <c r="E137" s="132" t="s">
        <v>28</v>
      </c>
      <c r="F137" s="147"/>
      <c r="G137" s="147"/>
      <c r="H137" s="147">
        <v>45216.0</v>
      </c>
      <c r="I137" s="129">
        <v>45719.0</v>
      </c>
      <c r="J137" s="148">
        <v>100000.0</v>
      </c>
      <c r="K137" s="148" t="s">
        <v>32</v>
      </c>
      <c r="L137" s="148" t="s">
        <v>32</v>
      </c>
      <c r="M137" s="132" t="s">
        <v>52</v>
      </c>
      <c r="N137" s="92"/>
      <c r="O137" s="46"/>
      <c r="P137" s="46"/>
      <c r="Q137" s="92"/>
      <c r="R137" s="36">
        <f t="shared" si="80"/>
        <v>0</v>
      </c>
      <c r="S137" s="37">
        <f t="shared" si="81"/>
        <v>0</v>
      </c>
      <c r="T137" s="135">
        <f t="shared" si="82"/>
        <v>100000</v>
      </c>
      <c r="V137" s="137"/>
      <c r="W137" s="138">
        <v>6.0</v>
      </c>
      <c r="X137" s="139">
        <f t="shared" si="83"/>
        <v>0</v>
      </c>
      <c r="Y137" s="139">
        <f t="shared" si="84"/>
        <v>100000</v>
      </c>
      <c r="Z137" s="109"/>
    </row>
    <row r="138">
      <c r="A138" s="132">
        <v>14.0</v>
      </c>
      <c r="B138" s="199" t="s">
        <v>287</v>
      </c>
      <c r="C138" s="199" t="s">
        <v>279</v>
      </c>
      <c r="D138" s="199" t="s">
        <v>248</v>
      </c>
      <c r="E138" s="132" t="s">
        <v>28</v>
      </c>
      <c r="F138" s="147"/>
      <c r="G138" s="147"/>
      <c r="H138" s="147">
        <v>45554.0</v>
      </c>
      <c r="I138" s="129">
        <v>45719.0</v>
      </c>
      <c r="J138" s="148">
        <v>37000.0</v>
      </c>
      <c r="K138" s="148" t="s">
        <v>32</v>
      </c>
      <c r="L138" s="148" t="s">
        <v>32</v>
      </c>
      <c r="M138" s="132" t="s">
        <v>52</v>
      </c>
      <c r="N138" s="92"/>
      <c r="O138" s="46"/>
      <c r="P138" s="46"/>
      <c r="Q138" s="92"/>
      <c r="R138" s="36">
        <f t="shared" si="80"/>
        <v>0</v>
      </c>
      <c r="S138" s="37">
        <f t="shared" si="81"/>
        <v>0</v>
      </c>
      <c r="T138" s="135">
        <f t="shared" si="82"/>
        <v>37000</v>
      </c>
      <c r="U138" s="136"/>
      <c r="V138" s="137"/>
      <c r="W138" s="138"/>
      <c r="X138" s="139"/>
      <c r="Y138" s="158"/>
      <c r="Z138" s="109"/>
    </row>
    <row r="139">
      <c r="A139" s="132">
        <v>15.0</v>
      </c>
      <c r="B139" s="199" t="s">
        <v>288</v>
      </c>
      <c r="C139" s="199" t="s">
        <v>279</v>
      </c>
      <c r="D139" s="199" t="s">
        <v>248</v>
      </c>
      <c r="E139" s="132" t="s">
        <v>28</v>
      </c>
      <c r="F139" s="147"/>
      <c r="G139" s="147"/>
      <c r="H139" s="147">
        <v>45652.0</v>
      </c>
      <c r="I139" s="129">
        <v>45719.0</v>
      </c>
      <c r="J139" s="148">
        <v>37000.0</v>
      </c>
      <c r="K139" s="148" t="s">
        <v>32</v>
      </c>
      <c r="L139" s="148" t="s">
        <v>32</v>
      </c>
      <c r="M139" s="132" t="s">
        <v>52</v>
      </c>
      <c r="N139" s="92"/>
      <c r="O139" s="46"/>
      <c r="P139" s="46"/>
      <c r="Q139" s="92"/>
      <c r="R139" s="36">
        <f t="shared" si="80"/>
        <v>0</v>
      </c>
      <c r="S139" s="37">
        <f t="shared" si="81"/>
        <v>0</v>
      </c>
      <c r="T139" s="135">
        <f t="shared" si="82"/>
        <v>37000</v>
      </c>
      <c r="U139" s="136"/>
      <c r="V139" s="137"/>
      <c r="W139" s="138"/>
      <c r="X139" s="139"/>
      <c r="Y139" s="158"/>
      <c r="Z139" s="109"/>
    </row>
    <row r="140">
      <c r="A140" s="231">
        <v>15.0</v>
      </c>
      <c r="B140" s="232"/>
      <c r="C140" s="232"/>
      <c r="D140" s="232"/>
      <c r="E140" s="232"/>
      <c r="F140" s="232"/>
      <c r="G140" s="232"/>
      <c r="H140" s="232"/>
      <c r="I140" s="232"/>
      <c r="J140" s="233">
        <f>SUM(J125:J139)</f>
        <v>670000</v>
      </c>
      <c r="K140" s="232"/>
      <c r="L140" s="232"/>
      <c r="M140" s="232"/>
      <c r="N140" s="232"/>
      <c r="O140" s="232"/>
      <c r="P140" s="232"/>
      <c r="Q140" s="232"/>
      <c r="R140" s="232"/>
      <c r="S140" s="233">
        <f>SUM(S125:S139)</f>
        <v>0</v>
      </c>
      <c r="T140" s="233">
        <f>SUM(T124:T139)</f>
        <v>670000</v>
      </c>
      <c r="Z140" s="109"/>
      <c r="AA140" s="219"/>
      <c r="AB140" s="219"/>
      <c r="AC140" s="219"/>
    </row>
    <row r="141">
      <c r="A141" s="245"/>
      <c r="B141" s="246"/>
      <c r="C141" s="246"/>
      <c r="D141" s="246"/>
      <c r="E141" s="109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7"/>
      <c r="T141" s="248"/>
      <c r="U141" s="136"/>
      <c r="V141" s="137"/>
      <c r="W141" s="138"/>
      <c r="X141" s="139"/>
      <c r="Y141" s="249"/>
      <c r="Z141" s="109"/>
    </row>
    <row r="142">
      <c r="A142" s="245"/>
      <c r="B142" s="246"/>
      <c r="C142" s="246"/>
      <c r="D142" s="246"/>
      <c r="E142" s="109"/>
      <c r="F142" s="245"/>
      <c r="G142" s="245"/>
      <c r="H142" s="245"/>
      <c r="I142" s="250"/>
      <c r="J142" s="250"/>
      <c r="K142" s="250"/>
      <c r="L142" s="250"/>
      <c r="M142" s="245"/>
      <c r="N142" s="245"/>
      <c r="O142" s="245"/>
      <c r="P142" s="245"/>
      <c r="Q142" s="245"/>
      <c r="R142" s="245"/>
      <c r="S142" s="247"/>
      <c r="T142" s="245"/>
    </row>
    <row r="143">
      <c r="A143" s="251">
        <f>SUM(A140,A121,A107,A86,A74,A64)</f>
        <v>88</v>
      </c>
      <c r="B143" s="246"/>
      <c r="C143" s="246"/>
      <c r="D143" s="246"/>
      <c r="E143" s="109"/>
      <c r="F143" s="245"/>
      <c r="G143" s="245"/>
      <c r="H143" s="245"/>
      <c r="I143" s="250"/>
      <c r="J143" s="252">
        <f>SUM(J140,J121,J107,J86,J74,J64)</f>
        <v>17150505</v>
      </c>
      <c r="K143" s="250"/>
      <c r="L143" s="250"/>
      <c r="M143" s="245"/>
      <c r="N143" s="245"/>
      <c r="O143" s="245"/>
      <c r="P143" s="245"/>
      <c r="Q143" s="245"/>
      <c r="R143" s="245"/>
      <c r="S143" s="252">
        <f t="shared" ref="S143:T143" si="85">SUM(S140,S121,S107,S86,S74,S64)</f>
        <v>630412.34</v>
      </c>
      <c r="T143" s="252">
        <f t="shared" si="85"/>
        <v>17780917.34</v>
      </c>
    </row>
    <row r="144">
      <c r="A144" s="245"/>
      <c r="B144" s="246"/>
      <c r="C144" s="246"/>
      <c r="D144" s="246"/>
      <c r="E144" s="109"/>
      <c r="F144" s="250"/>
      <c r="G144" s="250"/>
      <c r="H144" s="250"/>
      <c r="I144" s="245"/>
      <c r="J144" s="245"/>
      <c r="K144" s="245"/>
      <c r="L144" s="245"/>
      <c r="M144" s="245"/>
      <c r="N144" s="253">
        <f>sum(S143/J143)</f>
        <v>0.03675765466</v>
      </c>
      <c r="O144" s="245"/>
      <c r="P144" s="245"/>
      <c r="Q144" s="245"/>
      <c r="R144" s="245"/>
      <c r="S144" s="247"/>
      <c r="T144" s="245"/>
    </row>
    <row r="145">
      <c r="A145" s="245"/>
      <c r="B145" s="246"/>
      <c r="C145" s="246"/>
      <c r="D145" s="246"/>
      <c r="E145" s="109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7"/>
      <c r="T145" s="245"/>
    </row>
    <row r="146">
      <c r="A146" s="245"/>
      <c r="B146" s="246"/>
      <c r="C146" s="246"/>
      <c r="D146" s="246"/>
      <c r="E146" s="109"/>
      <c r="F146" s="245"/>
      <c r="G146" s="245"/>
      <c r="H146" s="245"/>
      <c r="I146" s="245"/>
      <c r="J146" s="245"/>
      <c r="K146" s="245"/>
      <c r="L146" s="245"/>
      <c r="M146" s="245"/>
      <c r="O146" s="245"/>
      <c r="P146" s="245"/>
      <c r="Q146" s="245"/>
      <c r="R146" s="245"/>
      <c r="S146" s="247"/>
      <c r="T146" s="245"/>
    </row>
    <row r="147">
      <c r="A147" s="245"/>
      <c r="B147" s="246"/>
      <c r="C147" s="246"/>
      <c r="D147" s="246"/>
      <c r="E147" s="109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7"/>
      <c r="T147" s="245"/>
    </row>
    <row r="148">
      <c r="A148" s="245"/>
      <c r="B148" s="246"/>
      <c r="C148" s="246"/>
      <c r="D148" s="246"/>
      <c r="E148" s="109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7"/>
      <c r="T148" s="245"/>
    </row>
    <row r="149">
      <c r="A149" s="245"/>
      <c r="B149" s="246"/>
      <c r="C149" s="246"/>
      <c r="D149" s="246"/>
      <c r="E149" s="109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7"/>
      <c r="T149" s="245"/>
    </row>
    <row r="150">
      <c r="A150" s="245"/>
      <c r="B150" s="246"/>
      <c r="C150" s="246"/>
      <c r="D150" s="246"/>
      <c r="E150" s="109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7"/>
      <c r="T150" s="245"/>
    </row>
    <row r="151">
      <c r="A151" s="245"/>
      <c r="B151" s="246"/>
      <c r="C151" s="246"/>
      <c r="D151" s="246"/>
      <c r="E151" s="109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7"/>
      <c r="T151" s="245"/>
    </row>
    <row r="152">
      <c r="A152" s="245"/>
      <c r="B152" s="246"/>
      <c r="C152" s="246"/>
      <c r="D152" s="246"/>
      <c r="E152" s="109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7"/>
      <c r="T152" s="245"/>
    </row>
    <row r="153">
      <c r="A153" s="245"/>
      <c r="B153" s="246"/>
      <c r="C153" s="246"/>
      <c r="D153" s="246"/>
      <c r="E153" s="109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7"/>
      <c r="T153" s="245"/>
    </row>
    <row r="154">
      <c r="A154" s="245"/>
      <c r="B154" s="246"/>
      <c r="C154" s="246"/>
      <c r="D154" s="246"/>
      <c r="E154" s="109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7"/>
      <c r="T154" s="245"/>
    </row>
    <row r="155">
      <c r="A155" s="245"/>
      <c r="B155" s="246"/>
      <c r="C155" s="246"/>
      <c r="D155" s="246"/>
      <c r="E155" s="109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7"/>
      <c r="T155" s="245"/>
    </row>
    <row r="156">
      <c r="A156" s="245"/>
      <c r="B156" s="246"/>
      <c r="C156" s="246"/>
      <c r="D156" s="246"/>
      <c r="E156" s="109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7"/>
      <c r="T156" s="245"/>
    </row>
    <row r="157">
      <c r="A157" s="245"/>
      <c r="B157" s="246"/>
      <c r="C157" s="246"/>
      <c r="D157" s="246"/>
      <c r="E157" s="109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7"/>
      <c r="T157" s="245"/>
    </row>
    <row r="158">
      <c r="A158" s="245"/>
      <c r="B158" s="246"/>
      <c r="C158" s="246"/>
      <c r="D158" s="246"/>
      <c r="E158" s="109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7"/>
      <c r="T158" s="245"/>
    </row>
    <row r="159">
      <c r="A159" s="245"/>
      <c r="B159" s="246"/>
      <c r="C159" s="246"/>
      <c r="D159" s="246"/>
      <c r="E159" s="109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7"/>
      <c r="T159" s="245"/>
    </row>
    <row r="160">
      <c r="A160" s="245"/>
      <c r="B160" s="246"/>
      <c r="C160" s="246"/>
      <c r="D160" s="246"/>
      <c r="E160" s="109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7"/>
      <c r="T160" s="245"/>
    </row>
    <row r="161">
      <c r="A161" s="245"/>
      <c r="B161" s="246"/>
      <c r="C161" s="246"/>
      <c r="D161" s="246"/>
      <c r="E161" s="109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7"/>
      <c r="T161" s="245"/>
    </row>
    <row r="162">
      <c r="A162" s="245"/>
      <c r="B162" s="246"/>
      <c r="C162" s="246"/>
      <c r="D162" s="246"/>
      <c r="E162" s="109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7"/>
      <c r="T162" s="245"/>
    </row>
    <row r="163">
      <c r="A163" s="245"/>
      <c r="B163" s="246"/>
      <c r="C163" s="246"/>
      <c r="D163" s="246"/>
      <c r="E163" s="109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7"/>
      <c r="T163" s="245"/>
    </row>
    <row r="164">
      <c r="A164" s="245"/>
      <c r="B164" s="246"/>
      <c r="C164" s="246"/>
      <c r="D164" s="246"/>
      <c r="E164" s="109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7"/>
      <c r="T164" s="245"/>
    </row>
    <row r="165">
      <c r="A165" s="245"/>
      <c r="B165" s="246"/>
      <c r="C165" s="246"/>
      <c r="D165" s="246"/>
      <c r="E165" s="109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7"/>
      <c r="T165" s="245"/>
    </row>
    <row r="166">
      <c r="A166" s="245"/>
      <c r="B166" s="246"/>
      <c r="C166" s="246"/>
      <c r="D166" s="246"/>
      <c r="E166" s="109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7"/>
      <c r="T166" s="245"/>
    </row>
    <row r="167">
      <c r="A167" s="245"/>
      <c r="B167" s="246"/>
      <c r="C167" s="246"/>
      <c r="D167" s="246"/>
      <c r="E167" s="109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7"/>
      <c r="T167" s="245"/>
    </row>
    <row r="168">
      <c r="A168" s="245"/>
      <c r="B168" s="246"/>
      <c r="C168" s="246"/>
      <c r="D168" s="246"/>
      <c r="E168" s="109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7"/>
      <c r="T168" s="245"/>
    </row>
    <row r="169">
      <c r="A169" s="245"/>
      <c r="B169" s="246"/>
      <c r="C169" s="246"/>
      <c r="D169" s="246"/>
      <c r="E169" s="109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7"/>
      <c r="T169" s="245"/>
    </row>
    <row r="170">
      <c r="A170" s="245"/>
      <c r="B170" s="246"/>
      <c r="C170" s="246"/>
      <c r="D170" s="246"/>
      <c r="E170" s="109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7"/>
      <c r="T170" s="245"/>
    </row>
    <row r="171">
      <c r="A171" s="245"/>
      <c r="B171" s="246"/>
      <c r="C171" s="246"/>
      <c r="D171" s="246"/>
      <c r="E171" s="109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7"/>
      <c r="T171" s="245"/>
    </row>
    <row r="172">
      <c r="A172" s="245"/>
      <c r="B172" s="246"/>
      <c r="C172" s="246"/>
      <c r="D172" s="246"/>
      <c r="E172" s="109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7"/>
      <c r="T172" s="245"/>
    </row>
    <row r="173">
      <c r="A173" s="245"/>
      <c r="B173" s="246"/>
      <c r="C173" s="246"/>
      <c r="D173" s="246"/>
      <c r="E173" s="109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7"/>
      <c r="T173" s="245"/>
    </row>
    <row r="174">
      <c r="A174" s="245"/>
      <c r="B174" s="246"/>
      <c r="C174" s="246"/>
      <c r="D174" s="246"/>
      <c r="E174" s="109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7"/>
      <c r="T174" s="245"/>
    </row>
    <row r="175">
      <c r="A175" s="245"/>
      <c r="B175" s="246"/>
      <c r="C175" s="246"/>
      <c r="D175" s="246"/>
      <c r="E175" s="109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7"/>
      <c r="T175" s="245"/>
    </row>
    <row r="176">
      <c r="A176" s="245"/>
      <c r="B176" s="246"/>
      <c r="C176" s="246"/>
      <c r="D176" s="246"/>
      <c r="E176" s="109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7"/>
      <c r="T176" s="245"/>
    </row>
    <row r="177">
      <c r="A177" s="245"/>
      <c r="B177" s="246"/>
      <c r="C177" s="246"/>
      <c r="D177" s="246"/>
      <c r="E177" s="109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7"/>
      <c r="T177" s="245"/>
    </row>
    <row r="178">
      <c r="A178" s="245"/>
      <c r="B178" s="246"/>
      <c r="C178" s="246"/>
      <c r="D178" s="246"/>
      <c r="E178" s="109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7"/>
      <c r="T178" s="245"/>
    </row>
    <row r="179">
      <c r="A179" s="245"/>
      <c r="B179" s="246"/>
      <c r="C179" s="246"/>
      <c r="D179" s="246"/>
      <c r="E179" s="109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7"/>
      <c r="T179" s="245"/>
    </row>
    <row r="180">
      <c r="A180" s="245"/>
      <c r="B180" s="246"/>
      <c r="C180" s="246"/>
      <c r="D180" s="246"/>
      <c r="E180" s="109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7"/>
      <c r="T180" s="245"/>
    </row>
    <row r="181">
      <c r="A181" s="245"/>
      <c r="B181" s="246"/>
      <c r="C181" s="246"/>
      <c r="D181" s="246"/>
      <c r="E181" s="109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7"/>
      <c r="T181" s="245"/>
    </row>
    <row r="182">
      <c r="A182" s="245"/>
      <c r="B182" s="246"/>
      <c r="C182" s="246"/>
      <c r="D182" s="246"/>
      <c r="E182" s="109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7"/>
      <c r="T182" s="245"/>
    </row>
    <row r="183">
      <c r="A183" s="245"/>
      <c r="B183" s="246"/>
      <c r="C183" s="246"/>
      <c r="D183" s="246"/>
      <c r="E183" s="109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7"/>
      <c r="T183" s="245"/>
    </row>
    <row r="184">
      <c r="A184" s="245"/>
      <c r="B184" s="246"/>
      <c r="C184" s="246"/>
      <c r="D184" s="246"/>
      <c r="E184" s="109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7"/>
      <c r="T184" s="245"/>
    </row>
    <row r="185">
      <c r="A185" s="245"/>
      <c r="B185" s="246"/>
      <c r="C185" s="246"/>
      <c r="D185" s="246"/>
      <c r="E185" s="109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7"/>
      <c r="T185" s="245"/>
    </row>
    <row r="186">
      <c r="A186" s="245"/>
      <c r="B186" s="246"/>
      <c r="C186" s="246"/>
      <c r="D186" s="246"/>
      <c r="E186" s="109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7"/>
      <c r="T186" s="245"/>
    </row>
    <row r="187">
      <c r="A187" s="245"/>
      <c r="B187" s="246"/>
      <c r="C187" s="246"/>
      <c r="D187" s="246"/>
      <c r="E187" s="109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7"/>
      <c r="T187" s="245"/>
    </row>
    <row r="188">
      <c r="A188" s="245"/>
      <c r="B188" s="246"/>
      <c r="C188" s="246"/>
      <c r="D188" s="246"/>
      <c r="E188" s="109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7"/>
      <c r="T188" s="245"/>
    </row>
    <row r="189">
      <c r="A189" s="245"/>
      <c r="B189" s="246"/>
      <c r="C189" s="246"/>
      <c r="D189" s="246"/>
      <c r="E189" s="109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7"/>
      <c r="T189" s="245"/>
    </row>
    <row r="190">
      <c r="A190" s="245"/>
      <c r="B190" s="246"/>
      <c r="C190" s="246"/>
      <c r="D190" s="246"/>
      <c r="E190" s="109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7"/>
      <c r="T190" s="245"/>
    </row>
    <row r="191">
      <c r="A191" s="245"/>
      <c r="B191" s="246"/>
      <c r="C191" s="246"/>
      <c r="D191" s="246"/>
      <c r="E191" s="109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7"/>
      <c r="T191" s="245"/>
    </row>
    <row r="192">
      <c r="A192" s="245"/>
      <c r="B192" s="246"/>
      <c r="C192" s="246"/>
      <c r="D192" s="246"/>
      <c r="E192" s="109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7"/>
      <c r="T192" s="245"/>
    </row>
    <row r="193">
      <c r="A193" s="245"/>
      <c r="B193" s="246"/>
      <c r="C193" s="246"/>
      <c r="D193" s="246"/>
      <c r="E193" s="109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7"/>
      <c r="T193" s="245"/>
    </row>
    <row r="194">
      <c r="A194" s="245"/>
      <c r="B194" s="246"/>
      <c r="C194" s="246"/>
      <c r="D194" s="246"/>
      <c r="E194" s="109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7"/>
      <c r="T194" s="245"/>
    </row>
    <row r="195">
      <c r="A195" s="245"/>
      <c r="B195" s="246"/>
      <c r="C195" s="246"/>
      <c r="D195" s="246"/>
      <c r="E195" s="109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7"/>
      <c r="T195" s="245"/>
    </row>
    <row r="196">
      <c r="A196" s="245"/>
      <c r="B196" s="246"/>
      <c r="C196" s="246"/>
      <c r="D196" s="246"/>
      <c r="E196" s="109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7"/>
      <c r="T196" s="245"/>
    </row>
    <row r="197">
      <c r="A197" s="245"/>
      <c r="B197" s="246"/>
      <c r="C197" s="246"/>
      <c r="D197" s="246"/>
      <c r="E197" s="109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7"/>
      <c r="T197" s="245"/>
    </row>
    <row r="198">
      <c r="A198" s="245"/>
      <c r="B198" s="246"/>
      <c r="C198" s="246"/>
      <c r="D198" s="246"/>
      <c r="E198" s="109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7"/>
      <c r="T198" s="245"/>
    </row>
    <row r="199">
      <c r="A199" s="245"/>
      <c r="B199" s="246"/>
      <c r="C199" s="246"/>
      <c r="D199" s="246"/>
      <c r="E199" s="109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7"/>
      <c r="T199" s="245"/>
    </row>
    <row r="200">
      <c r="A200" s="245"/>
      <c r="B200" s="246"/>
      <c r="C200" s="246"/>
      <c r="D200" s="246"/>
      <c r="E200" s="109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7"/>
      <c r="T200" s="245"/>
    </row>
    <row r="201">
      <c r="A201" s="245"/>
      <c r="B201" s="246"/>
      <c r="C201" s="246"/>
      <c r="D201" s="246"/>
      <c r="E201" s="109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7"/>
      <c r="T201" s="245"/>
    </row>
    <row r="202">
      <c r="A202" s="245"/>
      <c r="B202" s="246"/>
      <c r="C202" s="246"/>
      <c r="D202" s="246"/>
      <c r="E202" s="109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7"/>
      <c r="T202" s="245"/>
    </row>
    <row r="203">
      <c r="A203" s="245"/>
      <c r="B203" s="246"/>
      <c r="C203" s="246"/>
      <c r="D203" s="246"/>
      <c r="E203" s="109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7"/>
      <c r="T203" s="245"/>
    </row>
    <row r="204">
      <c r="A204" s="245"/>
      <c r="B204" s="246"/>
      <c r="C204" s="246"/>
      <c r="D204" s="246"/>
      <c r="E204" s="109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7"/>
      <c r="T204" s="245"/>
    </row>
    <row r="205">
      <c r="A205" s="245"/>
      <c r="B205" s="246"/>
      <c r="C205" s="246"/>
      <c r="D205" s="246"/>
      <c r="E205" s="109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7"/>
      <c r="T205" s="245"/>
    </row>
    <row r="206">
      <c r="A206" s="245"/>
      <c r="B206" s="246"/>
      <c r="C206" s="246"/>
      <c r="D206" s="246"/>
      <c r="E206" s="109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7"/>
      <c r="T206" s="245"/>
    </row>
    <row r="207">
      <c r="A207" s="245"/>
      <c r="B207" s="246"/>
      <c r="C207" s="246"/>
      <c r="D207" s="246"/>
      <c r="E207" s="109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7"/>
      <c r="T207" s="245"/>
    </row>
    <row r="208">
      <c r="A208" s="245"/>
      <c r="B208" s="246"/>
      <c r="C208" s="246"/>
      <c r="D208" s="246"/>
      <c r="E208" s="109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7"/>
      <c r="T208" s="245"/>
    </row>
    <row r="209">
      <c r="A209" s="245"/>
      <c r="B209" s="246"/>
      <c r="C209" s="246"/>
      <c r="D209" s="246"/>
      <c r="E209" s="109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7"/>
      <c r="T209" s="245"/>
    </row>
    <row r="210">
      <c r="A210" s="245"/>
      <c r="B210" s="246"/>
      <c r="C210" s="246"/>
      <c r="D210" s="246"/>
      <c r="E210" s="109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7"/>
      <c r="T210" s="245"/>
    </row>
    <row r="211">
      <c r="A211" s="245"/>
      <c r="B211" s="246"/>
      <c r="C211" s="246"/>
      <c r="D211" s="246"/>
      <c r="E211" s="109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7"/>
      <c r="T211" s="245"/>
    </row>
    <row r="212">
      <c r="A212" s="245"/>
      <c r="B212" s="246"/>
      <c r="C212" s="246"/>
      <c r="D212" s="246"/>
      <c r="E212" s="109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7"/>
      <c r="T212" s="245"/>
    </row>
    <row r="213">
      <c r="A213" s="245"/>
      <c r="B213" s="246"/>
      <c r="C213" s="246"/>
      <c r="D213" s="246"/>
      <c r="E213" s="109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7"/>
      <c r="T213" s="245"/>
    </row>
    <row r="214">
      <c r="A214" s="245"/>
      <c r="B214" s="246"/>
      <c r="C214" s="246"/>
      <c r="D214" s="246"/>
      <c r="E214" s="109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7"/>
      <c r="T214" s="245"/>
    </row>
    <row r="215">
      <c r="A215" s="245"/>
      <c r="B215" s="246"/>
      <c r="C215" s="246"/>
      <c r="D215" s="246"/>
      <c r="E215" s="109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7"/>
      <c r="T215" s="245"/>
    </row>
    <row r="216">
      <c r="A216" s="245"/>
      <c r="B216" s="246"/>
      <c r="C216" s="246"/>
      <c r="D216" s="246"/>
      <c r="E216" s="109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7"/>
      <c r="T216" s="245"/>
    </row>
    <row r="217">
      <c r="A217" s="245"/>
      <c r="B217" s="246"/>
      <c r="C217" s="246"/>
      <c r="D217" s="246"/>
      <c r="E217" s="109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7"/>
      <c r="T217" s="245"/>
    </row>
    <row r="218">
      <c r="A218" s="245"/>
      <c r="B218" s="246"/>
      <c r="C218" s="246"/>
      <c r="D218" s="246"/>
      <c r="E218" s="109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7"/>
      <c r="T218" s="245"/>
    </row>
    <row r="219">
      <c r="A219" s="245"/>
      <c r="B219" s="246"/>
      <c r="C219" s="246"/>
      <c r="D219" s="246"/>
      <c r="E219" s="109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7"/>
      <c r="T219" s="245"/>
    </row>
    <row r="220">
      <c r="A220" s="245"/>
      <c r="B220" s="246"/>
      <c r="C220" s="246"/>
      <c r="D220" s="246"/>
      <c r="E220" s="109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7"/>
      <c r="T220" s="245"/>
    </row>
    <row r="221">
      <c r="A221" s="245"/>
      <c r="B221" s="246"/>
      <c r="C221" s="246"/>
      <c r="D221" s="246"/>
      <c r="E221" s="109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7"/>
      <c r="T221" s="245"/>
    </row>
    <row r="222">
      <c r="A222" s="245"/>
      <c r="B222" s="246"/>
      <c r="C222" s="246"/>
      <c r="D222" s="246"/>
      <c r="E222" s="109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7"/>
      <c r="T222" s="245"/>
    </row>
    <row r="223">
      <c r="A223" s="245"/>
      <c r="B223" s="246"/>
      <c r="C223" s="246"/>
      <c r="D223" s="246"/>
      <c r="E223" s="109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7"/>
      <c r="T223" s="245"/>
    </row>
    <row r="224">
      <c r="A224" s="245"/>
      <c r="B224" s="246"/>
      <c r="C224" s="246"/>
      <c r="D224" s="246"/>
      <c r="E224" s="109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7"/>
      <c r="T224" s="245"/>
    </row>
    <row r="225">
      <c r="A225" s="245"/>
      <c r="B225" s="246"/>
      <c r="C225" s="246"/>
      <c r="D225" s="246"/>
      <c r="E225" s="109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7"/>
      <c r="T225" s="245"/>
    </row>
    <row r="226">
      <c r="A226" s="245"/>
      <c r="B226" s="246"/>
      <c r="C226" s="246"/>
      <c r="D226" s="246"/>
      <c r="E226" s="109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7"/>
      <c r="T226" s="245"/>
    </row>
    <row r="227">
      <c r="A227" s="245"/>
      <c r="B227" s="246"/>
      <c r="C227" s="246"/>
      <c r="D227" s="246"/>
      <c r="E227" s="109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7"/>
      <c r="T227" s="245"/>
    </row>
    <row r="228">
      <c r="A228" s="245"/>
      <c r="B228" s="246"/>
      <c r="C228" s="246"/>
      <c r="D228" s="246"/>
      <c r="E228" s="109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7"/>
      <c r="T228" s="245"/>
    </row>
    <row r="229">
      <c r="A229" s="245"/>
      <c r="B229" s="246"/>
      <c r="C229" s="246"/>
      <c r="D229" s="246"/>
      <c r="E229" s="109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7"/>
      <c r="T229" s="245"/>
    </row>
    <row r="230">
      <c r="A230" s="245"/>
      <c r="B230" s="246"/>
      <c r="C230" s="246"/>
      <c r="D230" s="246"/>
      <c r="E230" s="109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7"/>
      <c r="T230" s="245"/>
    </row>
    <row r="231">
      <c r="A231" s="245"/>
      <c r="B231" s="246"/>
      <c r="C231" s="246"/>
      <c r="D231" s="246"/>
      <c r="E231" s="109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7"/>
      <c r="T231" s="245"/>
    </row>
    <row r="232">
      <c r="A232" s="245"/>
      <c r="B232" s="246"/>
      <c r="C232" s="246"/>
      <c r="D232" s="246"/>
      <c r="E232" s="109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7"/>
      <c r="T232" s="245"/>
    </row>
    <row r="233">
      <c r="A233" s="245"/>
      <c r="B233" s="246"/>
      <c r="C233" s="246"/>
      <c r="D233" s="246"/>
      <c r="E233" s="109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7"/>
      <c r="T233" s="245"/>
    </row>
    <row r="234">
      <c r="A234" s="245"/>
      <c r="B234" s="246"/>
      <c r="C234" s="246"/>
      <c r="D234" s="246"/>
      <c r="E234" s="109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7"/>
      <c r="T234" s="245"/>
    </row>
    <row r="235">
      <c r="A235" s="245"/>
      <c r="B235" s="246"/>
      <c r="C235" s="246"/>
      <c r="D235" s="246"/>
      <c r="E235" s="109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7"/>
      <c r="T235" s="245"/>
    </row>
    <row r="236">
      <c r="A236" s="245"/>
      <c r="B236" s="246"/>
      <c r="C236" s="246"/>
      <c r="D236" s="246"/>
      <c r="E236" s="109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7"/>
      <c r="T236" s="245"/>
    </row>
    <row r="237">
      <c r="A237" s="245"/>
      <c r="B237" s="246"/>
      <c r="C237" s="246"/>
      <c r="D237" s="246"/>
      <c r="E237" s="109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7"/>
      <c r="T237" s="245"/>
    </row>
    <row r="238">
      <c r="A238" s="245"/>
      <c r="B238" s="246"/>
      <c r="C238" s="246"/>
      <c r="D238" s="246"/>
      <c r="E238" s="109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7"/>
      <c r="T238" s="245"/>
    </row>
    <row r="239">
      <c r="A239" s="245"/>
      <c r="B239" s="246"/>
      <c r="C239" s="246"/>
      <c r="D239" s="246"/>
      <c r="E239" s="109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7"/>
      <c r="T239" s="245"/>
    </row>
    <row r="240">
      <c r="A240" s="245"/>
      <c r="B240" s="246"/>
      <c r="C240" s="246"/>
      <c r="D240" s="246"/>
      <c r="E240" s="109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7"/>
      <c r="T240" s="245"/>
    </row>
    <row r="241">
      <c r="A241" s="245"/>
      <c r="B241" s="246"/>
      <c r="C241" s="246"/>
      <c r="D241" s="246"/>
      <c r="E241" s="109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7"/>
      <c r="T241" s="245"/>
    </row>
    <row r="242">
      <c r="A242" s="245"/>
      <c r="B242" s="246"/>
      <c r="C242" s="246"/>
      <c r="D242" s="246"/>
      <c r="E242" s="109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7"/>
      <c r="T242" s="245"/>
    </row>
    <row r="243">
      <c r="A243" s="245"/>
      <c r="B243" s="246"/>
      <c r="C243" s="246"/>
      <c r="D243" s="246"/>
      <c r="E243" s="109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7"/>
      <c r="T243" s="245"/>
    </row>
    <row r="244">
      <c r="A244" s="245"/>
      <c r="B244" s="246"/>
      <c r="C244" s="246"/>
      <c r="D244" s="246"/>
      <c r="E244" s="109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7"/>
      <c r="T244" s="245"/>
    </row>
    <row r="245">
      <c r="A245" s="245"/>
      <c r="B245" s="246"/>
      <c r="C245" s="246"/>
      <c r="D245" s="246"/>
      <c r="E245" s="109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7"/>
      <c r="T245" s="245"/>
    </row>
    <row r="246">
      <c r="A246" s="245"/>
      <c r="B246" s="246"/>
      <c r="C246" s="246"/>
      <c r="D246" s="246"/>
      <c r="E246" s="109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7"/>
      <c r="T246" s="245"/>
    </row>
    <row r="247">
      <c r="A247" s="245"/>
      <c r="B247" s="246"/>
      <c r="C247" s="246"/>
      <c r="D247" s="246"/>
      <c r="E247" s="109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7"/>
      <c r="T247" s="245"/>
    </row>
    <row r="248">
      <c r="A248" s="245"/>
      <c r="B248" s="246"/>
      <c r="C248" s="246"/>
      <c r="D248" s="246"/>
      <c r="E248" s="109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7"/>
      <c r="T248" s="245"/>
    </row>
    <row r="249">
      <c r="A249" s="245"/>
      <c r="B249" s="246"/>
      <c r="C249" s="246"/>
      <c r="D249" s="246"/>
      <c r="E249" s="109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7"/>
      <c r="T249" s="245"/>
    </row>
    <row r="250">
      <c r="A250" s="245"/>
      <c r="B250" s="246"/>
      <c r="C250" s="246"/>
      <c r="D250" s="246"/>
      <c r="E250" s="109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7"/>
      <c r="T250" s="245"/>
    </row>
    <row r="251">
      <c r="A251" s="245"/>
      <c r="B251" s="246"/>
      <c r="C251" s="246"/>
      <c r="D251" s="246"/>
      <c r="E251" s="109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7"/>
      <c r="T251" s="245"/>
    </row>
    <row r="252">
      <c r="A252" s="245"/>
      <c r="B252" s="246"/>
      <c r="C252" s="246"/>
      <c r="D252" s="246"/>
      <c r="E252" s="109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7"/>
      <c r="T252" s="245"/>
    </row>
    <row r="253">
      <c r="A253" s="245"/>
      <c r="B253" s="246"/>
      <c r="C253" s="246"/>
      <c r="D253" s="246"/>
      <c r="E253" s="109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7"/>
      <c r="T253" s="245"/>
    </row>
    <row r="254">
      <c r="A254" s="245"/>
      <c r="B254" s="246"/>
      <c r="C254" s="246"/>
      <c r="D254" s="246"/>
      <c r="E254" s="109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7"/>
      <c r="T254" s="245"/>
    </row>
    <row r="255">
      <c r="A255" s="245"/>
      <c r="B255" s="246"/>
      <c r="C255" s="246"/>
      <c r="D255" s="246"/>
      <c r="E255" s="109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7"/>
      <c r="T255" s="245"/>
    </row>
    <row r="256">
      <c r="A256" s="245"/>
      <c r="B256" s="246"/>
      <c r="C256" s="246"/>
      <c r="D256" s="246"/>
      <c r="E256" s="109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7"/>
      <c r="T256" s="245"/>
    </row>
    <row r="257">
      <c r="A257" s="245"/>
      <c r="B257" s="246"/>
      <c r="C257" s="246"/>
      <c r="D257" s="246"/>
      <c r="E257" s="109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7"/>
      <c r="T257" s="245"/>
    </row>
    <row r="258">
      <c r="A258" s="245"/>
      <c r="B258" s="246"/>
      <c r="C258" s="246"/>
      <c r="D258" s="246"/>
      <c r="E258" s="109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7"/>
      <c r="T258" s="245"/>
    </row>
    <row r="259">
      <c r="A259" s="245"/>
      <c r="B259" s="246"/>
      <c r="C259" s="246"/>
      <c r="D259" s="246"/>
      <c r="E259" s="109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7"/>
      <c r="T259" s="245"/>
    </row>
    <row r="260">
      <c r="A260" s="245"/>
      <c r="B260" s="246"/>
      <c r="C260" s="246"/>
      <c r="D260" s="246"/>
      <c r="E260" s="109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7"/>
      <c r="T260" s="245"/>
    </row>
    <row r="261">
      <c r="A261" s="245"/>
      <c r="B261" s="246"/>
      <c r="C261" s="246"/>
      <c r="D261" s="246"/>
      <c r="E261" s="109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7"/>
      <c r="T261" s="245"/>
    </row>
    <row r="262">
      <c r="A262" s="245"/>
      <c r="B262" s="246"/>
      <c r="C262" s="246"/>
      <c r="D262" s="246"/>
      <c r="E262" s="109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7"/>
      <c r="T262" s="245"/>
    </row>
    <row r="263">
      <c r="A263" s="245"/>
      <c r="B263" s="246"/>
      <c r="C263" s="246"/>
      <c r="D263" s="246"/>
      <c r="E263" s="109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7"/>
      <c r="T263" s="245"/>
    </row>
    <row r="264">
      <c r="A264" s="245"/>
      <c r="B264" s="246"/>
      <c r="C264" s="246"/>
      <c r="D264" s="246"/>
      <c r="E264" s="109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7"/>
      <c r="T264" s="245"/>
    </row>
    <row r="265">
      <c r="A265" s="245"/>
      <c r="B265" s="246"/>
      <c r="C265" s="246"/>
      <c r="D265" s="246"/>
      <c r="E265" s="109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7"/>
      <c r="T265" s="245"/>
    </row>
    <row r="266">
      <c r="A266" s="245"/>
      <c r="B266" s="246"/>
      <c r="C266" s="246"/>
      <c r="D266" s="246"/>
      <c r="E266" s="109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7"/>
      <c r="T266" s="245"/>
    </row>
    <row r="267">
      <c r="A267" s="245"/>
      <c r="B267" s="246"/>
      <c r="C267" s="246"/>
      <c r="D267" s="246"/>
      <c r="E267" s="109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7"/>
      <c r="T267" s="245"/>
    </row>
    <row r="268">
      <c r="A268" s="245"/>
      <c r="B268" s="246"/>
      <c r="C268" s="246"/>
      <c r="D268" s="246"/>
      <c r="E268" s="109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7"/>
      <c r="T268" s="245"/>
    </row>
    <row r="269">
      <c r="A269" s="245"/>
      <c r="B269" s="246"/>
      <c r="C269" s="246"/>
      <c r="D269" s="246"/>
      <c r="E269" s="109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7"/>
      <c r="T269" s="245"/>
    </row>
    <row r="270">
      <c r="A270" s="245"/>
      <c r="B270" s="246"/>
      <c r="C270" s="246"/>
      <c r="D270" s="246"/>
      <c r="E270" s="109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7"/>
      <c r="T270" s="245"/>
    </row>
    <row r="271">
      <c r="A271" s="245"/>
      <c r="B271" s="246"/>
      <c r="C271" s="246"/>
      <c r="D271" s="246"/>
      <c r="E271" s="109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7"/>
      <c r="T271" s="245"/>
    </row>
    <row r="272">
      <c r="A272" s="245"/>
      <c r="B272" s="246"/>
      <c r="C272" s="246"/>
      <c r="D272" s="246"/>
      <c r="E272" s="109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7"/>
      <c r="T272" s="245"/>
    </row>
    <row r="273">
      <c r="A273" s="245"/>
      <c r="B273" s="246"/>
      <c r="C273" s="246"/>
      <c r="D273" s="246"/>
      <c r="E273" s="109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7"/>
      <c r="T273" s="245"/>
    </row>
    <row r="274">
      <c r="A274" s="245"/>
      <c r="B274" s="246"/>
      <c r="C274" s="246"/>
      <c r="D274" s="246"/>
      <c r="E274" s="109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7"/>
      <c r="T274" s="245"/>
    </row>
    <row r="275">
      <c r="A275" s="245"/>
      <c r="B275" s="246"/>
      <c r="C275" s="246"/>
      <c r="D275" s="246"/>
      <c r="E275" s="109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7"/>
      <c r="T275" s="245"/>
    </row>
    <row r="276">
      <c r="A276" s="245"/>
      <c r="B276" s="246"/>
      <c r="C276" s="246"/>
      <c r="D276" s="246"/>
      <c r="E276" s="109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7"/>
      <c r="T276" s="245"/>
    </row>
    <row r="277">
      <c r="A277" s="245"/>
      <c r="B277" s="246"/>
      <c r="C277" s="246"/>
      <c r="D277" s="246"/>
      <c r="E277" s="109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7"/>
      <c r="T277" s="245"/>
    </row>
    <row r="278">
      <c r="A278" s="245"/>
      <c r="B278" s="246"/>
      <c r="C278" s="246"/>
      <c r="D278" s="246"/>
      <c r="E278" s="109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7"/>
      <c r="T278" s="245"/>
    </row>
    <row r="279">
      <c r="A279" s="245"/>
      <c r="B279" s="246"/>
      <c r="C279" s="246"/>
      <c r="D279" s="246"/>
      <c r="E279" s="109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7"/>
      <c r="T279" s="245"/>
    </row>
    <row r="280">
      <c r="A280" s="245"/>
      <c r="B280" s="246"/>
      <c r="C280" s="246"/>
      <c r="D280" s="246"/>
      <c r="E280" s="109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7"/>
      <c r="T280" s="245"/>
    </row>
    <row r="281">
      <c r="A281" s="245"/>
      <c r="B281" s="246"/>
      <c r="C281" s="246"/>
      <c r="D281" s="246"/>
      <c r="E281" s="109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7"/>
      <c r="T281" s="245"/>
    </row>
    <row r="282">
      <c r="A282" s="245"/>
      <c r="B282" s="246"/>
      <c r="C282" s="246"/>
      <c r="D282" s="246"/>
      <c r="E282" s="109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7"/>
      <c r="T282" s="245"/>
    </row>
    <row r="283">
      <c r="A283" s="245"/>
      <c r="B283" s="246"/>
      <c r="C283" s="246"/>
      <c r="D283" s="246"/>
      <c r="E283" s="109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7"/>
      <c r="T283" s="245"/>
    </row>
    <row r="284">
      <c r="A284" s="245"/>
      <c r="B284" s="246"/>
      <c r="C284" s="246"/>
      <c r="D284" s="246"/>
      <c r="E284" s="109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7"/>
      <c r="T284" s="245"/>
    </row>
    <row r="285">
      <c r="A285" s="245"/>
      <c r="B285" s="246"/>
      <c r="C285" s="246"/>
      <c r="D285" s="246"/>
      <c r="E285" s="109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7"/>
      <c r="T285" s="245"/>
    </row>
    <row r="286">
      <c r="A286" s="245"/>
      <c r="B286" s="246"/>
      <c r="C286" s="246"/>
      <c r="D286" s="246"/>
      <c r="E286" s="109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7"/>
      <c r="T286" s="245"/>
    </row>
    <row r="287">
      <c r="A287" s="245"/>
      <c r="B287" s="246"/>
      <c r="C287" s="246"/>
      <c r="D287" s="246"/>
      <c r="E287" s="109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7"/>
      <c r="T287" s="245"/>
    </row>
    <row r="288">
      <c r="A288" s="245"/>
      <c r="B288" s="246"/>
      <c r="C288" s="246"/>
      <c r="D288" s="246"/>
      <c r="E288" s="109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7"/>
      <c r="T288" s="245"/>
    </row>
    <row r="289">
      <c r="A289" s="245"/>
      <c r="B289" s="246"/>
      <c r="C289" s="246"/>
      <c r="D289" s="246"/>
      <c r="E289" s="109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7"/>
      <c r="T289" s="245"/>
    </row>
    <row r="290">
      <c r="A290" s="245"/>
      <c r="B290" s="246"/>
      <c r="C290" s="246"/>
      <c r="D290" s="246"/>
      <c r="E290" s="109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7"/>
      <c r="T290" s="245"/>
    </row>
    <row r="291">
      <c r="A291" s="245"/>
      <c r="B291" s="246"/>
      <c r="C291" s="246"/>
      <c r="D291" s="246"/>
      <c r="E291" s="109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7"/>
      <c r="T291" s="245"/>
    </row>
    <row r="292">
      <c r="A292" s="245"/>
      <c r="B292" s="246"/>
      <c r="C292" s="246"/>
      <c r="D292" s="246"/>
      <c r="E292" s="109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7"/>
      <c r="T292" s="245"/>
    </row>
    <row r="293">
      <c r="A293" s="245"/>
      <c r="B293" s="246"/>
      <c r="C293" s="246"/>
      <c r="D293" s="246"/>
      <c r="E293" s="109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7"/>
      <c r="T293" s="245"/>
    </row>
    <row r="294">
      <c r="A294" s="245"/>
      <c r="B294" s="246"/>
      <c r="C294" s="246"/>
      <c r="D294" s="246"/>
      <c r="E294" s="109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7"/>
      <c r="T294" s="245"/>
    </row>
    <row r="295">
      <c r="A295" s="245"/>
      <c r="B295" s="246"/>
      <c r="C295" s="246"/>
      <c r="D295" s="246"/>
      <c r="E295" s="109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7"/>
      <c r="T295" s="245"/>
    </row>
    <row r="296">
      <c r="A296" s="245"/>
      <c r="B296" s="246"/>
      <c r="C296" s="246"/>
      <c r="D296" s="246"/>
      <c r="E296" s="109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7"/>
      <c r="T296" s="245"/>
    </row>
    <row r="297">
      <c r="A297" s="245"/>
      <c r="B297" s="246"/>
      <c r="C297" s="246"/>
      <c r="D297" s="246"/>
      <c r="E297" s="109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7"/>
      <c r="T297" s="245"/>
    </row>
    <row r="298">
      <c r="A298" s="245"/>
      <c r="B298" s="246"/>
      <c r="C298" s="246"/>
      <c r="D298" s="246"/>
      <c r="E298" s="109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7"/>
      <c r="T298" s="245"/>
    </row>
    <row r="299">
      <c r="A299" s="245"/>
      <c r="B299" s="246"/>
      <c r="C299" s="246"/>
      <c r="D299" s="246"/>
      <c r="E299" s="109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7"/>
      <c r="T299" s="245"/>
    </row>
    <row r="300">
      <c r="A300" s="245"/>
      <c r="B300" s="246"/>
      <c r="C300" s="246"/>
      <c r="D300" s="246"/>
      <c r="E300" s="109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7"/>
      <c r="T300" s="245"/>
    </row>
    <row r="301">
      <c r="A301" s="245"/>
      <c r="B301" s="246"/>
      <c r="C301" s="246"/>
      <c r="D301" s="246"/>
      <c r="E301" s="109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7"/>
      <c r="T301" s="245"/>
    </row>
    <row r="302">
      <c r="A302" s="245"/>
      <c r="B302" s="246"/>
      <c r="C302" s="246"/>
      <c r="D302" s="246"/>
      <c r="E302" s="109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7"/>
      <c r="T302" s="245"/>
    </row>
    <row r="303">
      <c r="A303" s="245"/>
      <c r="B303" s="246"/>
      <c r="C303" s="246"/>
      <c r="D303" s="246"/>
      <c r="E303" s="109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7"/>
      <c r="T303" s="245"/>
    </row>
    <row r="304">
      <c r="A304" s="245"/>
      <c r="B304" s="246"/>
      <c r="C304" s="246"/>
      <c r="D304" s="246"/>
      <c r="E304" s="109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7"/>
      <c r="T304" s="245"/>
    </row>
    <row r="305">
      <c r="A305" s="245"/>
      <c r="B305" s="246"/>
      <c r="C305" s="246"/>
      <c r="D305" s="246"/>
      <c r="E305" s="109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7"/>
      <c r="T305" s="245"/>
    </row>
    <row r="306">
      <c r="A306" s="245"/>
      <c r="B306" s="246"/>
      <c r="C306" s="246"/>
      <c r="D306" s="246"/>
      <c r="E306" s="109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7"/>
      <c r="T306" s="245"/>
    </row>
    <row r="307">
      <c r="A307" s="245"/>
      <c r="B307" s="246"/>
      <c r="C307" s="246"/>
      <c r="D307" s="246"/>
      <c r="E307" s="109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7"/>
      <c r="T307" s="245"/>
    </row>
    <row r="308">
      <c r="A308" s="245"/>
      <c r="B308" s="246"/>
      <c r="C308" s="246"/>
      <c r="D308" s="246"/>
      <c r="E308" s="109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7"/>
      <c r="T308" s="245"/>
    </row>
    <row r="309">
      <c r="A309" s="245"/>
      <c r="B309" s="246"/>
      <c r="C309" s="246"/>
      <c r="D309" s="246"/>
      <c r="E309" s="109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7"/>
      <c r="T309" s="245"/>
    </row>
    <row r="310">
      <c r="A310" s="245"/>
      <c r="B310" s="246"/>
      <c r="C310" s="246"/>
      <c r="D310" s="246"/>
      <c r="E310" s="109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7"/>
      <c r="T310" s="245"/>
    </row>
    <row r="311">
      <c r="A311" s="245"/>
      <c r="B311" s="246"/>
      <c r="C311" s="246"/>
      <c r="D311" s="246"/>
      <c r="E311" s="109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7"/>
      <c r="T311" s="245"/>
    </row>
    <row r="312">
      <c r="A312" s="245"/>
      <c r="B312" s="246"/>
      <c r="C312" s="246"/>
      <c r="D312" s="246"/>
      <c r="E312" s="109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7"/>
      <c r="T312" s="245"/>
    </row>
    <row r="313">
      <c r="A313" s="245"/>
      <c r="B313" s="246"/>
      <c r="C313" s="246"/>
      <c r="D313" s="246"/>
      <c r="E313" s="109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7"/>
      <c r="T313" s="245"/>
    </row>
    <row r="314">
      <c r="A314" s="245"/>
      <c r="B314" s="246"/>
      <c r="C314" s="246"/>
      <c r="D314" s="246"/>
      <c r="E314" s="109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7"/>
      <c r="T314" s="245"/>
    </row>
    <row r="315">
      <c r="A315" s="245"/>
      <c r="B315" s="246"/>
      <c r="C315" s="246"/>
      <c r="D315" s="246"/>
      <c r="E315" s="109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7"/>
      <c r="T315" s="245"/>
    </row>
    <row r="316">
      <c r="A316" s="245"/>
      <c r="B316" s="246"/>
      <c r="C316" s="246"/>
      <c r="D316" s="246"/>
      <c r="E316" s="109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7"/>
      <c r="T316" s="245"/>
    </row>
    <row r="317">
      <c r="A317" s="245"/>
      <c r="B317" s="246"/>
      <c r="C317" s="246"/>
      <c r="D317" s="246"/>
      <c r="E317" s="109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7"/>
      <c r="T317" s="245"/>
    </row>
    <row r="318">
      <c r="A318" s="245"/>
      <c r="B318" s="246"/>
      <c r="C318" s="246"/>
      <c r="D318" s="246"/>
      <c r="E318" s="109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7"/>
      <c r="T318" s="245"/>
    </row>
    <row r="319">
      <c r="A319" s="245"/>
      <c r="B319" s="246"/>
      <c r="C319" s="246"/>
      <c r="D319" s="246"/>
      <c r="E319" s="109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7"/>
      <c r="T319" s="245"/>
    </row>
    <row r="320">
      <c r="A320" s="245"/>
      <c r="B320" s="246"/>
      <c r="C320" s="246"/>
      <c r="D320" s="246"/>
      <c r="E320" s="109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7"/>
      <c r="T320" s="245"/>
    </row>
    <row r="321">
      <c r="A321" s="245"/>
      <c r="B321" s="246"/>
      <c r="C321" s="246"/>
      <c r="D321" s="246"/>
      <c r="E321" s="109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7"/>
      <c r="T321" s="245"/>
    </row>
    <row r="322">
      <c r="A322" s="245"/>
      <c r="B322" s="246"/>
      <c r="C322" s="246"/>
      <c r="D322" s="246"/>
      <c r="E322" s="109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7"/>
      <c r="T322" s="245"/>
    </row>
    <row r="323">
      <c r="A323" s="245"/>
      <c r="B323" s="246"/>
      <c r="C323" s="246"/>
      <c r="D323" s="246"/>
      <c r="E323" s="109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7"/>
      <c r="T323" s="245"/>
    </row>
    <row r="324">
      <c r="A324" s="245"/>
      <c r="B324" s="246"/>
      <c r="C324" s="246"/>
      <c r="D324" s="246"/>
      <c r="E324" s="109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7"/>
      <c r="T324" s="245"/>
    </row>
    <row r="325">
      <c r="A325" s="245"/>
      <c r="B325" s="246"/>
      <c r="C325" s="246"/>
      <c r="D325" s="246"/>
      <c r="E325" s="109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7"/>
      <c r="T325" s="245"/>
    </row>
    <row r="326">
      <c r="A326" s="245"/>
      <c r="B326" s="246"/>
      <c r="C326" s="246"/>
      <c r="D326" s="246"/>
      <c r="E326" s="109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7"/>
      <c r="T326" s="245"/>
    </row>
    <row r="327">
      <c r="A327" s="245"/>
      <c r="B327" s="246"/>
      <c r="C327" s="246"/>
      <c r="D327" s="246"/>
      <c r="E327" s="109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7"/>
      <c r="T327" s="245"/>
    </row>
    <row r="328">
      <c r="A328" s="245"/>
      <c r="B328" s="246"/>
      <c r="C328" s="246"/>
      <c r="D328" s="246"/>
      <c r="E328" s="109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7"/>
      <c r="T328" s="245"/>
    </row>
    <row r="329">
      <c r="A329" s="245"/>
      <c r="B329" s="246"/>
      <c r="C329" s="246"/>
      <c r="D329" s="246"/>
      <c r="E329" s="109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7"/>
      <c r="T329" s="245"/>
    </row>
    <row r="330">
      <c r="A330" s="245"/>
      <c r="B330" s="246"/>
      <c r="C330" s="246"/>
      <c r="D330" s="246"/>
      <c r="E330" s="109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7"/>
      <c r="T330" s="245"/>
    </row>
    <row r="331">
      <c r="A331" s="245"/>
      <c r="B331" s="246"/>
      <c r="C331" s="246"/>
      <c r="D331" s="246"/>
      <c r="E331" s="109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7"/>
      <c r="T331" s="245"/>
    </row>
    <row r="332">
      <c r="A332" s="245"/>
      <c r="B332" s="246"/>
      <c r="C332" s="246"/>
      <c r="D332" s="246"/>
      <c r="E332" s="109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7"/>
      <c r="T332" s="245"/>
    </row>
    <row r="333">
      <c r="A333" s="245"/>
      <c r="B333" s="246"/>
      <c r="C333" s="246"/>
      <c r="D333" s="246"/>
      <c r="E333" s="109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7"/>
      <c r="T333" s="245"/>
    </row>
    <row r="334">
      <c r="A334" s="245"/>
      <c r="B334" s="246"/>
      <c r="C334" s="246"/>
      <c r="D334" s="246"/>
      <c r="E334" s="109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7"/>
      <c r="T334" s="245"/>
    </row>
    <row r="335">
      <c r="A335" s="245"/>
      <c r="B335" s="246"/>
      <c r="C335" s="246"/>
      <c r="D335" s="246"/>
      <c r="E335" s="109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7"/>
      <c r="T335" s="245"/>
    </row>
    <row r="336">
      <c r="A336" s="245"/>
      <c r="B336" s="246"/>
      <c r="C336" s="246"/>
      <c r="D336" s="246"/>
      <c r="E336" s="109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7"/>
      <c r="T336" s="245"/>
    </row>
    <row r="337">
      <c r="A337" s="245"/>
      <c r="B337" s="246"/>
      <c r="C337" s="246"/>
      <c r="D337" s="246"/>
      <c r="E337" s="109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7"/>
      <c r="T337" s="245"/>
    </row>
    <row r="338">
      <c r="A338" s="245"/>
      <c r="B338" s="246"/>
      <c r="C338" s="246"/>
      <c r="D338" s="246"/>
      <c r="E338" s="109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7"/>
      <c r="T338" s="245"/>
    </row>
    <row r="339">
      <c r="A339" s="245"/>
      <c r="B339" s="246"/>
      <c r="C339" s="246"/>
      <c r="D339" s="246"/>
      <c r="E339" s="109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7"/>
      <c r="T339" s="245"/>
    </row>
    <row r="340">
      <c r="A340" s="245"/>
      <c r="B340" s="246"/>
      <c r="C340" s="246"/>
      <c r="D340" s="246"/>
      <c r="E340" s="109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7"/>
      <c r="T340" s="245"/>
    </row>
    <row r="341">
      <c r="A341" s="245"/>
      <c r="B341" s="246"/>
      <c r="C341" s="246"/>
      <c r="D341" s="246"/>
      <c r="E341" s="109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7"/>
      <c r="T341" s="245"/>
    </row>
    <row r="342">
      <c r="A342" s="245"/>
      <c r="B342" s="246"/>
      <c r="C342" s="246"/>
      <c r="D342" s="246"/>
      <c r="E342" s="109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7"/>
      <c r="T342" s="245"/>
    </row>
    <row r="343">
      <c r="A343" s="245"/>
      <c r="B343" s="246"/>
      <c r="C343" s="246"/>
      <c r="D343" s="246"/>
      <c r="E343" s="109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7"/>
      <c r="T343" s="245"/>
    </row>
    <row r="344">
      <c r="A344" s="245"/>
      <c r="B344" s="246"/>
      <c r="C344" s="246"/>
      <c r="D344" s="246"/>
      <c r="E344" s="109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7"/>
      <c r="T344" s="245"/>
    </row>
    <row r="345">
      <c r="A345" s="245"/>
      <c r="B345" s="246"/>
      <c r="C345" s="246"/>
      <c r="D345" s="246"/>
      <c r="E345" s="109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7"/>
      <c r="T345" s="245"/>
    </row>
    <row r="346">
      <c r="A346" s="245"/>
      <c r="B346" s="246"/>
      <c r="C346" s="246"/>
      <c r="D346" s="246"/>
      <c r="E346" s="109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7"/>
      <c r="T346" s="245"/>
    </row>
    <row r="347">
      <c r="A347" s="245"/>
      <c r="B347" s="246"/>
      <c r="C347" s="246"/>
      <c r="D347" s="246"/>
      <c r="E347" s="109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7"/>
      <c r="T347" s="245"/>
    </row>
    <row r="348">
      <c r="A348" s="245"/>
      <c r="B348" s="246"/>
      <c r="C348" s="246"/>
      <c r="D348" s="246"/>
      <c r="E348" s="109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7"/>
      <c r="T348" s="245"/>
    </row>
    <row r="349">
      <c r="A349" s="245"/>
      <c r="B349" s="246"/>
      <c r="C349" s="246"/>
      <c r="D349" s="246"/>
      <c r="E349" s="109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7"/>
      <c r="T349" s="245"/>
    </row>
    <row r="350">
      <c r="A350" s="245"/>
      <c r="B350" s="246"/>
      <c r="C350" s="246"/>
      <c r="D350" s="246"/>
      <c r="E350" s="109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7"/>
      <c r="T350" s="245"/>
    </row>
    <row r="351">
      <c r="A351" s="245"/>
      <c r="B351" s="246"/>
      <c r="C351" s="246"/>
      <c r="D351" s="246"/>
      <c r="E351" s="109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7"/>
      <c r="T351" s="245"/>
    </row>
    <row r="352">
      <c r="A352" s="245"/>
      <c r="B352" s="246"/>
      <c r="C352" s="246"/>
      <c r="D352" s="246"/>
      <c r="E352" s="109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7"/>
      <c r="T352" s="245"/>
    </row>
    <row r="353">
      <c r="A353" s="245"/>
      <c r="B353" s="246"/>
      <c r="C353" s="246"/>
      <c r="D353" s="246"/>
      <c r="E353" s="109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7"/>
      <c r="T353" s="245"/>
    </row>
    <row r="354">
      <c r="A354" s="245"/>
      <c r="B354" s="246"/>
      <c r="C354" s="246"/>
      <c r="D354" s="246"/>
      <c r="E354" s="109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7"/>
      <c r="T354" s="245"/>
    </row>
    <row r="355">
      <c r="A355" s="245"/>
      <c r="B355" s="246"/>
      <c r="C355" s="246"/>
      <c r="D355" s="246"/>
      <c r="E355" s="109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7"/>
      <c r="T355" s="245"/>
    </row>
    <row r="356">
      <c r="A356" s="245"/>
      <c r="B356" s="246"/>
      <c r="C356" s="246"/>
      <c r="D356" s="246"/>
      <c r="E356" s="109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7"/>
      <c r="T356" s="245"/>
    </row>
    <row r="357">
      <c r="A357" s="245"/>
      <c r="B357" s="246"/>
      <c r="C357" s="246"/>
      <c r="D357" s="246"/>
      <c r="E357" s="109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7"/>
      <c r="T357" s="245"/>
    </row>
    <row r="358">
      <c r="A358" s="245"/>
      <c r="B358" s="246"/>
      <c r="C358" s="246"/>
      <c r="D358" s="246"/>
      <c r="E358" s="109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7"/>
      <c r="T358" s="245"/>
    </row>
    <row r="359">
      <c r="A359" s="245"/>
      <c r="B359" s="246"/>
      <c r="C359" s="246"/>
      <c r="D359" s="246"/>
      <c r="E359" s="109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7"/>
      <c r="T359" s="245"/>
    </row>
    <row r="360">
      <c r="A360" s="245"/>
      <c r="B360" s="246"/>
      <c r="C360" s="246"/>
      <c r="D360" s="246"/>
      <c r="E360" s="109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7"/>
      <c r="T360" s="245"/>
    </row>
    <row r="361">
      <c r="A361" s="245"/>
      <c r="B361" s="246"/>
      <c r="C361" s="246"/>
      <c r="D361" s="246"/>
      <c r="E361" s="109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7"/>
      <c r="T361" s="245"/>
    </row>
    <row r="362">
      <c r="A362" s="245"/>
      <c r="B362" s="246"/>
      <c r="C362" s="246"/>
      <c r="D362" s="246"/>
      <c r="E362" s="109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7"/>
      <c r="T362" s="245"/>
    </row>
    <row r="363">
      <c r="A363" s="245"/>
      <c r="B363" s="246"/>
      <c r="C363" s="246"/>
      <c r="D363" s="246"/>
      <c r="E363" s="109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7"/>
      <c r="T363" s="245"/>
    </row>
    <row r="364">
      <c r="A364" s="245"/>
      <c r="B364" s="246"/>
      <c r="C364" s="246"/>
      <c r="D364" s="246"/>
      <c r="E364" s="109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7"/>
      <c r="T364" s="245"/>
    </row>
    <row r="365">
      <c r="A365" s="245"/>
      <c r="B365" s="246"/>
      <c r="C365" s="246"/>
      <c r="D365" s="246"/>
      <c r="E365" s="109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7"/>
      <c r="T365" s="245"/>
    </row>
    <row r="366">
      <c r="A366" s="245"/>
      <c r="B366" s="246"/>
      <c r="C366" s="246"/>
      <c r="D366" s="246"/>
      <c r="E366" s="109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7"/>
      <c r="T366" s="245"/>
    </row>
    <row r="367">
      <c r="A367" s="245"/>
      <c r="B367" s="246"/>
      <c r="C367" s="246"/>
      <c r="D367" s="246"/>
      <c r="E367" s="109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7"/>
      <c r="T367" s="245"/>
    </row>
    <row r="368">
      <c r="A368" s="245"/>
      <c r="B368" s="246"/>
      <c r="C368" s="246"/>
      <c r="D368" s="246"/>
      <c r="E368" s="109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7"/>
      <c r="T368" s="245"/>
    </row>
    <row r="369">
      <c r="A369" s="245"/>
      <c r="B369" s="246"/>
      <c r="C369" s="246"/>
      <c r="D369" s="246"/>
      <c r="E369" s="109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7"/>
      <c r="T369" s="245"/>
    </row>
    <row r="370">
      <c r="A370" s="245"/>
      <c r="B370" s="246"/>
      <c r="C370" s="246"/>
      <c r="D370" s="246"/>
      <c r="E370" s="109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7"/>
      <c r="T370" s="245"/>
    </row>
    <row r="371">
      <c r="A371" s="245"/>
      <c r="B371" s="246"/>
      <c r="C371" s="246"/>
      <c r="D371" s="246"/>
      <c r="E371" s="109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7"/>
      <c r="T371" s="245"/>
    </row>
    <row r="372">
      <c r="A372" s="245"/>
      <c r="B372" s="246"/>
      <c r="C372" s="246"/>
      <c r="D372" s="246"/>
      <c r="E372" s="109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7"/>
      <c r="T372" s="245"/>
    </row>
    <row r="373">
      <c r="A373" s="245"/>
      <c r="B373" s="246"/>
      <c r="C373" s="246"/>
      <c r="D373" s="246"/>
      <c r="E373" s="109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7"/>
      <c r="T373" s="245"/>
    </row>
    <row r="374">
      <c r="A374" s="245"/>
      <c r="B374" s="246"/>
      <c r="C374" s="246"/>
      <c r="D374" s="246"/>
      <c r="E374" s="109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7"/>
      <c r="T374" s="245"/>
    </row>
    <row r="375">
      <c r="A375" s="245"/>
      <c r="B375" s="246"/>
      <c r="C375" s="246"/>
      <c r="D375" s="246"/>
      <c r="E375" s="109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7"/>
      <c r="T375" s="245"/>
    </row>
    <row r="376">
      <c r="A376" s="245"/>
      <c r="B376" s="246"/>
      <c r="C376" s="246"/>
      <c r="D376" s="246"/>
      <c r="E376" s="109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7"/>
      <c r="T376" s="245"/>
    </row>
    <row r="377">
      <c r="A377" s="245"/>
      <c r="B377" s="246"/>
      <c r="C377" s="246"/>
      <c r="D377" s="246"/>
      <c r="E377" s="109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7"/>
      <c r="T377" s="245"/>
    </row>
    <row r="378">
      <c r="A378" s="245"/>
      <c r="B378" s="246"/>
      <c r="C378" s="246"/>
      <c r="D378" s="246"/>
      <c r="E378" s="109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7"/>
      <c r="T378" s="245"/>
    </row>
    <row r="379">
      <c r="A379" s="245"/>
      <c r="B379" s="246"/>
      <c r="C379" s="246"/>
      <c r="D379" s="246"/>
      <c r="E379" s="109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7"/>
      <c r="T379" s="245"/>
    </row>
    <row r="380">
      <c r="A380" s="245"/>
      <c r="B380" s="246"/>
      <c r="C380" s="246"/>
      <c r="D380" s="246"/>
      <c r="E380" s="109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7"/>
      <c r="T380" s="245"/>
    </row>
    <row r="381">
      <c r="A381" s="245"/>
      <c r="B381" s="246"/>
      <c r="C381" s="246"/>
      <c r="D381" s="246"/>
      <c r="E381" s="109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7"/>
      <c r="T381" s="245"/>
    </row>
    <row r="382">
      <c r="A382" s="245"/>
      <c r="B382" s="246"/>
      <c r="C382" s="246"/>
      <c r="D382" s="246"/>
      <c r="E382" s="109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7"/>
      <c r="T382" s="245"/>
    </row>
    <row r="383">
      <c r="A383" s="245"/>
      <c r="B383" s="246"/>
      <c r="C383" s="246"/>
      <c r="D383" s="246"/>
      <c r="E383" s="109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7"/>
      <c r="T383" s="245"/>
    </row>
    <row r="384">
      <c r="A384" s="245"/>
      <c r="B384" s="246"/>
      <c r="C384" s="246"/>
      <c r="D384" s="246"/>
      <c r="E384" s="109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7"/>
      <c r="T384" s="245"/>
    </row>
    <row r="385">
      <c r="A385" s="245"/>
      <c r="B385" s="246"/>
      <c r="C385" s="246"/>
      <c r="D385" s="246"/>
      <c r="E385" s="109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7"/>
      <c r="T385" s="245"/>
    </row>
    <row r="386">
      <c r="A386" s="245"/>
      <c r="B386" s="246"/>
      <c r="C386" s="246"/>
      <c r="D386" s="246"/>
      <c r="E386" s="109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7"/>
      <c r="T386" s="245"/>
    </row>
    <row r="387">
      <c r="A387" s="245"/>
      <c r="B387" s="246"/>
      <c r="C387" s="246"/>
      <c r="D387" s="246"/>
      <c r="E387" s="109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7"/>
      <c r="T387" s="245"/>
    </row>
    <row r="388">
      <c r="A388" s="245"/>
      <c r="B388" s="246"/>
      <c r="C388" s="246"/>
      <c r="D388" s="246"/>
      <c r="E388" s="109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7"/>
      <c r="T388" s="245"/>
    </row>
    <row r="389">
      <c r="A389" s="245"/>
      <c r="B389" s="246"/>
      <c r="C389" s="246"/>
      <c r="D389" s="246"/>
      <c r="E389" s="109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7"/>
      <c r="T389" s="245"/>
    </row>
    <row r="390">
      <c r="A390" s="245"/>
      <c r="B390" s="246"/>
      <c r="C390" s="246"/>
      <c r="D390" s="246"/>
      <c r="E390" s="109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7"/>
      <c r="T390" s="245"/>
    </row>
    <row r="391">
      <c r="A391" s="245"/>
      <c r="B391" s="246"/>
      <c r="C391" s="246"/>
      <c r="D391" s="246"/>
      <c r="E391" s="109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7"/>
      <c r="T391" s="245"/>
    </row>
    <row r="392">
      <c r="A392" s="245"/>
      <c r="B392" s="246"/>
      <c r="C392" s="246"/>
      <c r="D392" s="246"/>
      <c r="E392" s="109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7"/>
      <c r="T392" s="245"/>
    </row>
    <row r="393">
      <c r="A393" s="245"/>
      <c r="B393" s="246"/>
      <c r="C393" s="246"/>
      <c r="D393" s="246"/>
      <c r="E393" s="109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7"/>
      <c r="T393" s="245"/>
    </row>
    <row r="394">
      <c r="A394" s="245"/>
      <c r="B394" s="246"/>
      <c r="C394" s="246"/>
      <c r="D394" s="246"/>
      <c r="E394" s="109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7"/>
      <c r="T394" s="245"/>
    </row>
    <row r="395">
      <c r="A395" s="245"/>
      <c r="B395" s="246"/>
      <c r="C395" s="246"/>
      <c r="D395" s="246"/>
      <c r="E395" s="109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7"/>
      <c r="T395" s="245"/>
    </row>
    <row r="396">
      <c r="A396" s="245"/>
      <c r="B396" s="246"/>
      <c r="C396" s="246"/>
      <c r="D396" s="246"/>
      <c r="E396" s="109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7"/>
      <c r="T396" s="245"/>
    </row>
    <row r="397">
      <c r="A397" s="245"/>
      <c r="B397" s="246"/>
      <c r="C397" s="246"/>
      <c r="D397" s="246"/>
      <c r="E397" s="109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7"/>
      <c r="T397" s="245"/>
    </row>
    <row r="398">
      <c r="A398" s="245"/>
      <c r="B398" s="246"/>
      <c r="C398" s="246"/>
      <c r="D398" s="246"/>
      <c r="E398" s="109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7"/>
      <c r="T398" s="245"/>
    </row>
    <row r="399">
      <c r="A399" s="245"/>
      <c r="B399" s="246"/>
      <c r="C399" s="246"/>
      <c r="D399" s="246"/>
      <c r="E399" s="109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7"/>
      <c r="T399" s="245"/>
    </row>
    <row r="400">
      <c r="A400" s="245"/>
      <c r="B400" s="246"/>
      <c r="C400" s="246"/>
      <c r="D400" s="246"/>
      <c r="E400" s="109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7"/>
      <c r="T400" s="245"/>
    </row>
    <row r="401">
      <c r="A401" s="245"/>
      <c r="B401" s="246"/>
      <c r="C401" s="246"/>
      <c r="D401" s="246"/>
      <c r="E401" s="109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7"/>
      <c r="T401" s="245"/>
    </row>
    <row r="402">
      <c r="A402" s="245"/>
      <c r="B402" s="246"/>
      <c r="C402" s="246"/>
      <c r="D402" s="246"/>
      <c r="E402" s="109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7"/>
      <c r="T402" s="245"/>
    </row>
    <row r="403">
      <c r="A403" s="245"/>
      <c r="B403" s="246"/>
      <c r="C403" s="246"/>
      <c r="D403" s="246"/>
      <c r="E403" s="109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7"/>
      <c r="T403" s="245"/>
    </row>
    <row r="404">
      <c r="A404" s="245"/>
      <c r="B404" s="246"/>
      <c r="C404" s="246"/>
      <c r="D404" s="246"/>
      <c r="E404" s="109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7"/>
      <c r="T404" s="245"/>
    </row>
    <row r="405">
      <c r="A405" s="245"/>
      <c r="B405" s="246"/>
      <c r="C405" s="246"/>
      <c r="D405" s="246"/>
      <c r="E405" s="109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7"/>
      <c r="T405" s="245"/>
    </row>
    <row r="406">
      <c r="A406" s="245"/>
      <c r="B406" s="246"/>
      <c r="C406" s="246"/>
      <c r="D406" s="246"/>
      <c r="E406" s="109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7"/>
      <c r="T406" s="245"/>
    </row>
    <row r="407">
      <c r="A407" s="245"/>
      <c r="B407" s="246"/>
      <c r="C407" s="246"/>
      <c r="D407" s="246"/>
      <c r="E407" s="109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7"/>
      <c r="T407" s="245"/>
    </row>
    <row r="408">
      <c r="A408" s="245"/>
      <c r="B408" s="246"/>
      <c r="C408" s="246"/>
      <c r="D408" s="246"/>
      <c r="E408" s="109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7"/>
      <c r="T408" s="245"/>
    </row>
    <row r="409">
      <c r="A409" s="245"/>
      <c r="B409" s="246"/>
      <c r="C409" s="246"/>
      <c r="D409" s="246"/>
      <c r="E409" s="109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7"/>
      <c r="T409" s="245"/>
    </row>
    <row r="410">
      <c r="A410" s="245"/>
      <c r="B410" s="246"/>
      <c r="C410" s="246"/>
      <c r="D410" s="246"/>
      <c r="E410" s="109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7"/>
      <c r="T410" s="245"/>
    </row>
    <row r="411">
      <c r="A411" s="245"/>
      <c r="B411" s="246"/>
      <c r="C411" s="246"/>
      <c r="D411" s="246"/>
      <c r="E411" s="109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7"/>
      <c r="T411" s="245"/>
    </row>
    <row r="412">
      <c r="A412" s="245"/>
      <c r="B412" s="246"/>
      <c r="C412" s="246"/>
      <c r="D412" s="246"/>
      <c r="E412" s="109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7"/>
      <c r="T412" s="245"/>
    </row>
    <row r="413">
      <c r="A413" s="245"/>
      <c r="B413" s="246"/>
      <c r="C413" s="246"/>
      <c r="D413" s="246"/>
      <c r="E413" s="109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7"/>
      <c r="T413" s="245"/>
    </row>
    <row r="414">
      <c r="A414" s="245"/>
      <c r="B414" s="246"/>
      <c r="C414" s="246"/>
      <c r="D414" s="246"/>
      <c r="E414" s="109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7"/>
      <c r="T414" s="245"/>
    </row>
    <row r="415">
      <c r="A415" s="245"/>
      <c r="B415" s="246"/>
      <c r="C415" s="246"/>
      <c r="D415" s="246"/>
      <c r="E415" s="109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7"/>
      <c r="T415" s="245"/>
    </row>
    <row r="416">
      <c r="A416" s="245"/>
      <c r="B416" s="246"/>
      <c r="C416" s="246"/>
      <c r="D416" s="246"/>
      <c r="E416" s="109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7"/>
      <c r="T416" s="245"/>
    </row>
    <row r="417">
      <c r="A417" s="245"/>
      <c r="B417" s="246"/>
      <c r="C417" s="246"/>
      <c r="D417" s="246"/>
      <c r="E417" s="109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7"/>
      <c r="T417" s="245"/>
    </row>
    <row r="418">
      <c r="A418" s="245"/>
      <c r="B418" s="246"/>
      <c r="C418" s="246"/>
      <c r="D418" s="246"/>
      <c r="E418" s="109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7"/>
      <c r="T418" s="245"/>
    </row>
    <row r="419">
      <c r="A419" s="245"/>
      <c r="B419" s="246"/>
      <c r="C419" s="246"/>
      <c r="D419" s="246"/>
      <c r="E419" s="109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7"/>
      <c r="T419" s="245"/>
    </row>
    <row r="420">
      <c r="A420" s="245"/>
      <c r="B420" s="246"/>
      <c r="C420" s="246"/>
      <c r="D420" s="246"/>
      <c r="E420" s="109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7"/>
      <c r="T420" s="245"/>
    </row>
    <row r="421">
      <c r="A421" s="245"/>
      <c r="B421" s="246"/>
      <c r="C421" s="246"/>
      <c r="D421" s="246"/>
      <c r="E421" s="109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7"/>
      <c r="T421" s="245"/>
    </row>
    <row r="422">
      <c r="A422" s="245"/>
      <c r="B422" s="246"/>
      <c r="C422" s="246"/>
      <c r="D422" s="246"/>
      <c r="E422" s="109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7"/>
      <c r="T422" s="245"/>
    </row>
    <row r="423">
      <c r="A423" s="245"/>
      <c r="B423" s="246"/>
      <c r="C423" s="246"/>
      <c r="D423" s="246"/>
      <c r="E423" s="109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7"/>
      <c r="T423" s="245"/>
    </row>
    <row r="424">
      <c r="A424" s="245"/>
      <c r="B424" s="246"/>
      <c r="C424" s="246"/>
      <c r="D424" s="246"/>
      <c r="E424" s="109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7"/>
      <c r="T424" s="245"/>
    </row>
    <row r="425">
      <c r="A425" s="245"/>
      <c r="B425" s="246"/>
      <c r="C425" s="246"/>
      <c r="D425" s="246"/>
      <c r="E425" s="109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7"/>
      <c r="T425" s="245"/>
    </row>
    <row r="426">
      <c r="A426" s="245"/>
      <c r="B426" s="246"/>
      <c r="C426" s="246"/>
      <c r="D426" s="246"/>
      <c r="E426" s="109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7"/>
      <c r="T426" s="245"/>
    </row>
    <row r="427">
      <c r="A427" s="245"/>
      <c r="B427" s="246"/>
      <c r="C427" s="246"/>
      <c r="D427" s="246"/>
      <c r="E427" s="109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7"/>
      <c r="T427" s="245"/>
    </row>
    <row r="428">
      <c r="A428" s="245"/>
      <c r="B428" s="246"/>
      <c r="C428" s="246"/>
      <c r="D428" s="246"/>
      <c r="E428" s="109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7"/>
      <c r="T428" s="245"/>
    </row>
    <row r="429">
      <c r="A429" s="245"/>
      <c r="B429" s="246"/>
      <c r="C429" s="246"/>
      <c r="D429" s="246"/>
      <c r="E429" s="109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7"/>
      <c r="T429" s="245"/>
    </row>
    <row r="430">
      <c r="A430" s="245"/>
      <c r="B430" s="246"/>
      <c r="C430" s="246"/>
      <c r="D430" s="246"/>
      <c r="E430" s="109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7"/>
      <c r="T430" s="245"/>
    </row>
    <row r="431">
      <c r="A431" s="245"/>
      <c r="B431" s="246"/>
      <c r="C431" s="246"/>
      <c r="D431" s="246"/>
      <c r="E431" s="109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7"/>
      <c r="T431" s="245"/>
    </row>
    <row r="432">
      <c r="A432" s="245"/>
      <c r="B432" s="246"/>
      <c r="C432" s="246"/>
      <c r="D432" s="246"/>
      <c r="E432" s="109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7"/>
      <c r="T432" s="245"/>
    </row>
    <row r="433">
      <c r="A433" s="245"/>
      <c r="B433" s="246"/>
      <c r="C433" s="246"/>
      <c r="D433" s="246"/>
      <c r="E433" s="109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7"/>
      <c r="T433" s="245"/>
    </row>
    <row r="434">
      <c r="A434" s="245"/>
      <c r="B434" s="246"/>
      <c r="C434" s="246"/>
      <c r="D434" s="246"/>
      <c r="E434" s="109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7"/>
      <c r="T434" s="245"/>
    </row>
    <row r="435">
      <c r="A435" s="245"/>
      <c r="B435" s="246"/>
      <c r="C435" s="246"/>
      <c r="D435" s="246"/>
      <c r="E435" s="109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7"/>
      <c r="T435" s="245"/>
    </row>
    <row r="436">
      <c r="A436" s="245"/>
      <c r="B436" s="246"/>
      <c r="C436" s="246"/>
      <c r="D436" s="246"/>
      <c r="E436" s="109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7"/>
      <c r="T436" s="245"/>
    </row>
    <row r="437">
      <c r="A437" s="245"/>
      <c r="B437" s="246"/>
      <c r="C437" s="246"/>
      <c r="D437" s="246"/>
      <c r="E437" s="109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7"/>
      <c r="T437" s="245"/>
    </row>
    <row r="438">
      <c r="A438" s="245"/>
      <c r="B438" s="246"/>
      <c r="C438" s="246"/>
      <c r="D438" s="246"/>
      <c r="E438" s="109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7"/>
      <c r="T438" s="245"/>
    </row>
    <row r="439">
      <c r="A439" s="245"/>
      <c r="B439" s="246"/>
      <c r="C439" s="246"/>
      <c r="D439" s="246"/>
      <c r="E439" s="109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7"/>
      <c r="T439" s="245"/>
    </row>
    <row r="440">
      <c r="A440" s="245"/>
      <c r="B440" s="246"/>
      <c r="C440" s="246"/>
      <c r="D440" s="246"/>
      <c r="E440" s="109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7"/>
      <c r="T440" s="245"/>
    </row>
    <row r="441">
      <c r="A441" s="245"/>
      <c r="B441" s="246"/>
      <c r="C441" s="246"/>
      <c r="D441" s="246"/>
      <c r="E441" s="109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7"/>
      <c r="T441" s="245"/>
    </row>
    <row r="442">
      <c r="A442" s="245"/>
      <c r="B442" s="246"/>
      <c r="C442" s="246"/>
      <c r="D442" s="246"/>
      <c r="E442" s="109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7"/>
      <c r="T442" s="245"/>
    </row>
    <row r="443">
      <c r="A443" s="245"/>
      <c r="B443" s="246"/>
      <c r="C443" s="246"/>
      <c r="D443" s="246"/>
      <c r="E443" s="109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7"/>
      <c r="T443" s="245"/>
    </row>
    <row r="444">
      <c r="A444" s="245"/>
      <c r="B444" s="246"/>
      <c r="C444" s="246"/>
      <c r="D444" s="246"/>
      <c r="E444" s="109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7"/>
      <c r="T444" s="245"/>
    </row>
    <row r="445">
      <c r="A445" s="245"/>
      <c r="B445" s="246"/>
      <c r="C445" s="246"/>
      <c r="D445" s="246"/>
      <c r="E445" s="109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7"/>
      <c r="T445" s="245"/>
    </row>
    <row r="446">
      <c r="A446" s="245"/>
      <c r="B446" s="246"/>
      <c r="C446" s="246"/>
      <c r="D446" s="246"/>
      <c r="E446" s="109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7"/>
      <c r="T446" s="245"/>
    </row>
    <row r="447">
      <c r="A447" s="245"/>
      <c r="B447" s="246"/>
      <c r="C447" s="246"/>
      <c r="D447" s="246"/>
      <c r="E447" s="109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7"/>
      <c r="T447" s="245"/>
    </row>
    <row r="448">
      <c r="A448" s="245"/>
      <c r="B448" s="246"/>
      <c r="C448" s="246"/>
      <c r="D448" s="246"/>
      <c r="E448" s="109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7"/>
      <c r="T448" s="245"/>
    </row>
    <row r="449">
      <c r="A449" s="245"/>
      <c r="B449" s="246"/>
      <c r="C449" s="246"/>
      <c r="D449" s="246"/>
      <c r="E449" s="109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7"/>
      <c r="T449" s="245"/>
    </row>
    <row r="450">
      <c r="A450" s="245"/>
      <c r="B450" s="246"/>
      <c r="C450" s="246"/>
      <c r="D450" s="246"/>
      <c r="E450" s="109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7"/>
      <c r="T450" s="245"/>
    </row>
    <row r="451">
      <c r="A451" s="245"/>
      <c r="B451" s="246"/>
      <c r="C451" s="246"/>
      <c r="D451" s="246"/>
      <c r="E451" s="109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7"/>
      <c r="T451" s="245"/>
    </row>
    <row r="452">
      <c r="A452" s="245"/>
      <c r="B452" s="246"/>
      <c r="C452" s="246"/>
      <c r="D452" s="246"/>
      <c r="E452" s="109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7"/>
      <c r="T452" s="245"/>
    </row>
    <row r="453">
      <c r="A453" s="245"/>
      <c r="B453" s="246"/>
      <c r="C453" s="246"/>
      <c r="D453" s="246"/>
      <c r="E453" s="109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7"/>
      <c r="T453" s="245"/>
    </row>
    <row r="454">
      <c r="A454" s="245"/>
      <c r="B454" s="246"/>
      <c r="C454" s="246"/>
      <c r="D454" s="246"/>
      <c r="E454" s="109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7"/>
      <c r="T454" s="245"/>
    </row>
    <row r="455">
      <c r="A455" s="245"/>
      <c r="B455" s="246"/>
      <c r="C455" s="246"/>
      <c r="D455" s="246"/>
      <c r="E455" s="109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7"/>
      <c r="T455" s="245"/>
    </row>
    <row r="456">
      <c r="A456" s="245"/>
      <c r="B456" s="246"/>
      <c r="C456" s="246"/>
      <c r="D456" s="246"/>
      <c r="E456" s="109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7"/>
      <c r="T456" s="245"/>
    </row>
    <row r="457">
      <c r="A457" s="245"/>
      <c r="B457" s="246"/>
      <c r="C457" s="246"/>
      <c r="D457" s="246"/>
      <c r="E457" s="109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7"/>
      <c r="T457" s="245"/>
    </row>
    <row r="458">
      <c r="A458" s="245"/>
      <c r="B458" s="246"/>
      <c r="C458" s="246"/>
      <c r="D458" s="246"/>
      <c r="E458" s="109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7"/>
      <c r="T458" s="245"/>
    </row>
    <row r="459">
      <c r="A459" s="245"/>
      <c r="B459" s="246"/>
      <c r="C459" s="246"/>
      <c r="D459" s="246"/>
      <c r="E459" s="109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7"/>
      <c r="T459" s="245"/>
    </row>
    <row r="460">
      <c r="A460" s="245"/>
      <c r="B460" s="246"/>
      <c r="C460" s="246"/>
      <c r="D460" s="246"/>
      <c r="E460" s="109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7"/>
      <c r="T460" s="245"/>
    </row>
    <row r="461">
      <c r="A461" s="245"/>
      <c r="B461" s="246"/>
      <c r="C461" s="246"/>
      <c r="D461" s="246"/>
      <c r="E461" s="109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7"/>
      <c r="T461" s="245"/>
    </row>
    <row r="462">
      <c r="A462" s="245"/>
      <c r="B462" s="246"/>
      <c r="C462" s="246"/>
      <c r="D462" s="246"/>
      <c r="E462" s="109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7"/>
      <c r="T462" s="245"/>
    </row>
    <row r="463">
      <c r="A463" s="245"/>
      <c r="B463" s="246"/>
      <c r="C463" s="246"/>
      <c r="D463" s="246"/>
      <c r="E463" s="109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7"/>
      <c r="T463" s="245"/>
    </row>
    <row r="464">
      <c r="A464" s="245"/>
      <c r="B464" s="246"/>
      <c r="C464" s="246"/>
      <c r="D464" s="246"/>
      <c r="E464" s="109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7"/>
      <c r="T464" s="245"/>
    </row>
    <row r="465">
      <c r="A465" s="245"/>
      <c r="B465" s="246"/>
      <c r="C465" s="246"/>
      <c r="D465" s="246"/>
      <c r="E465" s="109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7"/>
      <c r="T465" s="245"/>
    </row>
    <row r="466">
      <c r="A466" s="245"/>
      <c r="B466" s="246"/>
      <c r="C466" s="246"/>
      <c r="D466" s="246"/>
      <c r="E466" s="109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7"/>
      <c r="T466" s="245"/>
    </row>
    <row r="467">
      <c r="A467" s="245"/>
      <c r="B467" s="246"/>
      <c r="C467" s="246"/>
      <c r="D467" s="246"/>
      <c r="E467" s="109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7"/>
      <c r="T467" s="245"/>
    </row>
    <row r="468">
      <c r="A468" s="245"/>
      <c r="B468" s="246"/>
      <c r="C468" s="246"/>
      <c r="D468" s="246"/>
      <c r="E468" s="109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7"/>
      <c r="T468" s="245"/>
    </row>
    <row r="469">
      <c r="A469" s="245"/>
      <c r="B469" s="246"/>
      <c r="C469" s="246"/>
      <c r="D469" s="246"/>
      <c r="E469" s="109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7"/>
      <c r="T469" s="245"/>
    </row>
    <row r="470">
      <c r="A470" s="245"/>
      <c r="B470" s="246"/>
      <c r="C470" s="246"/>
      <c r="D470" s="246"/>
      <c r="E470" s="109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7"/>
      <c r="T470" s="245"/>
    </row>
    <row r="471">
      <c r="A471" s="245"/>
      <c r="B471" s="246"/>
      <c r="C471" s="246"/>
      <c r="D471" s="246"/>
      <c r="E471" s="109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7"/>
      <c r="T471" s="245"/>
    </row>
    <row r="472">
      <c r="A472" s="245"/>
      <c r="B472" s="246"/>
      <c r="C472" s="246"/>
      <c r="D472" s="246"/>
      <c r="E472" s="109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7"/>
      <c r="T472" s="245"/>
    </row>
    <row r="473">
      <c r="A473" s="245"/>
      <c r="B473" s="246"/>
      <c r="C473" s="246"/>
      <c r="D473" s="246"/>
      <c r="E473" s="109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7"/>
      <c r="T473" s="245"/>
    </row>
    <row r="474">
      <c r="A474" s="245"/>
      <c r="B474" s="246"/>
      <c r="C474" s="246"/>
      <c r="D474" s="246"/>
      <c r="E474" s="109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7"/>
      <c r="T474" s="245"/>
    </row>
    <row r="475">
      <c r="A475" s="245"/>
      <c r="B475" s="246"/>
      <c r="C475" s="246"/>
      <c r="D475" s="246"/>
      <c r="E475" s="109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7"/>
      <c r="T475" s="245"/>
    </row>
    <row r="476">
      <c r="A476" s="245"/>
      <c r="B476" s="246"/>
      <c r="C476" s="246"/>
      <c r="D476" s="246"/>
      <c r="E476" s="109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7"/>
      <c r="T476" s="245"/>
    </row>
    <row r="477">
      <c r="A477" s="245"/>
      <c r="B477" s="246"/>
      <c r="C477" s="246"/>
      <c r="D477" s="246"/>
      <c r="E477" s="109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7"/>
      <c r="T477" s="245"/>
    </row>
    <row r="478">
      <c r="A478" s="245"/>
      <c r="B478" s="246"/>
      <c r="C478" s="246"/>
      <c r="D478" s="246"/>
      <c r="E478" s="109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7"/>
      <c r="T478" s="245"/>
    </row>
    <row r="479">
      <c r="A479" s="245"/>
      <c r="B479" s="246"/>
      <c r="C479" s="246"/>
      <c r="D479" s="246"/>
      <c r="E479" s="109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7"/>
      <c r="T479" s="245"/>
    </row>
    <row r="480">
      <c r="A480" s="245"/>
      <c r="B480" s="246"/>
      <c r="C480" s="246"/>
      <c r="D480" s="246"/>
      <c r="E480" s="109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7"/>
      <c r="T480" s="245"/>
    </row>
    <row r="481">
      <c r="A481" s="245"/>
      <c r="B481" s="246"/>
      <c r="C481" s="246"/>
      <c r="D481" s="246"/>
      <c r="E481" s="109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7"/>
      <c r="T481" s="245"/>
    </row>
    <row r="482">
      <c r="A482" s="245"/>
      <c r="B482" s="246"/>
      <c r="C482" s="246"/>
      <c r="D482" s="246"/>
      <c r="E482" s="109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7"/>
      <c r="T482" s="245"/>
    </row>
    <row r="483">
      <c r="A483" s="245"/>
      <c r="B483" s="246"/>
      <c r="C483" s="246"/>
      <c r="D483" s="246"/>
      <c r="E483" s="109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7"/>
      <c r="T483" s="245"/>
    </row>
    <row r="484">
      <c r="A484" s="245"/>
      <c r="B484" s="246"/>
      <c r="C484" s="246"/>
      <c r="D484" s="246"/>
      <c r="E484" s="109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7"/>
      <c r="T484" s="245"/>
    </row>
    <row r="485">
      <c r="A485" s="245"/>
      <c r="B485" s="246"/>
      <c r="C485" s="246"/>
      <c r="D485" s="246"/>
      <c r="E485" s="109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7"/>
      <c r="T485" s="245"/>
    </row>
    <row r="486">
      <c r="A486" s="245"/>
      <c r="B486" s="246"/>
      <c r="C486" s="246"/>
      <c r="D486" s="246"/>
      <c r="E486" s="109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7"/>
      <c r="T486" s="245"/>
    </row>
    <row r="487">
      <c r="A487" s="245"/>
      <c r="B487" s="246"/>
      <c r="C487" s="246"/>
      <c r="D487" s="246"/>
      <c r="E487" s="109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7"/>
      <c r="T487" s="245"/>
    </row>
    <row r="488">
      <c r="A488" s="245"/>
      <c r="B488" s="246"/>
      <c r="C488" s="246"/>
      <c r="D488" s="246"/>
      <c r="E488" s="109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7"/>
      <c r="T488" s="245"/>
    </row>
    <row r="489">
      <c r="A489" s="245"/>
      <c r="B489" s="246"/>
      <c r="C489" s="246"/>
      <c r="D489" s="246"/>
      <c r="E489" s="109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7"/>
      <c r="T489" s="245"/>
    </row>
    <row r="490">
      <c r="A490" s="245"/>
      <c r="B490" s="246"/>
      <c r="C490" s="246"/>
      <c r="D490" s="246"/>
      <c r="E490" s="109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7"/>
      <c r="T490" s="245"/>
    </row>
    <row r="491">
      <c r="A491" s="245"/>
      <c r="B491" s="246"/>
      <c r="C491" s="246"/>
      <c r="D491" s="246"/>
      <c r="E491" s="109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7"/>
      <c r="T491" s="245"/>
    </row>
    <row r="492">
      <c r="A492" s="245"/>
      <c r="B492" s="246"/>
      <c r="C492" s="246"/>
      <c r="D492" s="246"/>
      <c r="E492" s="109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7"/>
      <c r="T492" s="245"/>
    </row>
    <row r="493">
      <c r="A493" s="245"/>
      <c r="B493" s="246"/>
      <c r="C493" s="246"/>
      <c r="D493" s="246"/>
      <c r="E493" s="109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7"/>
      <c r="T493" s="245"/>
    </row>
    <row r="494">
      <c r="A494" s="245"/>
      <c r="B494" s="246"/>
      <c r="C494" s="246"/>
      <c r="D494" s="246"/>
      <c r="E494" s="109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7"/>
      <c r="T494" s="245"/>
    </row>
    <row r="495">
      <c r="A495" s="245"/>
      <c r="B495" s="246"/>
      <c r="C495" s="246"/>
      <c r="D495" s="246"/>
      <c r="E495" s="109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7"/>
      <c r="T495" s="245"/>
    </row>
    <row r="496">
      <c r="A496" s="245"/>
      <c r="B496" s="246"/>
      <c r="C496" s="246"/>
      <c r="D496" s="246"/>
      <c r="E496" s="109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7"/>
      <c r="T496" s="245"/>
    </row>
    <row r="497">
      <c r="A497" s="245"/>
      <c r="B497" s="246"/>
      <c r="C497" s="246"/>
      <c r="D497" s="246"/>
      <c r="E497" s="109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7"/>
      <c r="T497" s="245"/>
    </row>
    <row r="498">
      <c r="A498" s="245"/>
      <c r="B498" s="246"/>
      <c r="C498" s="246"/>
      <c r="D498" s="246"/>
      <c r="E498" s="109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7"/>
      <c r="T498" s="245"/>
    </row>
    <row r="499">
      <c r="A499" s="245"/>
      <c r="B499" s="246"/>
      <c r="C499" s="246"/>
      <c r="D499" s="246"/>
      <c r="E499" s="109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7"/>
      <c r="T499" s="245"/>
    </row>
    <row r="500">
      <c r="A500" s="245"/>
      <c r="B500" s="246"/>
      <c r="C500" s="246"/>
      <c r="D500" s="246"/>
      <c r="E500" s="109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7"/>
      <c r="T500" s="245"/>
    </row>
    <row r="501">
      <c r="A501" s="245"/>
      <c r="B501" s="246"/>
      <c r="C501" s="246"/>
      <c r="D501" s="246"/>
      <c r="E501" s="109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7"/>
      <c r="T501" s="245"/>
    </row>
    <row r="502">
      <c r="A502" s="245"/>
      <c r="B502" s="246"/>
      <c r="C502" s="246"/>
      <c r="D502" s="246"/>
      <c r="E502" s="109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7"/>
      <c r="T502" s="245"/>
    </row>
    <row r="503">
      <c r="A503" s="245"/>
      <c r="B503" s="246"/>
      <c r="C503" s="246"/>
      <c r="D503" s="246"/>
      <c r="E503" s="109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7"/>
      <c r="T503" s="245"/>
    </row>
    <row r="504">
      <c r="A504" s="245"/>
      <c r="B504" s="246"/>
      <c r="C504" s="246"/>
      <c r="D504" s="246"/>
      <c r="E504" s="109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7"/>
      <c r="T504" s="245"/>
    </row>
    <row r="505">
      <c r="A505" s="245"/>
      <c r="B505" s="246"/>
      <c r="C505" s="246"/>
      <c r="D505" s="246"/>
      <c r="E505" s="109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7"/>
      <c r="T505" s="245"/>
    </row>
    <row r="506">
      <c r="A506" s="245"/>
      <c r="B506" s="246"/>
      <c r="C506" s="246"/>
      <c r="D506" s="246"/>
      <c r="E506" s="109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7"/>
      <c r="T506" s="245"/>
    </row>
    <row r="507">
      <c r="A507" s="245"/>
      <c r="B507" s="246"/>
      <c r="C507" s="246"/>
      <c r="D507" s="246"/>
      <c r="E507" s="109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7"/>
      <c r="T507" s="245"/>
    </row>
    <row r="508">
      <c r="A508" s="245"/>
      <c r="B508" s="246"/>
      <c r="C508" s="246"/>
      <c r="D508" s="246"/>
      <c r="E508" s="109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7"/>
      <c r="T508" s="245"/>
    </row>
    <row r="509">
      <c r="A509" s="245"/>
      <c r="B509" s="246"/>
      <c r="C509" s="246"/>
      <c r="D509" s="246"/>
      <c r="E509" s="109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7"/>
      <c r="T509" s="245"/>
    </row>
    <row r="510">
      <c r="A510" s="245"/>
      <c r="B510" s="246"/>
      <c r="C510" s="246"/>
      <c r="D510" s="246"/>
      <c r="E510" s="109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7"/>
      <c r="T510" s="245"/>
    </row>
    <row r="511">
      <c r="A511" s="245"/>
      <c r="B511" s="246"/>
      <c r="C511" s="246"/>
      <c r="D511" s="246"/>
      <c r="E511" s="109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7"/>
      <c r="T511" s="245"/>
    </row>
    <row r="512">
      <c r="A512" s="245"/>
      <c r="B512" s="246"/>
      <c r="C512" s="246"/>
      <c r="D512" s="246"/>
      <c r="E512" s="109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7"/>
      <c r="T512" s="245"/>
    </row>
    <row r="513">
      <c r="A513" s="245"/>
      <c r="B513" s="246"/>
      <c r="C513" s="246"/>
      <c r="D513" s="246"/>
      <c r="E513" s="109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7"/>
      <c r="T513" s="245"/>
    </row>
    <row r="514">
      <c r="A514" s="245"/>
      <c r="B514" s="246"/>
      <c r="C514" s="246"/>
      <c r="D514" s="246"/>
      <c r="E514" s="109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7"/>
      <c r="T514" s="245"/>
    </row>
    <row r="515">
      <c r="A515" s="245"/>
      <c r="B515" s="246"/>
      <c r="C515" s="246"/>
      <c r="D515" s="246"/>
      <c r="E515" s="109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7"/>
      <c r="T515" s="245"/>
    </row>
    <row r="516">
      <c r="A516" s="245"/>
      <c r="B516" s="246"/>
      <c r="C516" s="246"/>
      <c r="D516" s="246"/>
      <c r="E516" s="109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7"/>
      <c r="T516" s="245"/>
    </row>
    <row r="517">
      <c r="A517" s="245"/>
      <c r="B517" s="246"/>
      <c r="C517" s="246"/>
      <c r="D517" s="246"/>
      <c r="E517" s="109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7"/>
      <c r="T517" s="245"/>
    </row>
    <row r="518">
      <c r="A518" s="245"/>
      <c r="B518" s="246"/>
      <c r="C518" s="246"/>
      <c r="D518" s="246"/>
      <c r="E518" s="109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7"/>
      <c r="T518" s="245"/>
    </row>
    <row r="519">
      <c r="A519" s="245"/>
      <c r="B519" s="246"/>
      <c r="C519" s="246"/>
      <c r="D519" s="246"/>
      <c r="E519" s="109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7"/>
      <c r="T519" s="245"/>
    </row>
    <row r="520">
      <c r="A520" s="245"/>
      <c r="B520" s="246"/>
      <c r="C520" s="246"/>
      <c r="D520" s="246"/>
      <c r="E520" s="109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7"/>
      <c r="T520" s="245"/>
    </row>
    <row r="521">
      <c r="A521" s="245"/>
      <c r="B521" s="246"/>
      <c r="C521" s="246"/>
      <c r="D521" s="246"/>
      <c r="E521" s="109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7"/>
      <c r="T521" s="245"/>
    </row>
    <row r="522">
      <c r="A522" s="245"/>
      <c r="B522" s="246"/>
      <c r="C522" s="246"/>
      <c r="D522" s="246"/>
      <c r="E522" s="109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7"/>
      <c r="T522" s="245"/>
    </row>
    <row r="523">
      <c r="A523" s="245"/>
      <c r="B523" s="246"/>
      <c r="C523" s="246"/>
      <c r="D523" s="246"/>
      <c r="E523" s="109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7"/>
      <c r="T523" s="245"/>
    </row>
    <row r="524">
      <c r="A524" s="245"/>
      <c r="B524" s="246"/>
      <c r="C524" s="246"/>
      <c r="D524" s="246"/>
      <c r="E524" s="109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7"/>
      <c r="T524" s="245"/>
    </row>
    <row r="525">
      <c r="A525" s="245"/>
      <c r="B525" s="246"/>
      <c r="C525" s="246"/>
      <c r="D525" s="246"/>
      <c r="E525" s="109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7"/>
      <c r="T525" s="245"/>
    </row>
    <row r="526">
      <c r="A526" s="245"/>
      <c r="B526" s="246"/>
      <c r="C526" s="246"/>
      <c r="D526" s="246"/>
      <c r="E526" s="109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7"/>
      <c r="T526" s="245"/>
    </row>
    <row r="527">
      <c r="A527" s="245"/>
      <c r="B527" s="246"/>
      <c r="C527" s="246"/>
      <c r="D527" s="246"/>
      <c r="E527" s="109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7"/>
      <c r="T527" s="245"/>
    </row>
    <row r="528">
      <c r="A528" s="245"/>
      <c r="B528" s="246"/>
      <c r="C528" s="246"/>
      <c r="D528" s="246"/>
      <c r="E528" s="109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7"/>
      <c r="T528" s="245"/>
    </row>
    <row r="529">
      <c r="A529" s="245"/>
      <c r="B529" s="246"/>
      <c r="C529" s="246"/>
      <c r="D529" s="246"/>
      <c r="E529" s="109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7"/>
      <c r="T529" s="245"/>
    </row>
    <row r="530">
      <c r="A530" s="245"/>
      <c r="B530" s="246"/>
      <c r="C530" s="246"/>
      <c r="D530" s="246"/>
      <c r="E530" s="109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7"/>
      <c r="T530" s="245"/>
    </row>
    <row r="531">
      <c r="A531" s="245"/>
      <c r="B531" s="246"/>
      <c r="C531" s="246"/>
      <c r="D531" s="246"/>
      <c r="E531" s="109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7"/>
      <c r="T531" s="245"/>
    </row>
    <row r="532">
      <c r="A532" s="245"/>
      <c r="B532" s="246"/>
      <c r="C532" s="246"/>
      <c r="D532" s="246"/>
      <c r="E532" s="109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7"/>
      <c r="T532" s="245"/>
    </row>
    <row r="533">
      <c r="A533" s="245"/>
      <c r="B533" s="246"/>
      <c r="C533" s="246"/>
      <c r="D533" s="246"/>
      <c r="E533" s="109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7"/>
      <c r="T533" s="245"/>
    </row>
    <row r="534">
      <c r="A534" s="245"/>
      <c r="B534" s="246"/>
      <c r="C534" s="246"/>
      <c r="D534" s="246"/>
      <c r="E534" s="109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7"/>
      <c r="T534" s="245"/>
    </row>
    <row r="535">
      <c r="A535" s="245"/>
      <c r="B535" s="246"/>
      <c r="C535" s="246"/>
      <c r="D535" s="246"/>
      <c r="E535" s="109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7"/>
      <c r="T535" s="245"/>
    </row>
    <row r="536">
      <c r="A536" s="245"/>
      <c r="B536" s="246"/>
      <c r="C536" s="246"/>
      <c r="D536" s="246"/>
      <c r="E536" s="109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7"/>
      <c r="T536" s="245"/>
    </row>
    <row r="537">
      <c r="A537" s="245"/>
      <c r="B537" s="246"/>
      <c r="C537" s="246"/>
      <c r="D537" s="246"/>
      <c r="E537" s="109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7"/>
      <c r="T537" s="245"/>
    </row>
    <row r="538">
      <c r="A538" s="245"/>
      <c r="B538" s="246"/>
      <c r="C538" s="246"/>
      <c r="D538" s="246"/>
      <c r="E538" s="109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7"/>
      <c r="T538" s="245"/>
    </row>
    <row r="539">
      <c r="A539" s="245"/>
      <c r="B539" s="246"/>
      <c r="C539" s="246"/>
      <c r="D539" s="246"/>
      <c r="E539" s="109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7"/>
      <c r="T539" s="245"/>
    </row>
    <row r="540">
      <c r="A540" s="245"/>
      <c r="B540" s="246"/>
      <c r="C540" s="246"/>
      <c r="D540" s="246"/>
      <c r="E540" s="109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7"/>
      <c r="T540" s="245"/>
    </row>
    <row r="541">
      <c r="A541" s="245"/>
      <c r="B541" s="246"/>
      <c r="C541" s="246"/>
      <c r="D541" s="246"/>
      <c r="E541" s="109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7"/>
      <c r="T541" s="245"/>
    </row>
    <row r="542">
      <c r="A542" s="245"/>
      <c r="B542" s="246"/>
      <c r="C542" s="246"/>
      <c r="D542" s="246"/>
      <c r="E542" s="109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7"/>
      <c r="T542" s="245"/>
    </row>
    <row r="543">
      <c r="A543" s="245"/>
      <c r="B543" s="246"/>
      <c r="C543" s="246"/>
      <c r="D543" s="246"/>
      <c r="E543" s="109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7"/>
      <c r="T543" s="245"/>
    </row>
    <row r="544">
      <c r="A544" s="245"/>
      <c r="B544" s="246"/>
      <c r="C544" s="246"/>
      <c r="D544" s="246"/>
      <c r="E544" s="109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7"/>
      <c r="T544" s="245"/>
    </row>
    <row r="545">
      <c r="A545" s="245"/>
      <c r="B545" s="246"/>
      <c r="C545" s="246"/>
      <c r="D545" s="246"/>
      <c r="E545" s="109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7"/>
      <c r="T545" s="245"/>
    </row>
    <row r="546">
      <c r="A546" s="245"/>
      <c r="B546" s="246"/>
      <c r="C546" s="246"/>
      <c r="D546" s="246"/>
      <c r="E546" s="109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7"/>
      <c r="T546" s="245"/>
    </row>
    <row r="547">
      <c r="A547" s="245"/>
      <c r="B547" s="246"/>
      <c r="C547" s="246"/>
      <c r="D547" s="246"/>
      <c r="E547" s="109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7"/>
      <c r="T547" s="245"/>
    </row>
    <row r="548">
      <c r="A548" s="245"/>
      <c r="B548" s="246"/>
      <c r="C548" s="246"/>
      <c r="D548" s="246"/>
      <c r="E548" s="109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7"/>
      <c r="T548" s="245"/>
    </row>
    <row r="549">
      <c r="A549" s="245"/>
      <c r="B549" s="246"/>
      <c r="C549" s="246"/>
      <c r="D549" s="246"/>
      <c r="E549" s="109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7"/>
      <c r="T549" s="245"/>
    </row>
    <row r="550">
      <c r="A550" s="245"/>
      <c r="B550" s="246"/>
      <c r="C550" s="246"/>
      <c r="D550" s="246"/>
      <c r="E550" s="109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7"/>
      <c r="T550" s="245"/>
    </row>
    <row r="551">
      <c r="A551" s="245"/>
      <c r="B551" s="246"/>
      <c r="C551" s="246"/>
      <c r="D551" s="246"/>
      <c r="E551" s="109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7"/>
      <c r="T551" s="245"/>
    </row>
    <row r="552">
      <c r="A552" s="245"/>
      <c r="B552" s="246"/>
      <c r="C552" s="246"/>
      <c r="D552" s="246"/>
      <c r="E552" s="109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7"/>
      <c r="T552" s="245"/>
    </row>
    <row r="553">
      <c r="A553" s="245"/>
      <c r="B553" s="246"/>
      <c r="C553" s="246"/>
      <c r="D553" s="246"/>
      <c r="E553" s="109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7"/>
      <c r="T553" s="245"/>
    </row>
    <row r="554">
      <c r="A554" s="245"/>
      <c r="B554" s="246"/>
      <c r="C554" s="246"/>
      <c r="D554" s="246"/>
      <c r="E554" s="109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7"/>
      <c r="T554" s="245"/>
    </row>
    <row r="555">
      <c r="A555" s="245"/>
      <c r="B555" s="246"/>
      <c r="C555" s="246"/>
      <c r="D555" s="246"/>
      <c r="E555" s="109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7"/>
      <c r="T555" s="245"/>
    </row>
    <row r="556">
      <c r="A556" s="245"/>
      <c r="B556" s="246"/>
      <c r="C556" s="246"/>
      <c r="D556" s="246"/>
      <c r="E556" s="109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7"/>
      <c r="T556" s="245"/>
    </row>
    <row r="557">
      <c r="A557" s="245"/>
      <c r="B557" s="246"/>
      <c r="C557" s="246"/>
      <c r="D557" s="246"/>
      <c r="E557" s="109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7"/>
      <c r="T557" s="245"/>
    </row>
    <row r="558">
      <c r="A558" s="245"/>
      <c r="B558" s="246"/>
      <c r="C558" s="246"/>
      <c r="D558" s="246"/>
      <c r="E558" s="109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7"/>
      <c r="T558" s="245"/>
    </row>
    <row r="559">
      <c r="A559" s="245"/>
      <c r="B559" s="246"/>
      <c r="C559" s="246"/>
      <c r="D559" s="246"/>
      <c r="E559" s="109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7"/>
      <c r="T559" s="245"/>
    </row>
    <row r="560">
      <c r="A560" s="245"/>
      <c r="B560" s="246"/>
      <c r="C560" s="246"/>
      <c r="D560" s="246"/>
      <c r="E560" s="109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7"/>
      <c r="T560" s="245"/>
    </row>
    <row r="561">
      <c r="A561" s="245"/>
      <c r="B561" s="246"/>
      <c r="C561" s="246"/>
      <c r="D561" s="246"/>
      <c r="E561" s="109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7"/>
      <c r="T561" s="245"/>
    </row>
    <row r="562">
      <c r="A562" s="245"/>
      <c r="B562" s="246"/>
      <c r="C562" s="246"/>
      <c r="D562" s="246"/>
      <c r="E562" s="109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7"/>
      <c r="T562" s="245"/>
    </row>
    <row r="563">
      <c r="A563" s="245"/>
      <c r="B563" s="246"/>
      <c r="C563" s="246"/>
      <c r="D563" s="246"/>
      <c r="E563" s="109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7"/>
      <c r="T563" s="245"/>
    </row>
    <row r="564">
      <c r="A564" s="245"/>
      <c r="B564" s="246"/>
      <c r="C564" s="246"/>
      <c r="D564" s="246"/>
      <c r="E564" s="109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7"/>
      <c r="T564" s="245"/>
    </row>
    <row r="565">
      <c r="A565" s="245"/>
      <c r="B565" s="246"/>
      <c r="C565" s="246"/>
      <c r="D565" s="246"/>
      <c r="E565" s="109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7"/>
      <c r="T565" s="245"/>
    </row>
    <row r="566">
      <c r="A566" s="245"/>
      <c r="B566" s="246"/>
      <c r="C566" s="246"/>
      <c r="D566" s="246"/>
      <c r="E566" s="109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7"/>
      <c r="T566" s="245"/>
    </row>
    <row r="567">
      <c r="A567" s="245"/>
      <c r="B567" s="246"/>
      <c r="C567" s="246"/>
      <c r="D567" s="246"/>
      <c r="E567" s="109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7"/>
      <c r="T567" s="245"/>
    </row>
    <row r="568">
      <c r="A568" s="245"/>
      <c r="B568" s="246"/>
      <c r="C568" s="246"/>
      <c r="D568" s="246"/>
      <c r="E568" s="109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7"/>
      <c r="T568" s="245"/>
    </row>
    <row r="569">
      <c r="A569" s="245"/>
      <c r="B569" s="246"/>
      <c r="C569" s="246"/>
      <c r="D569" s="246"/>
      <c r="E569" s="109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7"/>
      <c r="T569" s="245"/>
    </row>
    <row r="570">
      <c r="A570" s="245"/>
      <c r="B570" s="246"/>
      <c r="C570" s="246"/>
      <c r="D570" s="246"/>
      <c r="E570" s="109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7"/>
      <c r="T570" s="245"/>
    </row>
    <row r="571">
      <c r="A571" s="245"/>
      <c r="B571" s="246"/>
      <c r="C571" s="246"/>
      <c r="D571" s="246"/>
      <c r="E571" s="109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7"/>
      <c r="T571" s="245"/>
    </row>
    <row r="572">
      <c r="A572" s="245"/>
      <c r="B572" s="246"/>
      <c r="C572" s="246"/>
      <c r="D572" s="246"/>
      <c r="E572" s="109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7"/>
      <c r="T572" s="245"/>
    </row>
    <row r="573">
      <c r="A573" s="245"/>
      <c r="B573" s="246"/>
      <c r="C573" s="246"/>
      <c r="D573" s="246"/>
      <c r="E573" s="109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7"/>
      <c r="T573" s="245"/>
    </row>
    <row r="574">
      <c r="A574" s="245"/>
      <c r="B574" s="246"/>
      <c r="C574" s="246"/>
      <c r="D574" s="246"/>
      <c r="E574" s="109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7"/>
      <c r="T574" s="245"/>
    </row>
    <row r="575">
      <c r="A575" s="245"/>
      <c r="B575" s="246"/>
      <c r="C575" s="246"/>
      <c r="D575" s="246"/>
      <c r="E575" s="109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7"/>
      <c r="T575" s="245"/>
    </row>
    <row r="576">
      <c r="A576" s="245"/>
      <c r="B576" s="246"/>
      <c r="C576" s="246"/>
      <c r="D576" s="246"/>
      <c r="E576" s="109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7"/>
      <c r="T576" s="245"/>
    </row>
    <row r="577">
      <c r="A577" s="245"/>
      <c r="B577" s="246"/>
      <c r="C577" s="246"/>
      <c r="D577" s="246"/>
      <c r="E577" s="109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7"/>
      <c r="T577" s="245"/>
    </row>
    <row r="578">
      <c r="A578" s="245"/>
      <c r="B578" s="246"/>
      <c r="C578" s="246"/>
      <c r="D578" s="246"/>
      <c r="E578" s="109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7"/>
      <c r="T578" s="245"/>
    </row>
    <row r="579">
      <c r="A579" s="245"/>
      <c r="B579" s="246"/>
      <c r="C579" s="246"/>
      <c r="D579" s="246"/>
      <c r="E579" s="109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7"/>
      <c r="T579" s="245"/>
    </row>
    <row r="580">
      <c r="A580" s="245"/>
      <c r="B580" s="246"/>
      <c r="C580" s="246"/>
      <c r="D580" s="246"/>
      <c r="E580" s="109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7"/>
      <c r="T580" s="245"/>
    </row>
    <row r="581">
      <c r="A581" s="245"/>
      <c r="B581" s="246"/>
      <c r="C581" s="246"/>
      <c r="D581" s="246"/>
      <c r="E581" s="109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7"/>
      <c r="T581" s="245"/>
    </row>
    <row r="582">
      <c r="A582" s="245"/>
      <c r="B582" s="246"/>
      <c r="C582" s="246"/>
      <c r="D582" s="246"/>
      <c r="E582" s="109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7"/>
      <c r="T582" s="245"/>
    </row>
    <row r="583">
      <c r="A583" s="245"/>
      <c r="B583" s="246"/>
      <c r="C583" s="246"/>
      <c r="D583" s="246"/>
      <c r="E583" s="109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7"/>
      <c r="T583" s="245"/>
    </row>
    <row r="584">
      <c r="A584" s="245"/>
      <c r="B584" s="246"/>
      <c r="C584" s="246"/>
      <c r="D584" s="246"/>
      <c r="E584" s="109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7"/>
      <c r="T584" s="245"/>
    </row>
    <row r="585">
      <c r="A585" s="245"/>
      <c r="B585" s="246"/>
      <c r="C585" s="246"/>
      <c r="D585" s="246"/>
      <c r="E585" s="109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7"/>
      <c r="T585" s="245"/>
    </row>
    <row r="586">
      <c r="A586" s="245"/>
      <c r="B586" s="246"/>
      <c r="C586" s="246"/>
      <c r="D586" s="246"/>
      <c r="E586" s="109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7"/>
      <c r="T586" s="245"/>
    </row>
    <row r="587">
      <c r="A587" s="245"/>
      <c r="B587" s="246"/>
      <c r="C587" s="246"/>
      <c r="D587" s="246"/>
      <c r="E587" s="109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7"/>
      <c r="T587" s="245"/>
    </row>
    <row r="588">
      <c r="A588" s="245"/>
      <c r="B588" s="246"/>
      <c r="C588" s="246"/>
      <c r="D588" s="246"/>
      <c r="E588" s="109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7"/>
      <c r="T588" s="245"/>
    </row>
    <row r="589">
      <c r="A589" s="245"/>
      <c r="B589" s="246"/>
      <c r="C589" s="246"/>
      <c r="D589" s="246"/>
      <c r="E589" s="109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7"/>
      <c r="T589" s="245"/>
    </row>
    <row r="590">
      <c r="A590" s="245"/>
      <c r="B590" s="246"/>
      <c r="C590" s="246"/>
      <c r="D590" s="246"/>
      <c r="E590" s="109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7"/>
      <c r="T590" s="245"/>
    </row>
    <row r="591">
      <c r="A591" s="245"/>
      <c r="B591" s="246"/>
      <c r="C591" s="246"/>
      <c r="D591" s="246"/>
      <c r="E591" s="109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7"/>
      <c r="T591" s="245"/>
    </row>
    <row r="592">
      <c r="A592" s="245"/>
      <c r="B592" s="246"/>
      <c r="C592" s="246"/>
      <c r="D592" s="246"/>
      <c r="E592" s="109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7"/>
      <c r="T592" s="245"/>
    </row>
    <row r="593">
      <c r="A593" s="245"/>
      <c r="B593" s="246"/>
      <c r="C593" s="246"/>
      <c r="D593" s="246"/>
      <c r="E593" s="109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7"/>
      <c r="T593" s="245"/>
    </row>
    <row r="594">
      <c r="A594" s="245"/>
      <c r="B594" s="246"/>
      <c r="C594" s="246"/>
      <c r="D594" s="246"/>
      <c r="E594" s="109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7"/>
      <c r="T594" s="245"/>
    </row>
    <row r="595">
      <c r="A595" s="245"/>
      <c r="B595" s="246"/>
      <c r="C595" s="246"/>
      <c r="D595" s="246"/>
      <c r="E595" s="109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7"/>
      <c r="T595" s="245"/>
    </row>
    <row r="596">
      <c r="A596" s="245"/>
      <c r="B596" s="246"/>
      <c r="C596" s="246"/>
      <c r="D596" s="246"/>
      <c r="E596" s="109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7"/>
      <c r="T596" s="245"/>
    </row>
    <row r="597">
      <c r="A597" s="245"/>
      <c r="B597" s="246"/>
      <c r="C597" s="246"/>
      <c r="D597" s="246"/>
      <c r="E597" s="109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7"/>
      <c r="T597" s="245"/>
    </row>
    <row r="598">
      <c r="A598" s="245"/>
      <c r="B598" s="246"/>
      <c r="C598" s="246"/>
      <c r="D598" s="246"/>
      <c r="E598" s="109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7"/>
      <c r="T598" s="245"/>
    </row>
    <row r="599">
      <c r="A599" s="245"/>
      <c r="B599" s="246"/>
      <c r="C599" s="246"/>
      <c r="D599" s="246"/>
      <c r="E599" s="109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7"/>
      <c r="T599" s="245"/>
    </row>
    <row r="600">
      <c r="A600" s="245"/>
      <c r="B600" s="246"/>
      <c r="C600" s="246"/>
      <c r="D600" s="246"/>
      <c r="E600" s="109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7"/>
      <c r="T600" s="245"/>
    </row>
    <row r="601">
      <c r="A601" s="245"/>
      <c r="B601" s="246"/>
      <c r="C601" s="246"/>
      <c r="D601" s="246"/>
      <c r="E601" s="109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7"/>
      <c r="T601" s="245"/>
    </row>
    <row r="602">
      <c r="A602" s="245"/>
      <c r="B602" s="246"/>
      <c r="C602" s="246"/>
      <c r="D602" s="246"/>
      <c r="E602" s="109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7"/>
      <c r="T602" s="245"/>
    </row>
    <row r="603">
      <c r="A603" s="245"/>
      <c r="B603" s="246"/>
      <c r="C603" s="246"/>
      <c r="D603" s="246"/>
      <c r="E603" s="109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7"/>
      <c r="T603" s="245"/>
    </row>
    <row r="604">
      <c r="A604" s="245"/>
      <c r="B604" s="246"/>
      <c r="C604" s="246"/>
      <c r="D604" s="246"/>
      <c r="E604" s="109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7"/>
      <c r="T604" s="245"/>
    </row>
    <row r="605">
      <c r="A605" s="245"/>
      <c r="B605" s="246"/>
      <c r="C605" s="246"/>
      <c r="D605" s="246"/>
      <c r="E605" s="109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7"/>
      <c r="T605" s="245"/>
    </row>
    <row r="606">
      <c r="A606" s="245"/>
      <c r="B606" s="246"/>
      <c r="C606" s="246"/>
      <c r="D606" s="246"/>
      <c r="E606" s="109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7"/>
      <c r="T606" s="245"/>
    </row>
    <row r="607">
      <c r="A607" s="245"/>
      <c r="B607" s="246"/>
      <c r="C607" s="246"/>
      <c r="D607" s="246"/>
      <c r="E607" s="109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7"/>
      <c r="T607" s="245"/>
    </row>
    <row r="608">
      <c r="A608" s="245"/>
      <c r="B608" s="246"/>
      <c r="C608" s="246"/>
      <c r="D608" s="246"/>
      <c r="E608" s="109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7"/>
      <c r="T608" s="245"/>
    </row>
    <row r="609">
      <c r="A609" s="245"/>
      <c r="B609" s="246"/>
      <c r="C609" s="246"/>
      <c r="D609" s="246"/>
      <c r="E609" s="109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7"/>
      <c r="T609" s="245"/>
    </row>
    <row r="610">
      <c r="A610" s="245"/>
      <c r="B610" s="246"/>
      <c r="C610" s="246"/>
      <c r="D610" s="246"/>
      <c r="E610" s="109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7"/>
      <c r="T610" s="245"/>
    </row>
    <row r="611">
      <c r="A611" s="245"/>
      <c r="B611" s="246"/>
      <c r="C611" s="246"/>
      <c r="D611" s="246"/>
      <c r="E611" s="109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7"/>
      <c r="T611" s="245"/>
    </row>
    <row r="612">
      <c r="A612" s="245"/>
      <c r="B612" s="246"/>
      <c r="C612" s="246"/>
      <c r="D612" s="246"/>
      <c r="E612" s="109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7"/>
      <c r="T612" s="245"/>
    </row>
    <row r="613">
      <c r="A613" s="245"/>
      <c r="B613" s="246"/>
      <c r="C613" s="246"/>
      <c r="D613" s="246"/>
      <c r="E613" s="109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7"/>
      <c r="T613" s="245"/>
    </row>
    <row r="614">
      <c r="A614" s="245"/>
      <c r="B614" s="246"/>
      <c r="C614" s="246"/>
      <c r="D614" s="246"/>
      <c r="E614" s="109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7"/>
      <c r="T614" s="245"/>
    </row>
    <row r="615">
      <c r="A615" s="245"/>
      <c r="B615" s="246"/>
      <c r="C615" s="246"/>
      <c r="D615" s="246"/>
      <c r="E615" s="109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7"/>
      <c r="T615" s="245"/>
    </row>
    <row r="616">
      <c r="A616" s="245"/>
      <c r="B616" s="246"/>
      <c r="C616" s="246"/>
      <c r="D616" s="246"/>
      <c r="E616" s="109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7"/>
      <c r="T616" s="245"/>
    </row>
    <row r="617">
      <c r="A617" s="245"/>
      <c r="B617" s="246"/>
      <c r="C617" s="246"/>
      <c r="D617" s="246"/>
      <c r="E617" s="109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7"/>
      <c r="T617" s="245"/>
    </row>
    <row r="618">
      <c r="A618" s="245"/>
      <c r="B618" s="246"/>
      <c r="C618" s="246"/>
      <c r="D618" s="246"/>
      <c r="E618" s="109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7"/>
      <c r="T618" s="245"/>
    </row>
    <row r="619">
      <c r="A619" s="245"/>
      <c r="B619" s="246"/>
      <c r="C619" s="246"/>
      <c r="D619" s="246"/>
      <c r="E619" s="109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7"/>
      <c r="T619" s="245"/>
    </row>
    <row r="620">
      <c r="A620" s="245"/>
      <c r="B620" s="246"/>
      <c r="C620" s="246"/>
      <c r="D620" s="246"/>
      <c r="E620" s="109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7"/>
      <c r="T620" s="245"/>
    </row>
    <row r="621">
      <c r="A621" s="245"/>
      <c r="B621" s="246"/>
      <c r="C621" s="246"/>
      <c r="D621" s="246"/>
      <c r="E621" s="109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7"/>
      <c r="T621" s="245"/>
    </row>
    <row r="622">
      <c r="A622" s="245"/>
      <c r="B622" s="246"/>
      <c r="C622" s="246"/>
      <c r="D622" s="246"/>
      <c r="E622" s="109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7"/>
      <c r="T622" s="245"/>
    </row>
    <row r="623">
      <c r="A623" s="245"/>
      <c r="B623" s="246"/>
      <c r="C623" s="246"/>
      <c r="D623" s="246"/>
      <c r="E623" s="109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7"/>
      <c r="T623" s="245"/>
    </row>
    <row r="624">
      <c r="A624" s="245"/>
      <c r="B624" s="246"/>
      <c r="C624" s="246"/>
      <c r="D624" s="246"/>
      <c r="E624" s="109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7"/>
      <c r="T624" s="245"/>
    </row>
    <row r="625">
      <c r="A625" s="245"/>
      <c r="B625" s="246"/>
      <c r="C625" s="246"/>
      <c r="D625" s="246"/>
      <c r="E625" s="109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7"/>
      <c r="T625" s="245"/>
    </row>
    <row r="626">
      <c r="A626" s="245"/>
      <c r="B626" s="246"/>
      <c r="C626" s="246"/>
      <c r="D626" s="246"/>
      <c r="E626" s="109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7"/>
      <c r="T626" s="245"/>
    </row>
    <row r="627">
      <c r="A627" s="245"/>
      <c r="B627" s="246"/>
      <c r="C627" s="246"/>
      <c r="D627" s="246"/>
      <c r="E627" s="109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7"/>
      <c r="T627" s="245"/>
    </row>
    <row r="628">
      <c r="A628" s="245"/>
      <c r="B628" s="246"/>
      <c r="C628" s="246"/>
      <c r="D628" s="246"/>
      <c r="E628" s="109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7"/>
      <c r="T628" s="245"/>
    </row>
    <row r="629">
      <c r="A629" s="245"/>
      <c r="B629" s="246"/>
      <c r="C629" s="246"/>
      <c r="D629" s="246"/>
      <c r="E629" s="109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7"/>
      <c r="T629" s="245"/>
    </row>
    <row r="630">
      <c r="A630" s="245"/>
      <c r="B630" s="246"/>
      <c r="C630" s="246"/>
      <c r="D630" s="246"/>
      <c r="E630" s="109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7"/>
      <c r="T630" s="245"/>
    </row>
    <row r="631">
      <c r="A631" s="245"/>
      <c r="B631" s="246"/>
      <c r="C631" s="246"/>
      <c r="D631" s="246"/>
      <c r="E631" s="109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7"/>
      <c r="T631" s="245"/>
    </row>
    <row r="632">
      <c r="A632" s="245"/>
      <c r="B632" s="246"/>
      <c r="C632" s="246"/>
      <c r="D632" s="246"/>
      <c r="E632" s="109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7"/>
      <c r="T632" s="245"/>
    </row>
    <row r="633">
      <c r="A633" s="245"/>
      <c r="B633" s="246"/>
      <c r="C633" s="246"/>
      <c r="D633" s="246"/>
      <c r="E633" s="109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7"/>
      <c r="T633" s="245"/>
    </row>
    <row r="634">
      <c r="A634" s="245"/>
      <c r="B634" s="246"/>
      <c r="C634" s="246"/>
      <c r="D634" s="246"/>
      <c r="E634" s="109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7"/>
      <c r="T634" s="245"/>
    </row>
    <row r="635">
      <c r="A635" s="245"/>
      <c r="B635" s="246"/>
      <c r="C635" s="246"/>
      <c r="D635" s="246"/>
      <c r="E635" s="109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7"/>
      <c r="T635" s="245"/>
    </row>
    <row r="636">
      <c r="A636" s="245"/>
      <c r="B636" s="246"/>
      <c r="C636" s="246"/>
      <c r="D636" s="246"/>
      <c r="E636" s="109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7"/>
      <c r="T636" s="245"/>
    </row>
    <row r="637">
      <c r="A637" s="245"/>
      <c r="B637" s="246"/>
      <c r="C637" s="246"/>
      <c r="D637" s="246"/>
      <c r="E637" s="109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7"/>
      <c r="T637" s="245"/>
    </row>
    <row r="638">
      <c r="A638" s="245"/>
      <c r="B638" s="246"/>
      <c r="C638" s="246"/>
      <c r="D638" s="246"/>
      <c r="E638" s="109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7"/>
      <c r="T638" s="245"/>
    </row>
    <row r="639">
      <c r="A639" s="245"/>
      <c r="B639" s="246"/>
      <c r="C639" s="246"/>
      <c r="D639" s="246"/>
      <c r="E639" s="109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7"/>
      <c r="T639" s="245"/>
    </row>
    <row r="640">
      <c r="A640" s="245"/>
      <c r="B640" s="246"/>
      <c r="C640" s="246"/>
      <c r="D640" s="246"/>
      <c r="E640" s="109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7"/>
      <c r="T640" s="245"/>
    </row>
    <row r="641">
      <c r="A641" s="245"/>
      <c r="B641" s="246"/>
      <c r="C641" s="246"/>
      <c r="D641" s="246"/>
      <c r="E641" s="109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7"/>
      <c r="T641" s="245"/>
    </row>
    <row r="642">
      <c r="A642" s="245"/>
      <c r="B642" s="246"/>
      <c r="C642" s="246"/>
      <c r="D642" s="246"/>
      <c r="E642" s="109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7"/>
      <c r="T642" s="245"/>
    </row>
    <row r="643">
      <c r="A643" s="245"/>
      <c r="B643" s="246"/>
      <c r="C643" s="246"/>
      <c r="D643" s="246"/>
      <c r="E643" s="109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7"/>
      <c r="T643" s="245"/>
    </row>
    <row r="644">
      <c r="A644" s="245"/>
      <c r="B644" s="246"/>
      <c r="C644" s="246"/>
      <c r="D644" s="246"/>
      <c r="E644" s="109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7"/>
      <c r="T644" s="245"/>
    </row>
    <row r="645">
      <c r="A645" s="245"/>
      <c r="B645" s="246"/>
      <c r="C645" s="246"/>
      <c r="D645" s="246"/>
      <c r="E645" s="109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7"/>
      <c r="T645" s="245"/>
    </row>
    <row r="646">
      <c r="A646" s="245"/>
      <c r="B646" s="246"/>
      <c r="C646" s="246"/>
      <c r="D646" s="246"/>
      <c r="E646" s="109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7"/>
      <c r="T646" s="245"/>
    </row>
    <row r="647">
      <c r="A647" s="245"/>
      <c r="B647" s="246"/>
      <c r="C647" s="246"/>
      <c r="D647" s="246"/>
      <c r="E647" s="109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7"/>
      <c r="T647" s="245"/>
    </row>
    <row r="648">
      <c r="A648" s="245"/>
      <c r="B648" s="246"/>
      <c r="C648" s="246"/>
      <c r="D648" s="246"/>
      <c r="E648" s="109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7"/>
      <c r="T648" s="245"/>
    </row>
    <row r="649">
      <c r="A649" s="245"/>
      <c r="B649" s="246"/>
      <c r="C649" s="246"/>
      <c r="D649" s="246"/>
      <c r="E649" s="109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7"/>
      <c r="T649" s="245"/>
    </row>
    <row r="650">
      <c r="A650" s="245"/>
      <c r="B650" s="246"/>
      <c r="C650" s="246"/>
      <c r="D650" s="246"/>
      <c r="E650" s="109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7"/>
      <c r="T650" s="245"/>
    </row>
    <row r="651">
      <c r="A651" s="245"/>
      <c r="B651" s="246"/>
      <c r="C651" s="246"/>
      <c r="D651" s="246"/>
      <c r="E651" s="109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7"/>
      <c r="T651" s="245"/>
    </row>
    <row r="652">
      <c r="A652" s="245"/>
      <c r="B652" s="246"/>
      <c r="C652" s="246"/>
      <c r="D652" s="246"/>
      <c r="E652" s="109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7"/>
      <c r="T652" s="245"/>
    </row>
    <row r="653">
      <c r="A653" s="245"/>
      <c r="B653" s="246"/>
      <c r="C653" s="246"/>
      <c r="D653" s="246"/>
      <c r="E653" s="109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7"/>
      <c r="T653" s="245"/>
    </row>
    <row r="654">
      <c r="A654" s="245"/>
      <c r="B654" s="246"/>
      <c r="C654" s="246"/>
      <c r="D654" s="246"/>
      <c r="E654" s="109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7"/>
      <c r="T654" s="245"/>
    </row>
    <row r="655">
      <c r="A655" s="245"/>
      <c r="B655" s="246"/>
      <c r="C655" s="246"/>
      <c r="D655" s="246"/>
      <c r="E655" s="109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7"/>
      <c r="T655" s="245"/>
    </row>
    <row r="656">
      <c r="A656" s="245"/>
      <c r="B656" s="246"/>
      <c r="C656" s="246"/>
      <c r="D656" s="246"/>
      <c r="E656" s="109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7"/>
      <c r="T656" s="245"/>
    </row>
    <row r="657">
      <c r="A657" s="245"/>
      <c r="B657" s="246"/>
      <c r="C657" s="246"/>
      <c r="D657" s="246"/>
      <c r="E657" s="109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7"/>
      <c r="T657" s="245"/>
    </row>
    <row r="658">
      <c r="A658" s="245"/>
      <c r="B658" s="246"/>
      <c r="C658" s="246"/>
      <c r="D658" s="246"/>
      <c r="E658" s="109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7"/>
      <c r="T658" s="245"/>
    </row>
    <row r="659">
      <c r="A659" s="245"/>
      <c r="B659" s="246"/>
      <c r="C659" s="246"/>
      <c r="D659" s="246"/>
      <c r="E659" s="109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7"/>
      <c r="T659" s="245"/>
    </row>
    <row r="660">
      <c r="A660" s="245"/>
      <c r="B660" s="246"/>
      <c r="C660" s="246"/>
      <c r="D660" s="246"/>
      <c r="E660" s="109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7"/>
      <c r="T660" s="245"/>
    </row>
    <row r="661">
      <c r="A661" s="245"/>
      <c r="B661" s="246"/>
      <c r="C661" s="246"/>
      <c r="D661" s="246"/>
      <c r="E661" s="109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7"/>
      <c r="T661" s="245"/>
    </row>
    <row r="662">
      <c r="A662" s="245"/>
      <c r="B662" s="246"/>
      <c r="C662" s="246"/>
      <c r="D662" s="246"/>
      <c r="E662" s="109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7"/>
      <c r="T662" s="245"/>
    </row>
    <row r="663">
      <c r="A663" s="245"/>
      <c r="B663" s="246"/>
      <c r="C663" s="246"/>
      <c r="D663" s="246"/>
      <c r="E663" s="109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7"/>
      <c r="T663" s="245"/>
    </row>
    <row r="664">
      <c r="A664" s="245"/>
      <c r="B664" s="246"/>
      <c r="C664" s="246"/>
      <c r="D664" s="246"/>
      <c r="E664" s="109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7"/>
      <c r="T664" s="245"/>
    </row>
    <row r="665">
      <c r="A665" s="245"/>
      <c r="B665" s="246"/>
      <c r="C665" s="246"/>
      <c r="D665" s="246"/>
      <c r="E665" s="109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7"/>
      <c r="T665" s="245"/>
    </row>
    <row r="666">
      <c r="A666" s="245"/>
      <c r="B666" s="246"/>
      <c r="C666" s="246"/>
      <c r="D666" s="246"/>
      <c r="E666" s="109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7"/>
      <c r="T666" s="245"/>
    </row>
    <row r="667">
      <c r="A667" s="245"/>
      <c r="B667" s="246"/>
      <c r="C667" s="246"/>
      <c r="D667" s="246"/>
      <c r="E667" s="109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7"/>
      <c r="T667" s="245"/>
    </row>
    <row r="668">
      <c r="A668" s="245"/>
      <c r="B668" s="246"/>
      <c r="C668" s="246"/>
      <c r="D668" s="246"/>
      <c r="E668" s="109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7"/>
      <c r="T668" s="245"/>
    </row>
    <row r="669">
      <c r="A669" s="245"/>
      <c r="B669" s="246"/>
      <c r="C669" s="246"/>
      <c r="D669" s="246"/>
      <c r="E669" s="109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7"/>
      <c r="T669" s="245"/>
    </row>
    <row r="670">
      <c r="A670" s="245"/>
      <c r="B670" s="246"/>
      <c r="C670" s="246"/>
      <c r="D670" s="246"/>
      <c r="E670" s="109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7"/>
      <c r="T670" s="245"/>
    </row>
    <row r="671">
      <c r="A671" s="245"/>
      <c r="B671" s="246"/>
      <c r="C671" s="246"/>
      <c r="D671" s="246"/>
      <c r="E671" s="109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7"/>
      <c r="T671" s="245"/>
    </row>
    <row r="672">
      <c r="A672" s="245"/>
      <c r="B672" s="246"/>
      <c r="C672" s="246"/>
      <c r="D672" s="246"/>
      <c r="E672" s="109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7"/>
      <c r="T672" s="245"/>
    </row>
    <row r="673">
      <c r="A673" s="245"/>
      <c r="B673" s="246"/>
      <c r="C673" s="246"/>
      <c r="D673" s="246"/>
      <c r="E673" s="109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7"/>
      <c r="T673" s="245"/>
    </row>
    <row r="674">
      <c r="A674" s="245"/>
      <c r="B674" s="246"/>
      <c r="C674" s="246"/>
      <c r="D674" s="246"/>
      <c r="E674" s="109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7"/>
      <c r="T674" s="245"/>
    </row>
    <row r="675">
      <c r="A675" s="245"/>
      <c r="B675" s="246"/>
      <c r="C675" s="246"/>
      <c r="D675" s="246"/>
      <c r="E675" s="109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7"/>
      <c r="T675" s="245"/>
    </row>
    <row r="676">
      <c r="A676" s="245"/>
      <c r="B676" s="246"/>
      <c r="C676" s="246"/>
      <c r="D676" s="246"/>
      <c r="E676" s="109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7"/>
      <c r="T676" s="245"/>
    </row>
    <row r="677">
      <c r="A677" s="245"/>
      <c r="B677" s="246"/>
      <c r="C677" s="246"/>
      <c r="D677" s="246"/>
      <c r="E677" s="109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7"/>
      <c r="T677" s="245"/>
    </row>
    <row r="678">
      <c r="A678" s="245"/>
      <c r="B678" s="246"/>
      <c r="C678" s="246"/>
      <c r="D678" s="246"/>
      <c r="E678" s="109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7"/>
      <c r="T678" s="245"/>
    </row>
    <row r="679">
      <c r="A679" s="245"/>
      <c r="B679" s="246"/>
      <c r="C679" s="246"/>
      <c r="D679" s="246"/>
      <c r="E679" s="109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7"/>
      <c r="T679" s="245"/>
    </row>
    <row r="680">
      <c r="A680" s="245"/>
      <c r="B680" s="246"/>
      <c r="C680" s="246"/>
      <c r="D680" s="246"/>
      <c r="E680" s="109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7"/>
      <c r="T680" s="245"/>
    </row>
    <row r="681">
      <c r="A681" s="245"/>
      <c r="B681" s="246"/>
      <c r="C681" s="246"/>
      <c r="D681" s="246"/>
      <c r="E681" s="109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7"/>
      <c r="T681" s="245"/>
    </row>
    <row r="682">
      <c r="A682" s="245"/>
      <c r="B682" s="246"/>
      <c r="C682" s="246"/>
      <c r="D682" s="246"/>
      <c r="E682" s="109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7"/>
      <c r="T682" s="245"/>
    </row>
    <row r="683">
      <c r="A683" s="245"/>
      <c r="B683" s="246"/>
      <c r="C683" s="246"/>
      <c r="D683" s="246"/>
      <c r="E683" s="109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7"/>
      <c r="T683" s="245"/>
    </row>
    <row r="684">
      <c r="A684" s="245"/>
      <c r="B684" s="246"/>
      <c r="C684" s="246"/>
      <c r="D684" s="246"/>
      <c r="E684" s="109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7"/>
      <c r="T684" s="245"/>
    </row>
    <row r="685">
      <c r="A685" s="245"/>
      <c r="B685" s="246"/>
      <c r="C685" s="246"/>
      <c r="D685" s="246"/>
      <c r="E685" s="109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7"/>
      <c r="T685" s="245"/>
    </row>
    <row r="686">
      <c r="A686" s="245"/>
      <c r="B686" s="246"/>
      <c r="C686" s="246"/>
      <c r="D686" s="246"/>
      <c r="E686" s="109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7"/>
      <c r="T686" s="245"/>
    </row>
    <row r="687">
      <c r="A687" s="245"/>
      <c r="B687" s="246"/>
      <c r="C687" s="246"/>
      <c r="D687" s="246"/>
      <c r="E687" s="109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7"/>
      <c r="T687" s="245"/>
    </row>
    <row r="688">
      <c r="A688" s="245"/>
      <c r="B688" s="246"/>
      <c r="C688" s="246"/>
      <c r="D688" s="246"/>
      <c r="E688" s="109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7"/>
      <c r="T688" s="245"/>
    </row>
    <row r="689">
      <c r="A689" s="245"/>
      <c r="B689" s="246"/>
      <c r="C689" s="246"/>
      <c r="D689" s="246"/>
      <c r="E689" s="109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7"/>
      <c r="T689" s="245"/>
    </row>
    <row r="690">
      <c r="A690" s="245"/>
      <c r="B690" s="246"/>
      <c r="C690" s="246"/>
      <c r="D690" s="246"/>
      <c r="E690" s="109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7"/>
      <c r="T690" s="245"/>
    </row>
    <row r="691">
      <c r="A691" s="245"/>
      <c r="B691" s="246"/>
      <c r="C691" s="246"/>
      <c r="D691" s="246"/>
      <c r="E691" s="109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7"/>
      <c r="T691" s="245"/>
    </row>
    <row r="692">
      <c r="A692" s="245"/>
      <c r="B692" s="246"/>
      <c r="C692" s="246"/>
      <c r="D692" s="246"/>
      <c r="E692" s="109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7"/>
      <c r="T692" s="245"/>
    </row>
    <row r="693">
      <c r="A693" s="245"/>
      <c r="B693" s="246"/>
      <c r="C693" s="246"/>
      <c r="D693" s="246"/>
      <c r="E693" s="109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7"/>
      <c r="T693" s="245"/>
    </row>
    <row r="694">
      <c r="A694" s="245"/>
      <c r="B694" s="246"/>
      <c r="C694" s="246"/>
      <c r="D694" s="246"/>
      <c r="E694" s="109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7"/>
      <c r="T694" s="245"/>
    </row>
    <row r="695">
      <c r="A695" s="245"/>
      <c r="B695" s="246"/>
      <c r="C695" s="246"/>
      <c r="D695" s="246"/>
      <c r="E695" s="109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7"/>
      <c r="T695" s="245"/>
    </row>
    <row r="696">
      <c r="A696" s="245"/>
      <c r="B696" s="246"/>
      <c r="C696" s="246"/>
      <c r="D696" s="246"/>
      <c r="E696" s="109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7"/>
      <c r="T696" s="245"/>
    </row>
    <row r="697">
      <c r="A697" s="245"/>
      <c r="B697" s="246"/>
      <c r="C697" s="246"/>
      <c r="D697" s="246"/>
      <c r="E697" s="109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7"/>
      <c r="T697" s="245"/>
    </row>
    <row r="698">
      <c r="A698" s="245"/>
      <c r="B698" s="246"/>
      <c r="C698" s="246"/>
      <c r="D698" s="246"/>
      <c r="E698" s="109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7"/>
      <c r="T698" s="245"/>
    </row>
    <row r="699">
      <c r="A699" s="245"/>
      <c r="B699" s="246"/>
      <c r="C699" s="246"/>
      <c r="D699" s="246"/>
      <c r="E699" s="109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7"/>
      <c r="T699" s="245"/>
    </row>
    <row r="700">
      <c r="A700" s="245"/>
      <c r="B700" s="246"/>
      <c r="C700" s="246"/>
      <c r="D700" s="246"/>
      <c r="E700" s="109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7"/>
      <c r="T700" s="245"/>
    </row>
    <row r="701">
      <c r="A701" s="245"/>
      <c r="B701" s="246"/>
      <c r="C701" s="246"/>
      <c r="D701" s="246"/>
      <c r="E701" s="109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7"/>
      <c r="T701" s="245"/>
    </row>
    <row r="702">
      <c r="A702" s="245"/>
      <c r="B702" s="246"/>
      <c r="C702" s="246"/>
      <c r="D702" s="246"/>
      <c r="E702" s="109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7"/>
      <c r="T702" s="245"/>
    </row>
    <row r="703">
      <c r="A703" s="245"/>
      <c r="B703" s="246"/>
      <c r="C703" s="246"/>
      <c r="D703" s="246"/>
      <c r="E703" s="109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7"/>
      <c r="T703" s="245"/>
    </row>
    <row r="704">
      <c r="A704" s="245"/>
      <c r="B704" s="246"/>
      <c r="C704" s="246"/>
      <c r="D704" s="246"/>
      <c r="E704" s="109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7"/>
      <c r="T704" s="245"/>
    </row>
    <row r="705">
      <c r="A705" s="245"/>
      <c r="B705" s="246"/>
      <c r="C705" s="246"/>
      <c r="D705" s="246"/>
      <c r="E705" s="109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7"/>
      <c r="T705" s="245"/>
    </row>
    <row r="706">
      <c r="A706" s="245"/>
      <c r="B706" s="246"/>
      <c r="C706" s="246"/>
      <c r="D706" s="246"/>
      <c r="E706" s="109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7"/>
      <c r="T706" s="245"/>
    </row>
    <row r="707">
      <c r="A707" s="245"/>
      <c r="B707" s="246"/>
      <c r="C707" s="246"/>
      <c r="D707" s="246"/>
      <c r="E707" s="109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7"/>
      <c r="T707" s="245"/>
    </row>
    <row r="708">
      <c r="A708" s="245"/>
      <c r="B708" s="246"/>
      <c r="C708" s="246"/>
      <c r="D708" s="246"/>
      <c r="E708" s="109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7"/>
      <c r="T708" s="245"/>
    </row>
    <row r="709">
      <c r="A709" s="245"/>
      <c r="B709" s="246"/>
      <c r="C709" s="246"/>
      <c r="D709" s="246"/>
      <c r="E709" s="109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7"/>
      <c r="T709" s="245"/>
    </row>
    <row r="710">
      <c r="A710" s="245"/>
      <c r="B710" s="246"/>
      <c r="C710" s="246"/>
      <c r="D710" s="246"/>
      <c r="E710" s="109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7"/>
      <c r="T710" s="245"/>
    </row>
    <row r="711">
      <c r="A711" s="245"/>
      <c r="B711" s="246"/>
      <c r="C711" s="246"/>
      <c r="D711" s="246"/>
      <c r="E711" s="109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7"/>
      <c r="T711" s="245"/>
    </row>
    <row r="712">
      <c r="A712" s="245"/>
      <c r="B712" s="246"/>
      <c r="C712" s="246"/>
      <c r="D712" s="246"/>
      <c r="E712" s="109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7"/>
      <c r="T712" s="245"/>
    </row>
    <row r="713">
      <c r="A713" s="245"/>
      <c r="B713" s="246"/>
      <c r="C713" s="246"/>
      <c r="D713" s="246"/>
      <c r="E713" s="109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7"/>
      <c r="T713" s="245"/>
    </row>
    <row r="714">
      <c r="A714" s="245"/>
      <c r="B714" s="246"/>
      <c r="C714" s="246"/>
      <c r="D714" s="246"/>
      <c r="E714" s="109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7"/>
      <c r="T714" s="245"/>
    </row>
    <row r="715">
      <c r="A715" s="245"/>
      <c r="B715" s="246"/>
      <c r="C715" s="246"/>
      <c r="D715" s="246"/>
      <c r="E715" s="109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7"/>
      <c r="T715" s="245"/>
    </row>
    <row r="716">
      <c r="A716" s="245"/>
      <c r="B716" s="246"/>
      <c r="C716" s="246"/>
      <c r="D716" s="246"/>
      <c r="E716" s="109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7"/>
      <c r="T716" s="245"/>
    </row>
    <row r="717">
      <c r="A717" s="245"/>
      <c r="B717" s="246"/>
      <c r="C717" s="246"/>
      <c r="D717" s="246"/>
      <c r="E717" s="109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7"/>
      <c r="T717" s="245"/>
    </row>
    <row r="718">
      <c r="A718" s="245"/>
      <c r="B718" s="246"/>
      <c r="C718" s="246"/>
      <c r="D718" s="246"/>
      <c r="E718" s="109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7"/>
      <c r="T718" s="245"/>
    </row>
    <row r="719">
      <c r="A719" s="245"/>
      <c r="B719" s="246"/>
      <c r="C719" s="246"/>
      <c r="D719" s="246"/>
      <c r="E719" s="109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7"/>
      <c r="T719" s="245"/>
    </row>
    <row r="720">
      <c r="A720" s="245"/>
      <c r="B720" s="246"/>
      <c r="C720" s="246"/>
      <c r="D720" s="246"/>
      <c r="E720" s="109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7"/>
      <c r="T720" s="245"/>
    </row>
    <row r="721">
      <c r="A721" s="245"/>
      <c r="B721" s="246"/>
      <c r="C721" s="246"/>
      <c r="D721" s="246"/>
      <c r="E721" s="109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7"/>
      <c r="T721" s="245"/>
    </row>
    <row r="722">
      <c r="A722" s="245"/>
      <c r="B722" s="246"/>
      <c r="C722" s="246"/>
      <c r="D722" s="246"/>
      <c r="E722" s="109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7"/>
      <c r="T722" s="245"/>
    </row>
    <row r="723">
      <c r="A723" s="245"/>
      <c r="B723" s="246"/>
      <c r="C723" s="246"/>
      <c r="D723" s="246"/>
      <c r="E723" s="109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7"/>
      <c r="T723" s="245"/>
    </row>
    <row r="724">
      <c r="A724" s="245"/>
      <c r="B724" s="246"/>
      <c r="C724" s="246"/>
      <c r="D724" s="246"/>
      <c r="E724" s="109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7"/>
      <c r="T724" s="245"/>
    </row>
    <row r="725">
      <c r="A725" s="245"/>
      <c r="B725" s="246"/>
      <c r="C725" s="246"/>
      <c r="D725" s="246"/>
      <c r="E725" s="109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7"/>
      <c r="T725" s="245"/>
    </row>
    <row r="726">
      <c r="A726" s="245"/>
      <c r="B726" s="246"/>
      <c r="C726" s="246"/>
      <c r="D726" s="246"/>
      <c r="E726" s="109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7"/>
      <c r="T726" s="245"/>
    </row>
    <row r="727">
      <c r="A727" s="245"/>
      <c r="B727" s="246"/>
      <c r="C727" s="246"/>
      <c r="D727" s="246"/>
      <c r="E727" s="109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7"/>
      <c r="T727" s="245"/>
    </row>
    <row r="728">
      <c r="A728" s="245"/>
      <c r="B728" s="246"/>
      <c r="C728" s="246"/>
      <c r="D728" s="246"/>
      <c r="E728" s="109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7"/>
      <c r="T728" s="245"/>
    </row>
    <row r="729">
      <c r="A729" s="245"/>
      <c r="B729" s="246"/>
      <c r="C729" s="246"/>
      <c r="D729" s="246"/>
      <c r="E729" s="109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7"/>
      <c r="T729" s="245"/>
    </row>
    <row r="730">
      <c r="A730" s="245"/>
      <c r="B730" s="246"/>
      <c r="C730" s="246"/>
      <c r="D730" s="246"/>
      <c r="E730" s="109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7"/>
      <c r="T730" s="245"/>
    </row>
    <row r="731">
      <c r="A731" s="245"/>
      <c r="B731" s="246"/>
      <c r="C731" s="246"/>
      <c r="D731" s="246"/>
      <c r="E731" s="109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7"/>
      <c r="T731" s="245"/>
    </row>
    <row r="732">
      <c r="A732" s="245"/>
      <c r="B732" s="246"/>
      <c r="C732" s="246"/>
      <c r="D732" s="246"/>
      <c r="E732" s="109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7"/>
      <c r="T732" s="245"/>
    </row>
    <row r="733">
      <c r="A733" s="245"/>
      <c r="B733" s="246"/>
      <c r="C733" s="246"/>
      <c r="D733" s="246"/>
      <c r="E733" s="109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7"/>
      <c r="T733" s="245"/>
    </row>
    <row r="734">
      <c r="A734" s="245"/>
      <c r="B734" s="246"/>
      <c r="C734" s="246"/>
      <c r="D734" s="246"/>
      <c r="E734" s="109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7"/>
      <c r="T734" s="245"/>
    </row>
    <row r="735">
      <c r="A735" s="245"/>
      <c r="B735" s="246"/>
      <c r="C735" s="246"/>
      <c r="D735" s="246"/>
      <c r="E735" s="109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7"/>
      <c r="T735" s="245"/>
    </row>
    <row r="736">
      <c r="A736" s="245"/>
      <c r="B736" s="246"/>
      <c r="C736" s="246"/>
      <c r="D736" s="246"/>
      <c r="E736" s="109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7"/>
      <c r="T736" s="245"/>
    </row>
    <row r="737">
      <c r="A737" s="245"/>
      <c r="B737" s="246"/>
      <c r="C737" s="246"/>
      <c r="D737" s="246"/>
      <c r="E737" s="109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7"/>
      <c r="T737" s="245"/>
    </row>
    <row r="738">
      <c r="A738" s="245"/>
      <c r="B738" s="246"/>
      <c r="C738" s="246"/>
      <c r="D738" s="246"/>
      <c r="E738" s="109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7"/>
      <c r="T738" s="245"/>
    </row>
    <row r="739">
      <c r="A739" s="245"/>
      <c r="B739" s="246"/>
      <c r="C739" s="246"/>
      <c r="D739" s="246"/>
      <c r="E739" s="109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7"/>
      <c r="T739" s="245"/>
    </row>
    <row r="740">
      <c r="A740" s="245"/>
      <c r="B740" s="246"/>
      <c r="C740" s="246"/>
      <c r="D740" s="246"/>
      <c r="E740" s="109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7"/>
      <c r="T740" s="245"/>
    </row>
    <row r="741">
      <c r="A741" s="245"/>
      <c r="B741" s="246"/>
      <c r="C741" s="246"/>
      <c r="D741" s="246"/>
      <c r="E741" s="109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7"/>
      <c r="T741" s="245"/>
    </row>
    <row r="742">
      <c r="A742" s="245"/>
      <c r="B742" s="246"/>
      <c r="C742" s="246"/>
      <c r="D742" s="246"/>
      <c r="E742" s="109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7"/>
      <c r="T742" s="245"/>
    </row>
    <row r="743">
      <c r="A743" s="245"/>
      <c r="B743" s="246"/>
      <c r="C743" s="246"/>
      <c r="D743" s="246"/>
      <c r="E743" s="109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7"/>
      <c r="T743" s="245"/>
    </row>
    <row r="744">
      <c r="A744" s="245"/>
      <c r="B744" s="246"/>
      <c r="C744" s="246"/>
      <c r="D744" s="246"/>
      <c r="E744" s="109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7"/>
      <c r="T744" s="245"/>
    </row>
    <row r="745">
      <c r="A745" s="245"/>
      <c r="B745" s="246"/>
      <c r="C745" s="246"/>
      <c r="D745" s="246"/>
      <c r="E745" s="109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7"/>
      <c r="T745" s="245"/>
    </row>
    <row r="746">
      <c r="A746" s="245"/>
      <c r="B746" s="246"/>
      <c r="C746" s="246"/>
      <c r="D746" s="246"/>
      <c r="E746" s="109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7"/>
      <c r="T746" s="245"/>
    </row>
    <row r="747">
      <c r="A747" s="245"/>
      <c r="B747" s="246"/>
      <c r="C747" s="246"/>
      <c r="D747" s="246"/>
      <c r="E747" s="109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7"/>
      <c r="T747" s="245"/>
    </row>
    <row r="748">
      <c r="A748" s="245"/>
      <c r="B748" s="246"/>
      <c r="C748" s="246"/>
      <c r="D748" s="246"/>
      <c r="E748" s="109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7"/>
      <c r="T748" s="245"/>
    </row>
    <row r="749">
      <c r="A749" s="245"/>
      <c r="B749" s="246"/>
      <c r="C749" s="246"/>
      <c r="D749" s="246"/>
      <c r="E749" s="109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7"/>
      <c r="T749" s="245"/>
    </row>
    <row r="750">
      <c r="A750" s="245"/>
      <c r="B750" s="246"/>
      <c r="C750" s="246"/>
      <c r="D750" s="246"/>
      <c r="E750" s="109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7"/>
      <c r="T750" s="245"/>
    </row>
    <row r="751">
      <c r="A751" s="245"/>
      <c r="B751" s="246"/>
      <c r="C751" s="246"/>
      <c r="D751" s="246"/>
      <c r="E751" s="109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7"/>
      <c r="T751" s="245"/>
    </row>
    <row r="752">
      <c r="A752" s="245"/>
      <c r="B752" s="246"/>
      <c r="C752" s="246"/>
      <c r="D752" s="246"/>
      <c r="E752" s="109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7"/>
      <c r="T752" s="245"/>
    </row>
    <row r="753">
      <c r="A753" s="245"/>
      <c r="B753" s="246"/>
      <c r="C753" s="246"/>
      <c r="D753" s="246"/>
      <c r="E753" s="109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7"/>
      <c r="T753" s="245"/>
    </row>
    <row r="754">
      <c r="A754" s="245"/>
      <c r="B754" s="246"/>
      <c r="C754" s="246"/>
      <c r="D754" s="246"/>
      <c r="E754" s="109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7"/>
      <c r="T754" s="245"/>
    </row>
    <row r="755">
      <c r="A755" s="245"/>
      <c r="B755" s="246"/>
      <c r="C755" s="246"/>
      <c r="D755" s="246"/>
      <c r="E755" s="109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7"/>
      <c r="T755" s="245"/>
    </row>
    <row r="756">
      <c r="A756" s="245"/>
      <c r="B756" s="246"/>
      <c r="C756" s="246"/>
      <c r="D756" s="246"/>
      <c r="E756" s="109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7"/>
      <c r="T756" s="245"/>
    </row>
    <row r="757">
      <c r="A757" s="245"/>
      <c r="B757" s="246"/>
      <c r="C757" s="246"/>
      <c r="D757" s="246"/>
      <c r="E757" s="109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7"/>
      <c r="T757" s="245"/>
    </row>
    <row r="758">
      <c r="A758" s="245"/>
      <c r="B758" s="246"/>
      <c r="C758" s="246"/>
      <c r="D758" s="246"/>
      <c r="E758" s="109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7"/>
      <c r="T758" s="245"/>
    </row>
    <row r="759">
      <c r="A759" s="245"/>
      <c r="B759" s="246"/>
      <c r="C759" s="246"/>
      <c r="D759" s="246"/>
      <c r="E759" s="109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7"/>
      <c r="T759" s="245"/>
    </row>
    <row r="760">
      <c r="A760" s="245"/>
      <c r="B760" s="246"/>
      <c r="C760" s="246"/>
      <c r="D760" s="246"/>
      <c r="E760" s="109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7"/>
      <c r="T760" s="245"/>
    </row>
    <row r="761">
      <c r="A761" s="245"/>
      <c r="B761" s="246"/>
      <c r="C761" s="246"/>
      <c r="D761" s="246"/>
      <c r="E761" s="109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7"/>
      <c r="T761" s="245"/>
    </row>
    <row r="762">
      <c r="A762" s="245"/>
      <c r="B762" s="246"/>
      <c r="C762" s="246"/>
      <c r="D762" s="246"/>
      <c r="E762" s="109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7"/>
      <c r="T762" s="245"/>
    </row>
    <row r="763">
      <c r="A763" s="245"/>
      <c r="B763" s="246"/>
      <c r="C763" s="246"/>
      <c r="D763" s="246"/>
      <c r="E763" s="109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7"/>
      <c r="T763" s="245"/>
    </row>
    <row r="764">
      <c r="A764" s="245"/>
      <c r="B764" s="246"/>
      <c r="C764" s="246"/>
      <c r="D764" s="246"/>
      <c r="E764" s="109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7"/>
      <c r="T764" s="245"/>
    </row>
    <row r="765">
      <c r="A765" s="245"/>
      <c r="B765" s="246"/>
      <c r="C765" s="246"/>
      <c r="D765" s="246"/>
      <c r="E765" s="109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7"/>
      <c r="T765" s="245"/>
    </row>
    <row r="766">
      <c r="A766" s="245"/>
      <c r="B766" s="246"/>
      <c r="C766" s="246"/>
      <c r="D766" s="246"/>
      <c r="E766" s="109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7"/>
      <c r="T766" s="245"/>
    </row>
    <row r="767">
      <c r="A767" s="245"/>
      <c r="B767" s="246"/>
      <c r="C767" s="246"/>
      <c r="D767" s="246"/>
      <c r="E767" s="109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7"/>
      <c r="T767" s="245"/>
    </row>
    <row r="768">
      <c r="A768" s="245"/>
      <c r="B768" s="246"/>
      <c r="C768" s="246"/>
      <c r="D768" s="246"/>
      <c r="E768" s="109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7"/>
      <c r="T768" s="245"/>
    </row>
    <row r="769">
      <c r="A769" s="245"/>
      <c r="B769" s="246"/>
      <c r="C769" s="246"/>
      <c r="D769" s="246"/>
      <c r="E769" s="109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7"/>
      <c r="T769" s="245"/>
    </row>
    <row r="770">
      <c r="A770" s="245"/>
      <c r="B770" s="246"/>
      <c r="C770" s="246"/>
      <c r="D770" s="246"/>
      <c r="E770" s="109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7"/>
      <c r="T770" s="245"/>
    </row>
    <row r="771">
      <c r="A771" s="245"/>
      <c r="B771" s="246"/>
      <c r="C771" s="246"/>
      <c r="D771" s="246"/>
      <c r="E771" s="109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7"/>
      <c r="T771" s="245"/>
    </row>
    <row r="772">
      <c r="A772" s="245"/>
      <c r="B772" s="246"/>
      <c r="C772" s="246"/>
      <c r="D772" s="246"/>
      <c r="E772" s="109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7"/>
      <c r="T772" s="245"/>
    </row>
    <row r="773">
      <c r="A773" s="245"/>
      <c r="B773" s="246"/>
      <c r="C773" s="246"/>
      <c r="D773" s="246"/>
      <c r="E773" s="109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7"/>
      <c r="T773" s="245"/>
    </row>
    <row r="774">
      <c r="A774" s="245"/>
      <c r="B774" s="246"/>
      <c r="C774" s="246"/>
      <c r="D774" s="246"/>
      <c r="E774" s="109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7"/>
      <c r="T774" s="245"/>
    </row>
    <row r="775">
      <c r="A775" s="245"/>
      <c r="B775" s="246"/>
      <c r="C775" s="246"/>
      <c r="D775" s="246"/>
      <c r="E775" s="109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7"/>
      <c r="T775" s="245"/>
    </row>
    <row r="776">
      <c r="A776" s="245"/>
      <c r="B776" s="246"/>
      <c r="C776" s="246"/>
      <c r="D776" s="246"/>
      <c r="E776" s="109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7"/>
      <c r="T776" s="245"/>
    </row>
    <row r="777">
      <c r="A777" s="245"/>
      <c r="B777" s="246"/>
      <c r="C777" s="246"/>
      <c r="D777" s="246"/>
      <c r="E777" s="109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7"/>
      <c r="T777" s="245"/>
    </row>
    <row r="778">
      <c r="A778" s="245"/>
      <c r="B778" s="246"/>
      <c r="C778" s="246"/>
      <c r="D778" s="246"/>
      <c r="E778" s="109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7"/>
      <c r="T778" s="245"/>
    </row>
    <row r="779">
      <c r="A779" s="245"/>
      <c r="B779" s="246"/>
      <c r="C779" s="246"/>
      <c r="D779" s="246"/>
      <c r="E779" s="109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7"/>
      <c r="T779" s="245"/>
    </row>
    <row r="780">
      <c r="A780" s="245"/>
      <c r="B780" s="246"/>
      <c r="C780" s="246"/>
      <c r="D780" s="246"/>
      <c r="E780" s="109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7"/>
      <c r="T780" s="245"/>
    </row>
    <row r="781">
      <c r="A781" s="245"/>
      <c r="B781" s="246"/>
      <c r="C781" s="246"/>
      <c r="D781" s="246"/>
      <c r="E781" s="109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7"/>
      <c r="T781" s="245"/>
    </row>
    <row r="782">
      <c r="A782" s="245"/>
      <c r="B782" s="246"/>
      <c r="C782" s="246"/>
      <c r="D782" s="246"/>
      <c r="E782" s="109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7"/>
      <c r="T782" s="245"/>
    </row>
    <row r="783">
      <c r="A783" s="245"/>
      <c r="B783" s="246"/>
      <c r="C783" s="246"/>
      <c r="D783" s="246"/>
      <c r="E783" s="109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7"/>
      <c r="T783" s="245"/>
    </row>
    <row r="784">
      <c r="A784" s="245"/>
      <c r="B784" s="246"/>
      <c r="C784" s="246"/>
      <c r="D784" s="246"/>
      <c r="E784" s="109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7"/>
      <c r="T784" s="245"/>
    </row>
    <row r="785">
      <c r="A785" s="245"/>
      <c r="B785" s="246"/>
      <c r="C785" s="246"/>
      <c r="D785" s="246"/>
      <c r="E785" s="109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7"/>
      <c r="T785" s="245"/>
    </row>
    <row r="786">
      <c r="A786" s="245"/>
      <c r="B786" s="246"/>
      <c r="C786" s="246"/>
      <c r="D786" s="246"/>
      <c r="E786" s="109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7"/>
      <c r="T786" s="245"/>
    </row>
    <row r="787">
      <c r="A787" s="245"/>
      <c r="B787" s="246"/>
      <c r="C787" s="246"/>
      <c r="D787" s="246"/>
      <c r="E787" s="109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7"/>
      <c r="T787" s="245"/>
    </row>
    <row r="788">
      <c r="A788" s="245"/>
      <c r="B788" s="246"/>
      <c r="C788" s="246"/>
      <c r="D788" s="246"/>
      <c r="E788" s="109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7"/>
      <c r="T788" s="245"/>
    </row>
    <row r="789">
      <c r="A789" s="245"/>
      <c r="B789" s="246"/>
      <c r="C789" s="246"/>
      <c r="D789" s="246"/>
      <c r="E789" s="109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7"/>
      <c r="T789" s="245"/>
    </row>
    <row r="790">
      <c r="A790" s="245"/>
      <c r="B790" s="246"/>
      <c r="C790" s="246"/>
      <c r="D790" s="246"/>
      <c r="E790" s="109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7"/>
      <c r="T790" s="245"/>
    </row>
    <row r="791">
      <c r="A791" s="245"/>
      <c r="B791" s="246"/>
      <c r="C791" s="246"/>
      <c r="D791" s="246"/>
      <c r="E791" s="109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7"/>
      <c r="T791" s="245"/>
    </row>
    <row r="792">
      <c r="A792" s="245"/>
      <c r="B792" s="246"/>
      <c r="C792" s="246"/>
      <c r="D792" s="246"/>
      <c r="E792" s="109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7"/>
      <c r="T792" s="245"/>
    </row>
    <row r="793">
      <c r="A793" s="245"/>
      <c r="B793" s="246"/>
      <c r="C793" s="246"/>
      <c r="D793" s="246"/>
      <c r="E793" s="109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7"/>
      <c r="T793" s="245"/>
    </row>
    <row r="794">
      <c r="A794" s="245"/>
      <c r="B794" s="246"/>
      <c r="C794" s="246"/>
      <c r="D794" s="246"/>
      <c r="E794" s="109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7"/>
      <c r="T794" s="245"/>
    </row>
    <row r="795">
      <c r="A795" s="245"/>
      <c r="B795" s="246"/>
      <c r="C795" s="246"/>
      <c r="D795" s="246"/>
      <c r="E795" s="109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7"/>
      <c r="T795" s="245"/>
    </row>
    <row r="796">
      <c r="A796" s="245"/>
      <c r="B796" s="246"/>
      <c r="C796" s="246"/>
      <c r="D796" s="246"/>
      <c r="E796" s="109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7"/>
      <c r="T796" s="245"/>
    </row>
    <row r="797">
      <c r="A797" s="245"/>
      <c r="B797" s="246"/>
      <c r="C797" s="246"/>
      <c r="D797" s="246"/>
      <c r="E797" s="109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7"/>
      <c r="T797" s="245"/>
    </row>
    <row r="798">
      <c r="A798" s="245"/>
      <c r="B798" s="246"/>
      <c r="C798" s="246"/>
      <c r="D798" s="246"/>
      <c r="E798" s="109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7"/>
      <c r="T798" s="245"/>
    </row>
    <row r="799">
      <c r="A799" s="245"/>
      <c r="B799" s="246"/>
      <c r="C799" s="246"/>
      <c r="D799" s="246"/>
      <c r="E799" s="109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7"/>
      <c r="T799" s="245"/>
    </row>
    <row r="800">
      <c r="A800" s="245"/>
      <c r="B800" s="246"/>
      <c r="C800" s="246"/>
      <c r="D800" s="246"/>
      <c r="E800" s="109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7"/>
      <c r="T800" s="245"/>
    </row>
    <row r="801">
      <c r="A801" s="245"/>
      <c r="B801" s="246"/>
      <c r="C801" s="246"/>
      <c r="D801" s="246"/>
      <c r="E801" s="109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7"/>
      <c r="T801" s="245"/>
    </row>
    <row r="802">
      <c r="A802" s="245"/>
      <c r="B802" s="246"/>
      <c r="C802" s="246"/>
      <c r="D802" s="246"/>
      <c r="E802" s="109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7"/>
      <c r="T802" s="245"/>
    </row>
    <row r="803">
      <c r="A803" s="245"/>
      <c r="B803" s="246"/>
      <c r="C803" s="246"/>
      <c r="D803" s="246"/>
      <c r="E803" s="109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7"/>
      <c r="T803" s="245"/>
    </row>
    <row r="804">
      <c r="A804" s="245"/>
      <c r="B804" s="246"/>
      <c r="C804" s="246"/>
      <c r="D804" s="246"/>
      <c r="E804" s="109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7"/>
      <c r="T804" s="245"/>
    </row>
    <row r="805">
      <c r="A805" s="245"/>
      <c r="B805" s="246"/>
      <c r="C805" s="246"/>
      <c r="D805" s="246"/>
      <c r="E805" s="109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7"/>
      <c r="T805" s="245"/>
    </row>
    <row r="806">
      <c r="A806" s="245"/>
      <c r="B806" s="246"/>
      <c r="C806" s="246"/>
      <c r="D806" s="246"/>
      <c r="E806" s="109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7"/>
      <c r="T806" s="245"/>
    </row>
    <row r="807">
      <c r="A807" s="245"/>
      <c r="B807" s="246"/>
      <c r="C807" s="246"/>
      <c r="D807" s="246"/>
      <c r="E807" s="109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7"/>
      <c r="T807" s="245"/>
    </row>
    <row r="808">
      <c r="A808" s="245"/>
      <c r="B808" s="246"/>
      <c r="C808" s="246"/>
      <c r="D808" s="246"/>
      <c r="E808" s="109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7"/>
      <c r="T808" s="245"/>
    </row>
    <row r="809">
      <c r="A809" s="245"/>
      <c r="B809" s="246"/>
      <c r="C809" s="246"/>
      <c r="D809" s="246"/>
      <c r="E809" s="109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7"/>
      <c r="T809" s="245"/>
    </row>
    <row r="810">
      <c r="A810" s="245"/>
      <c r="B810" s="246"/>
      <c r="C810" s="246"/>
      <c r="D810" s="246"/>
      <c r="E810" s="109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7"/>
      <c r="T810" s="245"/>
    </row>
    <row r="811">
      <c r="A811" s="245"/>
      <c r="B811" s="246"/>
      <c r="C811" s="246"/>
      <c r="D811" s="246"/>
      <c r="E811" s="109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7"/>
      <c r="T811" s="245"/>
    </row>
    <row r="812">
      <c r="A812" s="245"/>
      <c r="B812" s="246"/>
      <c r="C812" s="246"/>
      <c r="D812" s="246"/>
      <c r="E812" s="109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7"/>
      <c r="T812" s="245"/>
    </row>
    <row r="813">
      <c r="A813" s="245"/>
      <c r="B813" s="246"/>
      <c r="C813" s="246"/>
      <c r="D813" s="246"/>
      <c r="E813" s="109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7"/>
      <c r="T813" s="245"/>
    </row>
    <row r="814">
      <c r="A814" s="245"/>
      <c r="B814" s="246"/>
      <c r="C814" s="246"/>
      <c r="D814" s="246"/>
      <c r="E814" s="109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7"/>
      <c r="T814" s="245"/>
    </row>
    <row r="815">
      <c r="A815" s="245"/>
      <c r="B815" s="246"/>
      <c r="C815" s="246"/>
      <c r="D815" s="246"/>
      <c r="E815" s="109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7"/>
      <c r="T815" s="245"/>
    </row>
    <row r="816">
      <c r="A816" s="245"/>
      <c r="B816" s="246"/>
      <c r="C816" s="246"/>
      <c r="D816" s="246"/>
      <c r="E816" s="109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7"/>
      <c r="T816" s="245"/>
    </row>
    <row r="817">
      <c r="A817" s="245"/>
      <c r="B817" s="246"/>
      <c r="C817" s="246"/>
      <c r="D817" s="246"/>
      <c r="E817" s="109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7"/>
      <c r="T817" s="245"/>
    </row>
    <row r="818">
      <c r="A818" s="245"/>
      <c r="B818" s="246"/>
      <c r="C818" s="246"/>
      <c r="D818" s="246"/>
      <c r="E818" s="109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7"/>
      <c r="T818" s="245"/>
    </row>
    <row r="819">
      <c r="A819" s="245"/>
      <c r="B819" s="246"/>
      <c r="C819" s="246"/>
      <c r="D819" s="246"/>
      <c r="E819" s="109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7"/>
      <c r="T819" s="245"/>
    </row>
    <row r="820">
      <c r="A820" s="245"/>
      <c r="B820" s="246"/>
      <c r="C820" s="246"/>
      <c r="D820" s="246"/>
      <c r="E820" s="109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7"/>
      <c r="T820" s="245"/>
    </row>
    <row r="821">
      <c r="A821" s="245"/>
      <c r="B821" s="246"/>
      <c r="C821" s="246"/>
      <c r="D821" s="246"/>
      <c r="E821" s="109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7"/>
      <c r="T821" s="245"/>
    </row>
    <row r="822">
      <c r="A822" s="245"/>
      <c r="B822" s="246"/>
      <c r="C822" s="246"/>
      <c r="D822" s="246"/>
      <c r="E822" s="109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7"/>
      <c r="T822" s="245"/>
    </row>
    <row r="823">
      <c r="A823" s="245"/>
      <c r="B823" s="246"/>
      <c r="C823" s="246"/>
      <c r="D823" s="246"/>
      <c r="E823" s="109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7"/>
      <c r="T823" s="245"/>
    </row>
    <row r="824">
      <c r="A824" s="245"/>
      <c r="B824" s="246"/>
      <c r="C824" s="246"/>
      <c r="D824" s="246"/>
      <c r="E824" s="109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7"/>
      <c r="T824" s="245"/>
    </row>
    <row r="825">
      <c r="A825" s="245"/>
      <c r="B825" s="246"/>
      <c r="C825" s="246"/>
      <c r="D825" s="246"/>
      <c r="E825" s="109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7"/>
      <c r="T825" s="245"/>
    </row>
    <row r="826">
      <c r="A826" s="245"/>
      <c r="B826" s="246"/>
      <c r="C826" s="246"/>
      <c r="D826" s="246"/>
      <c r="E826" s="109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7"/>
      <c r="T826" s="245"/>
    </row>
    <row r="827">
      <c r="A827" s="245"/>
      <c r="B827" s="246"/>
      <c r="C827" s="246"/>
      <c r="D827" s="246"/>
      <c r="E827" s="109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7"/>
      <c r="T827" s="245"/>
    </row>
    <row r="828">
      <c r="A828" s="245"/>
      <c r="B828" s="246"/>
      <c r="C828" s="246"/>
      <c r="D828" s="246"/>
      <c r="E828" s="109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7"/>
      <c r="T828" s="245"/>
    </row>
    <row r="829">
      <c r="A829" s="245"/>
      <c r="B829" s="246"/>
      <c r="C829" s="246"/>
      <c r="D829" s="246"/>
      <c r="E829" s="109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7"/>
      <c r="T829" s="245"/>
    </row>
    <row r="830">
      <c r="A830" s="245"/>
      <c r="B830" s="246"/>
      <c r="C830" s="246"/>
      <c r="D830" s="246"/>
      <c r="E830" s="109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7"/>
      <c r="T830" s="245"/>
    </row>
    <row r="831">
      <c r="A831" s="245"/>
      <c r="B831" s="246"/>
      <c r="C831" s="246"/>
      <c r="D831" s="246"/>
      <c r="E831" s="109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7"/>
      <c r="T831" s="245"/>
    </row>
    <row r="832">
      <c r="A832" s="245"/>
      <c r="B832" s="246"/>
      <c r="C832" s="246"/>
      <c r="D832" s="246"/>
      <c r="E832" s="109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7"/>
      <c r="T832" s="245"/>
    </row>
    <row r="833">
      <c r="A833" s="245"/>
      <c r="B833" s="246"/>
      <c r="C833" s="246"/>
      <c r="D833" s="246"/>
      <c r="E833" s="109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7"/>
      <c r="T833" s="245"/>
    </row>
    <row r="834">
      <c r="A834" s="245"/>
      <c r="B834" s="246"/>
      <c r="C834" s="246"/>
      <c r="D834" s="246"/>
      <c r="E834" s="109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7"/>
      <c r="T834" s="245"/>
    </row>
    <row r="835">
      <c r="A835" s="245"/>
      <c r="B835" s="246"/>
      <c r="C835" s="246"/>
      <c r="D835" s="246"/>
      <c r="E835" s="109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7"/>
      <c r="T835" s="245"/>
    </row>
    <row r="836">
      <c r="A836" s="245"/>
      <c r="B836" s="246"/>
      <c r="C836" s="246"/>
      <c r="D836" s="246"/>
      <c r="E836" s="109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7"/>
      <c r="T836" s="245"/>
    </row>
    <row r="837">
      <c r="A837" s="245"/>
      <c r="B837" s="246"/>
      <c r="C837" s="246"/>
      <c r="D837" s="246"/>
      <c r="E837" s="109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7"/>
      <c r="T837" s="245"/>
    </row>
    <row r="838">
      <c r="A838" s="245"/>
      <c r="B838" s="246"/>
      <c r="C838" s="246"/>
      <c r="D838" s="246"/>
      <c r="E838" s="109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7"/>
      <c r="T838" s="245"/>
    </row>
    <row r="839">
      <c r="A839" s="245"/>
      <c r="B839" s="246"/>
      <c r="C839" s="246"/>
      <c r="D839" s="246"/>
      <c r="E839" s="109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7"/>
      <c r="T839" s="245"/>
    </row>
    <row r="840">
      <c r="A840" s="245"/>
      <c r="B840" s="246"/>
      <c r="C840" s="246"/>
      <c r="D840" s="246"/>
      <c r="E840" s="109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7"/>
      <c r="T840" s="245"/>
    </row>
    <row r="841">
      <c r="A841" s="245"/>
      <c r="B841" s="246"/>
      <c r="C841" s="246"/>
      <c r="D841" s="246"/>
      <c r="E841" s="109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7"/>
      <c r="T841" s="245"/>
    </row>
    <row r="842">
      <c r="A842" s="245"/>
      <c r="B842" s="246"/>
      <c r="C842" s="246"/>
      <c r="D842" s="246"/>
      <c r="E842" s="109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7"/>
      <c r="T842" s="245"/>
    </row>
    <row r="843">
      <c r="A843" s="245"/>
      <c r="B843" s="246"/>
      <c r="C843" s="246"/>
      <c r="D843" s="246"/>
      <c r="E843" s="109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7"/>
      <c r="T843" s="245"/>
    </row>
    <row r="844">
      <c r="A844" s="245"/>
      <c r="B844" s="246"/>
      <c r="C844" s="246"/>
      <c r="D844" s="246"/>
      <c r="E844" s="109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7"/>
      <c r="T844" s="245"/>
    </row>
    <row r="845">
      <c r="A845" s="245"/>
      <c r="B845" s="246"/>
      <c r="C845" s="246"/>
      <c r="D845" s="246"/>
      <c r="E845" s="109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7"/>
      <c r="T845" s="245"/>
    </row>
    <row r="846">
      <c r="A846" s="245"/>
      <c r="B846" s="246"/>
      <c r="C846" s="246"/>
      <c r="D846" s="246"/>
      <c r="E846" s="109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7"/>
      <c r="T846" s="245"/>
    </row>
    <row r="847">
      <c r="A847" s="245"/>
      <c r="B847" s="246"/>
      <c r="C847" s="246"/>
      <c r="D847" s="246"/>
      <c r="E847" s="109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7"/>
      <c r="T847" s="245"/>
    </row>
    <row r="848">
      <c r="A848" s="245"/>
      <c r="B848" s="246"/>
      <c r="C848" s="246"/>
      <c r="D848" s="246"/>
      <c r="E848" s="109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7"/>
      <c r="T848" s="245"/>
    </row>
    <row r="849">
      <c r="A849" s="245"/>
      <c r="B849" s="246"/>
      <c r="C849" s="246"/>
      <c r="D849" s="246"/>
      <c r="E849" s="109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7"/>
      <c r="T849" s="245"/>
    </row>
    <row r="850">
      <c r="A850" s="245"/>
      <c r="B850" s="246"/>
      <c r="C850" s="246"/>
      <c r="D850" s="246"/>
      <c r="E850" s="109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7"/>
      <c r="T850" s="245"/>
    </row>
    <row r="851">
      <c r="A851" s="245"/>
      <c r="B851" s="246"/>
      <c r="C851" s="246"/>
      <c r="D851" s="246"/>
      <c r="E851" s="109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7"/>
      <c r="T851" s="245"/>
    </row>
    <row r="852">
      <c r="A852" s="245"/>
      <c r="B852" s="246"/>
      <c r="C852" s="246"/>
      <c r="D852" s="246"/>
      <c r="E852" s="109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7"/>
      <c r="T852" s="245"/>
    </row>
    <row r="853">
      <c r="A853" s="245"/>
      <c r="B853" s="246"/>
      <c r="C853" s="246"/>
      <c r="D853" s="246"/>
      <c r="E853" s="109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7"/>
      <c r="T853" s="245"/>
    </row>
    <row r="854">
      <c r="A854" s="245"/>
      <c r="B854" s="246"/>
      <c r="C854" s="246"/>
      <c r="D854" s="246"/>
      <c r="E854" s="109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7"/>
      <c r="T854" s="245"/>
    </row>
    <row r="855">
      <c r="A855" s="245"/>
      <c r="B855" s="246"/>
      <c r="C855" s="246"/>
      <c r="D855" s="246"/>
      <c r="E855" s="109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7"/>
      <c r="T855" s="245"/>
    </row>
    <row r="856">
      <c r="A856" s="245"/>
      <c r="B856" s="246"/>
      <c r="C856" s="246"/>
      <c r="D856" s="246"/>
      <c r="E856" s="109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7"/>
      <c r="T856" s="245"/>
    </row>
    <row r="857">
      <c r="A857" s="245"/>
      <c r="B857" s="246"/>
      <c r="C857" s="246"/>
      <c r="D857" s="246"/>
      <c r="E857" s="109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7"/>
      <c r="T857" s="245"/>
    </row>
    <row r="858">
      <c r="A858" s="245"/>
      <c r="B858" s="246"/>
      <c r="C858" s="246"/>
      <c r="D858" s="246"/>
      <c r="E858" s="109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7"/>
      <c r="T858" s="245"/>
    </row>
    <row r="859">
      <c r="A859" s="245"/>
      <c r="B859" s="246"/>
      <c r="C859" s="246"/>
      <c r="D859" s="246"/>
      <c r="E859" s="109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7"/>
      <c r="T859" s="245"/>
    </row>
    <row r="860">
      <c r="A860" s="245"/>
      <c r="B860" s="246"/>
      <c r="C860" s="246"/>
      <c r="D860" s="246"/>
      <c r="E860" s="109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7"/>
      <c r="T860" s="245"/>
    </row>
    <row r="861">
      <c r="A861" s="245"/>
      <c r="B861" s="246"/>
      <c r="C861" s="246"/>
      <c r="D861" s="246"/>
      <c r="E861" s="109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7"/>
      <c r="T861" s="245"/>
    </row>
    <row r="862">
      <c r="A862" s="245"/>
      <c r="B862" s="246"/>
      <c r="C862" s="246"/>
      <c r="D862" s="246"/>
      <c r="E862" s="109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7"/>
      <c r="T862" s="245"/>
    </row>
    <row r="863">
      <c r="A863" s="245"/>
      <c r="B863" s="246"/>
      <c r="C863" s="246"/>
      <c r="D863" s="246"/>
      <c r="E863" s="109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7"/>
      <c r="T863" s="245"/>
    </row>
    <row r="864">
      <c r="A864" s="245"/>
      <c r="B864" s="246"/>
      <c r="C864" s="246"/>
      <c r="D864" s="246"/>
      <c r="E864" s="109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7"/>
      <c r="T864" s="245"/>
    </row>
    <row r="865">
      <c r="A865" s="245"/>
      <c r="B865" s="246"/>
      <c r="C865" s="246"/>
      <c r="D865" s="246"/>
      <c r="E865" s="109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7"/>
      <c r="T865" s="245"/>
    </row>
    <row r="866">
      <c r="A866" s="245"/>
      <c r="B866" s="246"/>
      <c r="C866" s="246"/>
      <c r="D866" s="246"/>
      <c r="E866" s="109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7"/>
      <c r="T866" s="245"/>
    </row>
    <row r="867">
      <c r="A867" s="245"/>
      <c r="B867" s="246"/>
      <c r="C867" s="246"/>
      <c r="D867" s="246"/>
      <c r="E867" s="109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7"/>
      <c r="T867" s="245"/>
    </row>
    <row r="868">
      <c r="A868" s="245"/>
      <c r="B868" s="246"/>
      <c r="C868" s="246"/>
      <c r="D868" s="246"/>
      <c r="E868" s="109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7"/>
      <c r="T868" s="245"/>
    </row>
    <row r="869">
      <c r="A869" s="245"/>
      <c r="B869" s="246"/>
      <c r="C869" s="246"/>
      <c r="D869" s="246"/>
      <c r="E869" s="109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7"/>
      <c r="T869" s="245"/>
    </row>
    <row r="870">
      <c r="A870" s="245"/>
      <c r="B870" s="246"/>
      <c r="C870" s="246"/>
      <c r="D870" s="246"/>
      <c r="E870" s="109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7"/>
      <c r="T870" s="245"/>
    </row>
    <row r="871">
      <c r="A871" s="245"/>
      <c r="B871" s="246"/>
      <c r="C871" s="246"/>
      <c r="D871" s="246"/>
      <c r="E871" s="109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7"/>
      <c r="T871" s="245"/>
    </row>
    <row r="872">
      <c r="A872" s="245"/>
      <c r="B872" s="246"/>
      <c r="C872" s="246"/>
      <c r="D872" s="246"/>
      <c r="E872" s="109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7"/>
      <c r="T872" s="245"/>
    </row>
    <row r="873">
      <c r="A873" s="245"/>
      <c r="B873" s="246"/>
      <c r="C873" s="246"/>
      <c r="D873" s="246"/>
      <c r="E873" s="109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7"/>
      <c r="T873" s="245"/>
    </row>
    <row r="874">
      <c r="A874" s="245"/>
      <c r="B874" s="246"/>
      <c r="C874" s="246"/>
      <c r="D874" s="246"/>
      <c r="E874" s="109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7"/>
      <c r="T874" s="245"/>
    </row>
    <row r="875">
      <c r="A875" s="245"/>
      <c r="B875" s="246"/>
      <c r="C875" s="246"/>
      <c r="D875" s="246"/>
      <c r="E875" s="109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7"/>
      <c r="T875" s="245"/>
    </row>
    <row r="876">
      <c r="A876" s="245"/>
      <c r="B876" s="246"/>
      <c r="C876" s="246"/>
      <c r="D876" s="246"/>
      <c r="E876" s="109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7"/>
      <c r="T876" s="245"/>
    </row>
    <row r="877">
      <c r="A877" s="245"/>
      <c r="B877" s="246"/>
      <c r="C877" s="246"/>
      <c r="D877" s="246"/>
      <c r="E877" s="109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7"/>
      <c r="T877" s="245"/>
    </row>
    <row r="878">
      <c r="A878" s="245"/>
      <c r="B878" s="246"/>
      <c r="C878" s="246"/>
      <c r="D878" s="246"/>
      <c r="E878" s="109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7"/>
      <c r="T878" s="245"/>
    </row>
    <row r="879">
      <c r="A879" s="245"/>
      <c r="B879" s="246"/>
      <c r="C879" s="246"/>
      <c r="D879" s="246"/>
      <c r="E879" s="109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7"/>
      <c r="T879" s="245"/>
    </row>
    <row r="880">
      <c r="A880" s="245"/>
      <c r="B880" s="246"/>
      <c r="C880" s="246"/>
      <c r="D880" s="246"/>
      <c r="E880" s="109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7"/>
      <c r="T880" s="245"/>
    </row>
    <row r="881">
      <c r="A881" s="245"/>
      <c r="B881" s="246"/>
      <c r="C881" s="246"/>
      <c r="D881" s="246"/>
      <c r="E881" s="109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7"/>
      <c r="T881" s="245"/>
    </row>
    <row r="882">
      <c r="A882" s="245"/>
      <c r="B882" s="246"/>
      <c r="C882" s="246"/>
      <c r="D882" s="246"/>
      <c r="E882" s="109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7"/>
      <c r="T882" s="245"/>
    </row>
    <row r="883">
      <c r="A883" s="245"/>
      <c r="B883" s="246"/>
      <c r="C883" s="246"/>
      <c r="D883" s="246"/>
      <c r="E883" s="109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7"/>
      <c r="T883" s="245"/>
    </row>
    <row r="884">
      <c r="A884" s="245"/>
      <c r="B884" s="246"/>
      <c r="C884" s="246"/>
      <c r="D884" s="246"/>
      <c r="E884" s="109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7"/>
      <c r="T884" s="245"/>
    </row>
    <row r="885">
      <c r="A885" s="245"/>
      <c r="B885" s="246"/>
      <c r="C885" s="246"/>
      <c r="D885" s="246"/>
      <c r="E885" s="109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7"/>
      <c r="T885" s="245"/>
    </row>
    <row r="886">
      <c r="A886" s="245"/>
      <c r="B886" s="246"/>
      <c r="C886" s="246"/>
      <c r="D886" s="246"/>
      <c r="E886" s="109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7"/>
      <c r="T886" s="245"/>
    </row>
    <row r="887">
      <c r="A887" s="245"/>
      <c r="B887" s="246"/>
      <c r="C887" s="246"/>
      <c r="D887" s="246"/>
      <c r="E887" s="109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7"/>
      <c r="T887" s="245"/>
    </row>
    <row r="888">
      <c r="A888" s="245"/>
      <c r="B888" s="246"/>
      <c r="C888" s="246"/>
      <c r="D888" s="246"/>
      <c r="E888" s="109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7"/>
      <c r="T888" s="245"/>
    </row>
    <row r="889">
      <c r="A889" s="245"/>
      <c r="B889" s="246"/>
      <c r="C889" s="246"/>
      <c r="D889" s="246"/>
      <c r="E889" s="109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7"/>
      <c r="T889" s="245"/>
    </row>
    <row r="890">
      <c r="A890" s="245"/>
      <c r="B890" s="246"/>
      <c r="C890" s="246"/>
      <c r="D890" s="246"/>
      <c r="E890" s="109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7"/>
      <c r="T890" s="245"/>
    </row>
    <row r="891">
      <c r="A891" s="245"/>
      <c r="B891" s="246"/>
      <c r="C891" s="246"/>
      <c r="D891" s="246"/>
      <c r="E891" s="109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7"/>
      <c r="T891" s="245"/>
    </row>
    <row r="892">
      <c r="A892" s="245"/>
      <c r="B892" s="246"/>
      <c r="C892" s="246"/>
      <c r="D892" s="246"/>
      <c r="E892" s="109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7"/>
      <c r="T892" s="245"/>
    </row>
    <row r="893">
      <c r="A893" s="245"/>
      <c r="B893" s="246"/>
      <c r="C893" s="246"/>
      <c r="D893" s="246"/>
      <c r="E893" s="109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7"/>
      <c r="T893" s="245"/>
    </row>
    <row r="894">
      <c r="A894" s="245"/>
      <c r="B894" s="246"/>
      <c r="C894" s="246"/>
      <c r="D894" s="246"/>
      <c r="E894" s="109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7"/>
      <c r="T894" s="245"/>
    </row>
    <row r="895">
      <c r="A895" s="245"/>
      <c r="B895" s="246"/>
      <c r="C895" s="246"/>
      <c r="D895" s="246"/>
      <c r="E895" s="109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7"/>
      <c r="T895" s="245"/>
    </row>
    <row r="896">
      <c r="A896" s="245"/>
      <c r="B896" s="246"/>
      <c r="C896" s="246"/>
      <c r="D896" s="246"/>
      <c r="E896" s="109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7"/>
      <c r="T896" s="245"/>
    </row>
    <row r="897">
      <c r="A897" s="245"/>
      <c r="B897" s="246"/>
      <c r="C897" s="246"/>
      <c r="D897" s="246"/>
      <c r="E897" s="109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7"/>
      <c r="T897" s="245"/>
    </row>
    <row r="898">
      <c r="A898" s="245"/>
      <c r="B898" s="246"/>
      <c r="C898" s="246"/>
      <c r="D898" s="246"/>
      <c r="E898" s="109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7"/>
      <c r="T898" s="245"/>
    </row>
    <row r="899">
      <c r="A899" s="245"/>
      <c r="B899" s="246"/>
      <c r="C899" s="246"/>
      <c r="D899" s="246"/>
      <c r="E899" s="109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7"/>
      <c r="T899" s="245"/>
    </row>
    <row r="900">
      <c r="A900" s="245"/>
      <c r="B900" s="246"/>
      <c r="C900" s="246"/>
      <c r="D900" s="246"/>
      <c r="E900" s="109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7"/>
      <c r="T900" s="245"/>
    </row>
    <row r="901">
      <c r="A901" s="245"/>
      <c r="B901" s="246"/>
      <c r="C901" s="246"/>
      <c r="D901" s="246"/>
      <c r="E901" s="109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7"/>
      <c r="T901" s="245"/>
    </row>
    <row r="902">
      <c r="A902" s="245"/>
      <c r="B902" s="246"/>
      <c r="C902" s="246"/>
      <c r="D902" s="246"/>
      <c r="E902" s="109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7"/>
      <c r="T902" s="245"/>
    </row>
    <row r="903">
      <c r="A903" s="245"/>
      <c r="B903" s="246"/>
      <c r="C903" s="246"/>
      <c r="D903" s="246"/>
      <c r="E903" s="109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7"/>
      <c r="T903" s="245"/>
    </row>
    <row r="904">
      <c r="A904" s="245"/>
      <c r="B904" s="246"/>
      <c r="C904" s="246"/>
      <c r="D904" s="246"/>
      <c r="E904" s="109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7"/>
      <c r="T904" s="245"/>
    </row>
    <row r="905">
      <c r="A905" s="245"/>
      <c r="B905" s="246"/>
      <c r="C905" s="246"/>
      <c r="D905" s="246"/>
      <c r="E905" s="109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7"/>
      <c r="T905" s="245"/>
    </row>
    <row r="906">
      <c r="A906" s="245"/>
      <c r="B906" s="246"/>
      <c r="C906" s="246"/>
      <c r="D906" s="246"/>
      <c r="E906" s="109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7"/>
      <c r="T906" s="245"/>
    </row>
    <row r="907">
      <c r="A907" s="245"/>
      <c r="B907" s="246"/>
      <c r="C907" s="246"/>
      <c r="D907" s="246"/>
      <c r="E907" s="109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7"/>
      <c r="T907" s="245"/>
    </row>
    <row r="908">
      <c r="A908" s="245"/>
      <c r="B908" s="246"/>
      <c r="C908" s="246"/>
      <c r="D908" s="246"/>
      <c r="E908" s="109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7"/>
      <c r="T908" s="245"/>
    </row>
    <row r="909">
      <c r="A909" s="245"/>
      <c r="B909" s="246"/>
      <c r="C909" s="246"/>
      <c r="D909" s="246"/>
      <c r="E909" s="109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7"/>
      <c r="T909" s="245"/>
    </row>
    <row r="910">
      <c r="A910" s="245"/>
      <c r="B910" s="246"/>
      <c r="C910" s="246"/>
      <c r="D910" s="246"/>
      <c r="E910" s="109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7"/>
      <c r="T910" s="245"/>
    </row>
    <row r="911">
      <c r="A911" s="245"/>
      <c r="B911" s="246"/>
      <c r="C911" s="246"/>
      <c r="D911" s="246"/>
      <c r="E911" s="109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7"/>
      <c r="T911" s="245"/>
    </row>
    <row r="912">
      <c r="A912" s="245"/>
      <c r="B912" s="246"/>
      <c r="C912" s="246"/>
      <c r="D912" s="246"/>
      <c r="E912" s="109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7"/>
      <c r="T912" s="245"/>
    </row>
    <row r="913">
      <c r="A913" s="245"/>
      <c r="B913" s="246"/>
      <c r="C913" s="246"/>
      <c r="D913" s="246"/>
      <c r="E913" s="109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7"/>
      <c r="T913" s="245"/>
    </row>
    <row r="914">
      <c r="A914" s="245"/>
      <c r="B914" s="246"/>
      <c r="C914" s="246"/>
      <c r="D914" s="246"/>
      <c r="E914" s="109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7"/>
      <c r="T914" s="245"/>
    </row>
    <row r="915">
      <c r="A915" s="245"/>
      <c r="B915" s="246"/>
      <c r="C915" s="246"/>
      <c r="D915" s="246"/>
      <c r="E915" s="109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7"/>
      <c r="T915" s="245"/>
    </row>
    <row r="916">
      <c r="A916" s="245"/>
      <c r="B916" s="246"/>
      <c r="C916" s="246"/>
      <c r="D916" s="246"/>
      <c r="E916" s="109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7"/>
      <c r="T916" s="245"/>
    </row>
    <row r="917">
      <c r="A917" s="245"/>
      <c r="B917" s="246"/>
      <c r="C917" s="246"/>
      <c r="D917" s="246"/>
      <c r="E917" s="109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7"/>
      <c r="T917" s="245"/>
    </row>
    <row r="918">
      <c r="A918" s="245"/>
      <c r="B918" s="246"/>
      <c r="C918" s="246"/>
      <c r="D918" s="246"/>
      <c r="E918" s="109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7"/>
      <c r="T918" s="245"/>
    </row>
    <row r="919">
      <c r="A919" s="245"/>
      <c r="B919" s="246"/>
      <c r="C919" s="246"/>
      <c r="D919" s="246"/>
      <c r="E919" s="109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7"/>
      <c r="T919" s="245"/>
    </row>
    <row r="920">
      <c r="A920" s="245"/>
      <c r="B920" s="246"/>
      <c r="C920" s="246"/>
      <c r="D920" s="246"/>
      <c r="E920" s="109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7"/>
      <c r="T920" s="245"/>
    </row>
    <row r="921">
      <c r="A921" s="245"/>
      <c r="B921" s="246"/>
      <c r="C921" s="246"/>
      <c r="D921" s="246"/>
      <c r="E921" s="109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7"/>
      <c r="T921" s="245"/>
    </row>
    <row r="922">
      <c r="A922" s="245"/>
      <c r="B922" s="246"/>
      <c r="C922" s="246"/>
      <c r="D922" s="246"/>
      <c r="E922" s="109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7"/>
      <c r="T922" s="245"/>
    </row>
    <row r="923">
      <c r="A923" s="245"/>
      <c r="B923" s="246"/>
      <c r="C923" s="246"/>
      <c r="D923" s="246"/>
      <c r="E923" s="109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7"/>
      <c r="T923" s="245"/>
    </row>
    <row r="924">
      <c r="A924" s="245"/>
      <c r="B924" s="246"/>
      <c r="C924" s="246"/>
      <c r="D924" s="246"/>
      <c r="E924" s="109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7"/>
      <c r="T924" s="245"/>
    </row>
    <row r="925">
      <c r="A925" s="245"/>
      <c r="B925" s="246"/>
      <c r="C925" s="246"/>
      <c r="D925" s="246"/>
      <c r="E925" s="109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7"/>
      <c r="T925" s="245"/>
    </row>
    <row r="926">
      <c r="A926" s="245"/>
      <c r="B926" s="246"/>
      <c r="C926" s="246"/>
      <c r="D926" s="246"/>
      <c r="E926" s="109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7"/>
      <c r="T926" s="245"/>
    </row>
    <row r="927">
      <c r="A927" s="245"/>
      <c r="B927" s="246"/>
      <c r="C927" s="246"/>
      <c r="D927" s="246"/>
      <c r="E927" s="109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7"/>
      <c r="T927" s="245"/>
    </row>
    <row r="928">
      <c r="A928" s="245"/>
      <c r="B928" s="246"/>
      <c r="C928" s="246"/>
      <c r="D928" s="246"/>
      <c r="E928" s="109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7"/>
      <c r="T928" s="245"/>
    </row>
    <row r="929">
      <c r="A929" s="245"/>
      <c r="B929" s="246"/>
      <c r="C929" s="246"/>
      <c r="D929" s="246"/>
      <c r="E929" s="109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7"/>
      <c r="T929" s="245"/>
    </row>
    <row r="930">
      <c r="A930" s="245"/>
      <c r="B930" s="246"/>
      <c r="C930" s="246"/>
      <c r="D930" s="246"/>
      <c r="E930" s="109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7"/>
      <c r="T930" s="245"/>
    </row>
    <row r="931">
      <c r="A931" s="245"/>
      <c r="B931" s="246"/>
      <c r="C931" s="246"/>
      <c r="D931" s="246"/>
      <c r="E931" s="109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7"/>
      <c r="T931" s="245"/>
    </row>
    <row r="932">
      <c r="A932" s="245"/>
      <c r="B932" s="246"/>
      <c r="C932" s="246"/>
      <c r="D932" s="246"/>
      <c r="E932" s="109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7"/>
      <c r="T932" s="245"/>
    </row>
    <row r="933">
      <c r="A933" s="245"/>
      <c r="B933" s="246"/>
      <c r="C933" s="246"/>
      <c r="D933" s="246"/>
      <c r="E933" s="109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7"/>
      <c r="T933" s="245"/>
    </row>
    <row r="934">
      <c r="A934" s="245"/>
      <c r="B934" s="246"/>
      <c r="C934" s="246"/>
      <c r="D934" s="246"/>
      <c r="E934" s="109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7"/>
      <c r="T934" s="245"/>
    </row>
    <row r="935">
      <c r="A935" s="245"/>
      <c r="B935" s="246"/>
      <c r="C935" s="246"/>
      <c r="D935" s="246"/>
      <c r="E935" s="109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7"/>
      <c r="T935" s="245"/>
    </row>
    <row r="936">
      <c r="A936" s="245"/>
      <c r="B936" s="246"/>
      <c r="C936" s="246"/>
      <c r="D936" s="246"/>
      <c r="E936" s="109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7"/>
      <c r="T936" s="245"/>
    </row>
    <row r="937">
      <c r="A937" s="245"/>
      <c r="B937" s="246"/>
      <c r="C937" s="246"/>
      <c r="D937" s="246"/>
      <c r="E937" s="109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7"/>
      <c r="T937" s="245"/>
    </row>
    <row r="938">
      <c r="A938" s="245"/>
      <c r="B938" s="246"/>
      <c r="C938" s="246"/>
      <c r="D938" s="246"/>
      <c r="E938" s="109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7"/>
      <c r="T938" s="245"/>
    </row>
    <row r="939">
      <c r="A939" s="245"/>
      <c r="B939" s="246"/>
      <c r="C939" s="246"/>
      <c r="D939" s="246"/>
      <c r="E939" s="109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7"/>
      <c r="T939" s="245"/>
    </row>
    <row r="940">
      <c r="A940" s="245"/>
      <c r="B940" s="246"/>
      <c r="C940" s="246"/>
      <c r="D940" s="246"/>
      <c r="E940" s="109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7"/>
      <c r="T940" s="245"/>
    </row>
    <row r="941">
      <c r="A941" s="245"/>
      <c r="B941" s="246"/>
      <c r="C941" s="246"/>
      <c r="D941" s="246"/>
      <c r="E941" s="109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7"/>
      <c r="T941" s="245"/>
    </row>
    <row r="942">
      <c r="A942" s="245"/>
      <c r="B942" s="246"/>
      <c r="C942" s="246"/>
      <c r="D942" s="246"/>
      <c r="E942" s="109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7"/>
      <c r="T942" s="245"/>
    </row>
    <row r="943">
      <c r="A943" s="245"/>
      <c r="B943" s="246"/>
      <c r="C943" s="246"/>
      <c r="D943" s="246"/>
      <c r="E943" s="109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7"/>
      <c r="T943" s="245"/>
    </row>
    <row r="944">
      <c r="A944" s="245"/>
      <c r="B944" s="246"/>
      <c r="C944" s="246"/>
      <c r="D944" s="246"/>
      <c r="E944" s="109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7"/>
      <c r="T944" s="245"/>
    </row>
    <row r="945">
      <c r="A945" s="245"/>
      <c r="B945" s="246"/>
      <c r="C945" s="246"/>
      <c r="D945" s="246"/>
      <c r="E945" s="109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7"/>
      <c r="T945" s="245"/>
    </row>
    <row r="946">
      <c r="A946" s="245"/>
      <c r="B946" s="246"/>
      <c r="C946" s="246"/>
      <c r="D946" s="246"/>
      <c r="E946" s="109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7"/>
      <c r="T946" s="245"/>
    </row>
    <row r="947">
      <c r="A947" s="245"/>
      <c r="B947" s="246"/>
      <c r="C947" s="246"/>
      <c r="D947" s="246"/>
      <c r="E947" s="109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7"/>
      <c r="T947" s="245"/>
    </row>
    <row r="948">
      <c r="A948" s="245"/>
      <c r="B948" s="246"/>
      <c r="C948" s="246"/>
      <c r="D948" s="246"/>
      <c r="E948" s="109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7"/>
      <c r="T948" s="245"/>
    </row>
    <row r="949">
      <c r="A949" s="245"/>
      <c r="B949" s="246"/>
      <c r="C949" s="246"/>
      <c r="D949" s="246"/>
      <c r="E949" s="109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7"/>
      <c r="T949" s="245"/>
    </row>
    <row r="950">
      <c r="A950" s="245"/>
      <c r="B950" s="246"/>
      <c r="C950" s="246"/>
      <c r="D950" s="246"/>
      <c r="E950" s="109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7"/>
      <c r="T950" s="245"/>
    </row>
    <row r="951">
      <c r="A951" s="245"/>
      <c r="B951" s="246"/>
      <c r="C951" s="246"/>
      <c r="D951" s="246"/>
      <c r="E951" s="109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7"/>
      <c r="T951" s="245"/>
    </row>
    <row r="952">
      <c r="A952" s="245"/>
      <c r="B952" s="246"/>
      <c r="C952" s="246"/>
      <c r="D952" s="246"/>
      <c r="E952" s="109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7"/>
      <c r="T952" s="245"/>
    </row>
    <row r="953">
      <c r="A953" s="245"/>
      <c r="B953" s="246"/>
      <c r="C953" s="246"/>
      <c r="D953" s="246"/>
      <c r="E953" s="109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7"/>
      <c r="T953" s="245"/>
    </row>
    <row r="954">
      <c r="A954" s="245"/>
      <c r="B954" s="246"/>
      <c r="C954" s="246"/>
      <c r="D954" s="246"/>
      <c r="E954" s="109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7"/>
      <c r="T954" s="245"/>
    </row>
    <row r="955">
      <c r="A955" s="245"/>
      <c r="B955" s="246"/>
      <c r="C955" s="246"/>
      <c r="D955" s="246"/>
      <c r="E955" s="109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7"/>
      <c r="T955" s="245"/>
    </row>
    <row r="956">
      <c r="A956" s="245"/>
      <c r="B956" s="246"/>
      <c r="C956" s="246"/>
      <c r="D956" s="246"/>
      <c r="E956" s="109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7"/>
      <c r="T956" s="245"/>
    </row>
    <row r="957">
      <c r="A957" s="245"/>
      <c r="B957" s="246"/>
      <c r="C957" s="246"/>
      <c r="D957" s="246"/>
      <c r="E957" s="109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7"/>
      <c r="T957" s="245"/>
    </row>
    <row r="958">
      <c r="A958" s="245"/>
      <c r="B958" s="246"/>
      <c r="C958" s="246"/>
      <c r="D958" s="246"/>
      <c r="E958" s="109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7"/>
      <c r="T958" s="245"/>
    </row>
    <row r="959">
      <c r="A959" s="245"/>
      <c r="B959" s="246"/>
      <c r="C959" s="246"/>
      <c r="D959" s="246"/>
      <c r="E959" s="109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7"/>
      <c r="T959" s="245"/>
    </row>
    <row r="960">
      <c r="A960" s="245"/>
      <c r="B960" s="246"/>
      <c r="C960" s="246"/>
      <c r="D960" s="246"/>
      <c r="E960" s="109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7"/>
      <c r="T960" s="245"/>
    </row>
    <row r="961">
      <c r="A961" s="245"/>
      <c r="B961" s="246"/>
      <c r="C961" s="246"/>
      <c r="D961" s="246"/>
      <c r="E961" s="109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7"/>
      <c r="T961" s="245"/>
    </row>
    <row r="962">
      <c r="A962" s="245"/>
      <c r="B962" s="246"/>
      <c r="C962" s="246"/>
      <c r="D962" s="246"/>
      <c r="E962" s="109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7"/>
      <c r="T962" s="245"/>
    </row>
    <row r="963">
      <c r="A963" s="245"/>
      <c r="B963" s="246"/>
      <c r="C963" s="246"/>
      <c r="D963" s="246"/>
      <c r="E963" s="109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7"/>
      <c r="T963" s="245"/>
    </row>
    <row r="964">
      <c r="A964" s="245"/>
      <c r="B964" s="246"/>
      <c r="C964" s="246"/>
      <c r="D964" s="246"/>
      <c r="E964" s="109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7"/>
      <c r="T964" s="245"/>
    </row>
    <row r="965">
      <c r="A965" s="245"/>
      <c r="B965" s="246"/>
      <c r="C965" s="246"/>
      <c r="D965" s="246"/>
      <c r="E965" s="109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7"/>
      <c r="T965" s="245"/>
    </row>
    <row r="966">
      <c r="A966" s="245"/>
      <c r="B966" s="246"/>
      <c r="C966" s="246"/>
      <c r="D966" s="246"/>
      <c r="E966" s="109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7"/>
      <c r="T966" s="245"/>
    </row>
    <row r="967">
      <c r="A967" s="245"/>
      <c r="B967" s="246"/>
      <c r="C967" s="246"/>
      <c r="D967" s="246"/>
      <c r="E967" s="109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7"/>
      <c r="T967" s="245"/>
    </row>
    <row r="968">
      <c r="A968" s="245"/>
      <c r="B968" s="246"/>
      <c r="C968" s="246"/>
      <c r="D968" s="246"/>
      <c r="E968" s="109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7"/>
      <c r="T968" s="245"/>
    </row>
    <row r="969">
      <c r="A969" s="245"/>
      <c r="B969" s="246"/>
      <c r="C969" s="246"/>
      <c r="D969" s="246"/>
      <c r="E969" s="109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7"/>
      <c r="T969" s="245"/>
    </row>
    <row r="970">
      <c r="A970" s="245"/>
      <c r="B970" s="246"/>
      <c r="C970" s="246"/>
      <c r="D970" s="246"/>
      <c r="E970" s="109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7"/>
      <c r="T970" s="245"/>
    </row>
    <row r="971">
      <c r="A971" s="245"/>
      <c r="B971" s="246"/>
      <c r="C971" s="246"/>
      <c r="D971" s="246"/>
      <c r="E971" s="109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7"/>
      <c r="T971" s="245"/>
    </row>
    <row r="972">
      <c r="A972" s="245"/>
      <c r="B972" s="246"/>
      <c r="C972" s="246"/>
      <c r="D972" s="246"/>
      <c r="E972" s="109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7"/>
      <c r="T972" s="245"/>
    </row>
    <row r="973">
      <c r="A973" s="245"/>
      <c r="B973" s="246"/>
      <c r="C973" s="246"/>
      <c r="D973" s="246"/>
      <c r="E973" s="109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7"/>
      <c r="T973" s="245"/>
    </row>
    <row r="974">
      <c r="A974" s="245"/>
      <c r="B974" s="246"/>
      <c r="C974" s="246"/>
      <c r="D974" s="246"/>
      <c r="E974" s="109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7"/>
      <c r="T974" s="245"/>
    </row>
    <row r="975">
      <c r="A975" s="245"/>
      <c r="B975" s="246"/>
      <c r="C975" s="246"/>
      <c r="D975" s="246"/>
      <c r="E975" s="109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7"/>
      <c r="T975" s="245"/>
    </row>
    <row r="976">
      <c r="A976" s="245"/>
      <c r="B976" s="246"/>
      <c r="C976" s="246"/>
      <c r="D976" s="246"/>
      <c r="E976" s="109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7"/>
      <c r="T976" s="245"/>
    </row>
    <row r="977">
      <c r="A977" s="245"/>
      <c r="B977" s="246"/>
      <c r="C977" s="246"/>
      <c r="D977" s="246"/>
      <c r="E977" s="109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7"/>
      <c r="T977" s="245"/>
    </row>
    <row r="978">
      <c r="A978" s="245"/>
      <c r="B978" s="246"/>
      <c r="C978" s="246"/>
      <c r="D978" s="246"/>
      <c r="E978" s="109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7"/>
      <c r="T978" s="245"/>
    </row>
    <row r="979">
      <c r="A979" s="245"/>
      <c r="B979" s="246"/>
      <c r="C979" s="246"/>
      <c r="D979" s="246"/>
      <c r="E979" s="109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7"/>
      <c r="T979" s="245"/>
    </row>
    <row r="980">
      <c r="A980" s="245"/>
      <c r="B980" s="246"/>
      <c r="C980" s="246"/>
      <c r="D980" s="246"/>
      <c r="E980" s="109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7"/>
      <c r="T980" s="245"/>
    </row>
    <row r="981">
      <c r="A981" s="245"/>
      <c r="B981" s="246"/>
      <c r="C981" s="246"/>
      <c r="D981" s="246"/>
      <c r="E981" s="109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7"/>
      <c r="T981" s="245"/>
    </row>
    <row r="982">
      <c r="A982" s="245"/>
      <c r="B982" s="246"/>
      <c r="C982" s="246"/>
      <c r="D982" s="246"/>
      <c r="E982" s="109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7"/>
      <c r="T982" s="245"/>
    </row>
    <row r="983">
      <c r="A983" s="245"/>
      <c r="B983" s="246"/>
      <c r="C983" s="246"/>
      <c r="D983" s="246"/>
      <c r="E983" s="109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7"/>
      <c r="T983" s="245"/>
    </row>
    <row r="984">
      <c r="A984" s="245"/>
      <c r="B984" s="246"/>
      <c r="C984" s="246"/>
      <c r="D984" s="246"/>
      <c r="E984" s="109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7"/>
      <c r="T984" s="245"/>
    </row>
    <row r="985">
      <c r="A985" s="245"/>
      <c r="B985" s="246"/>
      <c r="C985" s="246"/>
      <c r="D985" s="246"/>
      <c r="E985" s="109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7"/>
      <c r="T985" s="245"/>
    </row>
    <row r="986">
      <c r="A986" s="245"/>
      <c r="B986" s="246"/>
      <c r="C986" s="246"/>
      <c r="D986" s="246"/>
      <c r="E986" s="109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7"/>
      <c r="T986" s="245"/>
    </row>
    <row r="987">
      <c r="A987" s="245"/>
      <c r="B987" s="246"/>
      <c r="C987" s="246"/>
      <c r="D987" s="246"/>
      <c r="E987" s="109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7"/>
      <c r="T987" s="245"/>
    </row>
    <row r="988">
      <c r="A988" s="245"/>
      <c r="B988" s="246"/>
      <c r="C988" s="246"/>
      <c r="D988" s="246"/>
      <c r="E988" s="109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7"/>
      <c r="T988" s="245"/>
    </row>
    <row r="989">
      <c r="A989" s="245"/>
      <c r="B989" s="246"/>
      <c r="C989" s="246"/>
      <c r="D989" s="246"/>
      <c r="E989" s="109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7"/>
      <c r="T989" s="245"/>
    </row>
    <row r="990">
      <c r="A990" s="245"/>
      <c r="B990" s="246"/>
      <c r="C990" s="246"/>
      <c r="D990" s="246"/>
      <c r="E990" s="109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7"/>
      <c r="T990" s="245"/>
    </row>
    <row r="991">
      <c r="A991" s="245"/>
      <c r="B991" s="246"/>
      <c r="C991" s="246"/>
      <c r="D991" s="246"/>
      <c r="E991" s="109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7"/>
      <c r="T991" s="245"/>
    </row>
    <row r="992">
      <c r="A992" s="245"/>
      <c r="B992" s="246"/>
      <c r="C992" s="246"/>
      <c r="D992" s="246"/>
      <c r="E992" s="109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7"/>
      <c r="T992" s="245"/>
    </row>
    <row r="993">
      <c r="A993" s="245"/>
      <c r="B993" s="246"/>
      <c r="C993" s="246"/>
      <c r="D993" s="246"/>
      <c r="E993" s="109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7"/>
      <c r="T993" s="245"/>
    </row>
    <row r="994">
      <c r="A994" s="245"/>
      <c r="B994" s="246"/>
      <c r="C994" s="246"/>
      <c r="D994" s="246"/>
      <c r="E994" s="109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7"/>
      <c r="T994" s="245"/>
    </row>
    <row r="995">
      <c r="A995" s="245"/>
      <c r="B995" s="246"/>
      <c r="C995" s="246"/>
      <c r="D995" s="246"/>
      <c r="E995" s="109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7"/>
      <c r="T995" s="245"/>
    </row>
    <row r="996">
      <c r="A996" s="245"/>
      <c r="B996" s="246"/>
      <c r="C996" s="246"/>
      <c r="D996" s="246"/>
      <c r="E996" s="109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7"/>
      <c r="T996" s="245"/>
    </row>
    <row r="997">
      <c r="A997" s="245"/>
      <c r="B997" s="246"/>
      <c r="C997" s="246"/>
      <c r="D997" s="246"/>
      <c r="E997" s="109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7"/>
      <c r="T997" s="245"/>
    </row>
    <row r="998">
      <c r="A998" s="245"/>
      <c r="B998" s="246"/>
      <c r="C998" s="246"/>
      <c r="D998" s="246"/>
      <c r="E998" s="109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7"/>
      <c r="T998" s="245"/>
    </row>
    <row r="999">
      <c r="A999" s="245"/>
      <c r="B999" s="246"/>
      <c r="C999" s="246"/>
      <c r="D999" s="246"/>
      <c r="E999" s="109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7"/>
      <c r="T999" s="245"/>
    </row>
    <row r="1000">
      <c r="A1000" s="245"/>
      <c r="B1000" s="246"/>
      <c r="C1000" s="246"/>
      <c r="D1000" s="246"/>
      <c r="E1000" s="109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7"/>
      <c r="T1000" s="245"/>
    </row>
    <row r="1001">
      <c r="A1001" s="245"/>
      <c r="B1001" s="246"/>
      <c r="C1001" s="246"/>
      <c r="D1001" s="246"/>
      <c r="E1001" s="109"/>
      <c r="F1001" s="245"/>
      <c r="G1001" s="245"/>
      <c r="H1001" s="245"/>
      <c r="I1001" s="245"/>
      <c r="J1001" s="245"/>
      <c r="K1001" s="245"/>
      <c r="L1001" s="245"/>
      <c r="M1001" s="245"/>
      <c r="N1001" s="245"/>
      <c r="O1001" s="245"/>
      <c r="P1001" s="245"/>
      <c r="Q1001" s="245"/>
      <c r="R1001" s="245"/>
      <c r="S1001" s="247"/>
      <c r="T1001" s="245"/>
    </row>
    <row r="1002">
      <c r="A1002" s="245"/>
      <c r="B1002" s="246"/>
      <c r="C1002" s="246"/>
      <c r="D1002" s="246"/>
      <c r="E1002" s="109"/>
      <c r="F1002" s="245"/>
      <c r="G1002" s="245"/>
      <c r="H1002" s="245"/>
      <c r="I1002" s="245"/>
      <c r="J1002" s="245"/>
      <c r="K1002" s="245"/>
      <c r="L1002" s="245"/>
      <c r="M1002" s="245"/>
      <c r="N1002" s="245"/>
      <c r="O1002" s="245"/>
      <c r="P1002" s="245"/>
      <c r="Q1002" s="245"/>
      <c r="R1002" s="245"/>
      <c r="S1002" s="247"/>
      <c r="T1002" s="245"/>
    </row>
    <row r="1003">
      <c r="A1003" s="245"/>
      <c r="B1003" s="246"/>
      <c r="C1003" s="246"/>
      <c r="D1003" s="246"/>
      <c r="E1003" s="109"/>
      <c r="F1003" s="245"/>
      <c r="G1003" s="245"/>
      <c r="H1003" s="245"/>
      <c r="I1003" s="245"/>
      <c r="J1003" s="245"/>
      <c r="K1003" s="245"/>
      <c r="L1003" s="245"/>
      <c r="M1003" s="245"/>
      <c r="N1003" s="245"/>
      <c r="O1003" s="245"/>
      <c r="P1003" s="245"/>
      <c r="Q1003" s="245"/>
      <c r="R1003" s="245"/>
      <c r="S1003" s="247"/>
      <c r="T1003" s="245"/>
    </row>
    <row r="1004">
      <c r="A1004" s="245"/>
      <c r="B1004" s="246"/>
      <c r="C1004" s="246"/>
      <c r="D1004" s="246"/>
      <c r="E1004" s="109"/>
      <c r="F1004" s="245"/>
      <c r="G1004" s="245"/>
      <c r="H1004" s="245"/>
      <c r="I1004" s="245"/>
      <c r="J1004" s="245"/>
      <c r="K1004" s="245"/>
      <c r="L1004" s="245"/>
      <c r="M1004" s="245"/>
      <c r="N1004" s="245"/>
      <c r="O1004" s="245"/>
      <c r="P1004" s="245"/>
      <c r="Q1004" s="245"/>
      <c r="R1004" s="245"/>
      <c r="S1004" s="247"/>
      <c r="T1004" s="245"/>
    </row>
    <row r="1005">
      <c r="A1005" s="245"/>
      <c r="B1005" s="246"/>
      <c r="C1005" s="246"/>
      <c r="D1005" s="246"/>
      <c r="E1005" s="109"/>
      <c r="F1005" s="245"/>
      <c r="G1005" s="245"/>
      <c r="H1005" s="245"/>
      <c r="I1005" s="245"/>
      <c r="J1005" s="245"/>
      <c r="K1005" s="245"/>
      <c r="L1005" s="245"/>
      <c r="M1005" s="245"/>
      <c r="N1005" s="245"/>
      <c r="O1005" s="245"/>
      <c r="P1005" s="245"/>
      <c r="Q1005" s="245"/>
      <c r="R1005" s="245"/>
      <c r="S1005" s="247"/>
      <c r="T1005" s="245"/>
    </row>
    <row r="1006">
      <c r="A1006" s="245"/>
      <c r="B1006" s="246"/>
      <c r="C1006" s="246"/>
      <c r="D1006" s="246"/>
      <c r="E1006" s="109"/>
      <c r="F1006" s="245"/>
      <c r="G1006" s="245"/>
      <c r="H1006" s="245"/>
      <c r="I1006" s="245"/>
      <c r="J1006" s="245"/>
      <c r="K1006" s="245"/>
      <c r="L1006" s="245"/>
      <c r="M1006" s="245"/>
      <c r="N1006" s="245"/>
      <c r="O1006" s="245"/>
      <c r="P1006" s="245"/>
      <c r="Q1006" s="245"/>
      <c r="R1006" s="245"/>
      <c r="S1006" s="247"/>
      <c r="T1006" s="245"/>
    </row>
    <row r="1007">
      <c r="A1007" s="245"/>
      <c r="B1007" s="246"/>
      <c r="C1007" s="246"/>
      <c r="D1007" s="246"/>
      <c r="E1007" s="109"/>
      <c r="F1007" s="245"/>
      <c r="G1007" s="245"/>
      <c r="H1007" s="245"/>
      <c r="I1007" s="245"/>
      <c r="J1007" s="245"/>
      <c r="K1007" s="245"/>
      <c r="L1007" s="245"/>
      <c r="M1007" s="245"/>
      <c r="N1007" s="245"/>
      <c r="O1007" s="245"/>
      <c r="P1007" s="245"/>
      <c r="Q1007" s="245"/>
      <c r="R1007" s="245"/>
      <c r="S1007" s="247"/>
      <c r="T1007" s="245"/>
    </row>
    <row r="1008">
      <c r="A1008" s="245"/>
      <c r="B1008" s="246"/>
      <c r="C1008" s="246"/>
      <c r="D1008" s="246"/>
      <c r="E1008" s="109"/>
      <c r="F1008" s="245"/>
      <c r="G1008" s="245"/>
      <c r="H1008" s="245"/>
      <c r="I1008" s="245"/>
      <c r="J1008" s="245"/>
      <c r="K1008" s="245"/>
      <c r="L1008" s="245"/>
      <c r="M1008" s="245"/>
      <c r="N1008" s="245"/>
      <c r="O1008" s="245"/>
      <c r="P1008" s="245"/>
      <c r="Q1008" s="245"/>
      <c r="R1008" s="245"/>
      <c r="S1008" s="247"/>
      <c r="T1008" s="245"/>
    </row>
    <row r="1009">
      <c r="A1009" s="245"/>
      <c r="B1009" s="246"/>
      <c r="C1009" s="246"/>
      <c r="D1009" s="246"/>
      <c r="E1009" s="109"/>
      <c r="F1009" s="245"/>
      <c r="G1009" s="245"/>
      <c r="H1009" s="245"/>
      <c r="I1009" s="245"/>
      <c r="J1009" s="245"/>
      <c r="K1009" s="245"/>
      <c r="L1009" s="245"/>
      <c r="M1009" s="245"/>
      <c r="N1009" s="245"/>
      <c r="O1009" s="245"/>
      <c r="P1009" s="245"/>
      <c r="Q1009" s="245"/>
      <c r="R1009" s="245"/>
      <c r="S1009" s="247"/>
      <c r="T1009" s="245"/>
    </row>
    <row r="1010">
      <c r="A1010" s="245"/>
      <c r="B1010" s="246"/>
      <c r="C1010" s="246"/>
      <c r="D1010" s="246"/>
      <c r="E1010" s="109"/>
      <c r="F1010" s="245"/>
      <c r="G1010" s="245"/>
      <c r="H1010" s="245"/>
      <c r="I1010" s="245"/>
      <c r="J1010" s="245"/>
      <c r="K1010" s="245"/>
      <c r="L1010" s="245"/>
      <c r="M1010" s="245"/>
      <c r="N1010" s="245"/>
      <c r="O1010" s="245"/>
      <c r="P1010" s="245"/>
      <c r="Q1010" s="245"/>
      <c r="R1010" s="245"/>
      <c r="S1010" s="247"/>
      <c r="T1010" s="245"/>
    </row>
    <row r="1011">
      <c r="A1011" s="245"/>
      <c r="B1011" s="246"/>
      <c r="C1011" s="246"/>
      <c r="D1011" s="246"/>
      <c r="E1011" s="109"/>
      <c r="F1011" s="245"/>
      <c r="G1011" s="245"/>
      <c r="H1011" s="245"/>
      <c r="I1011" s="245"/>
      <c r="J1011" s="245"/>
      <c r="K1011" s="245"/>
      <c r="L1011" s="245"/>
      <c r="M1011" s="245"/>
      <c r="N1011" s="245"/>
      <c r="O1011" s="245"/>
      <c r="P1011" s="245"/>
      <c r="Q1011" s="245"/>
      <c r="R1011" s="245"/>
      <c r="S1011" s="247"/>
      <c r="T1011" s="245"/>
    </row>
    <row r="1012">
      <c r="A1012" s="245"/>
      <c r="B1012" s="246"/>
      <c r="C1012" s="246"/>
      <c r="D1012" s="246"/>
      <c r="E1012" s="109"/>
      <c r="F1012" s="245"/>
      <c r="G1012" s="245"/>
      <c r="H1012" s="245"/>
      <c r="I1012" s="245"/>
      <c r="J1012" s="245"/>
      <c r="K1012" s="245"/>
      <c r="L1012" s="245"/>
      <c r="M1012" s="245"/>
      <c r="N1012" s="245"/>
      <c r="O1012" s="245"/>
      <c r="P1012" s="245"/>
      <c r="Q1012" s="245"/>
      <c r="R1012" s="245"/>
      <c r="S1012" s="247"/>
      <c r="T1012" s="245"/>
    </row>
    <row r="1013">
      <c r="A1013" s="245"/>
      <c r="B1013" s="246"/>
      <c r="C1013" s="246"/>
      <c r="D1013" s="246"/>
      <c r="E1013" s="109"/>
      <c r="F1013" s="245"/>
      <c r="G1013" s="245"/>
      <c r="H1013" s="245"/>
      <c r="I1013" s="245"/>
      <c r="J1013" s="245"/>
      <c r="K1013" s="245"/>
      <c r="L1013" s="245"/>
      <c r="M1013" s="245"/>
      <c r="N1013" s="245"/>
      <c r="O1013" s="245"/>
      <c r="P1013" s="245"/>
      <c r="Q1013" s="245"/>
      <c r="R1013" s="245"/>
      <c r="S1013" s="247"/>
      <c r="T1013" s="245"/>
    </row>
    <row r="1014">
      <c r="A1014" s="245"/>
      <c r="B1014" s="246"/>
      <c r="C1014" s="246"/>
      <c r="D1014" s="246"/>
      <c r="E1014" s="109"/>
      <c r="F1014" s="245"/>
      <c r="G1014" s="245"/>
      <c r="H1014" s="245"/>
      <c r="I1014" s="245"/>
      <c r="J1014" s="245"/>
      <c r="K1014" s="245"/>
      <c r="L1014" s="245"/>
      <c r="M1014" s="245"/>
      <c r="N1014" s="245"/>
      <c r="O1014" s="245"/>
      <c r="P1014" s="245"/>
      <c r="Q1014" s="245"/>
      <c r="R1014" s="245"/>
      <c r="S1014" s="247"/>
      <c r="T1014" s="245"/>
    </row>
    <row r="1015">
      <c r="A1015" s="245"/>
      <c r="B1015" s="246"/>
      <c r="C1015" s="246"/>
      <c r="D1015" s="246"/>
      <c r="E1015" s="109"/>
      <c r="F1015" s="245"/>
      <c r="G1015" s="245"/>
      <c r="H1015" s="245"/>
      <c r="I1015" s="245"/>
      <c r="J1015" s="245"/>
      <c r="K1015" s="245"/>
      <c r="L1015" s="245"/>
      <c r="M1015" s="245"/>
      <c r="N1015" s="245"/>
      <c r="O1015" s="245"/>
      <c r="P1015" s="245"/>
      <c r="Q1015" s="245"/>
      <c r="R1015" s="245"/>
      <c r="S1015" s="247"/>
      <c r="T1015" s="245"/>
    </row>
    <row r="1016">
      <c r="A1016" s="245"/>
      <c r="B1016" s="246"/>
      <c r="C1016" s="246"/>
      <c r="D1016" s="246"/>
      <c r="E1016" s="109"/>
      <c r="F1016" s="245"/>
      <c r="G1016" s="245"/>
      <c r="H1016" s="245"/>
      <c r="I1016" s="245"/>
      <c r="J1016" s="245"/>
      <c r="K1016" s="245"/>
      <c r="L1016" s="245"/>
      <c r="M1016" s="245"/>
      <c r="N1016" s="245"/>
      <c r="O1016" s="245"/>
      <c r="P1016" s="245"/>
      <c r="Q1016" s="245"/>
      <c r="R1016" s="245"/>
      <c r="S1016" s="247"/>
      <c r="T1016" s="245"/>
    </row>
    <row r="1017">
      <c r="A1017" s="245"/>
      <c r="B1017" s="246"/>
      <c r="C1017" s="246"/>
      <c r="D1017" s="246"/>
      <c r="E1017" s="109"/>
      <c r="F1017" s="245"/>
      <c r="G1017" s="245"/>
      <c r="H1017" s="245"/>
      <c r="I1017" s="245"/>
      <c r="J1017" s="245"/>
      <c r="K1017" s="245"/>
      <c r="L1017" s="245"/>
      <c r="M1017" s="245"/>
      <c r="N1017" s="245"/>
      <c r="O1017" s="245"/>
      <c r="P1017" s="245"/>
      <c r="Q1017" s="245"/>
      <c r="R1017" s="245"/>
      <c r="S1017" s="247"/>
      <c r="T1017" s="245"/>
    </row>
    <row r="1018">
      <c r="A1018" s="245"/>
      <c r="B1018" s="246"/>
      <c r="C1018" s="246"/>
      <c r="D1018" s="246"/>
      <c r="E1018" s="109"/>
      <c r="F1018" s="245"/>
      <c r="G1018" s="245"/>
      <c r="H1018" s="245"/>
      <c r="I1018" s="245"/>
      <c r="J1018" s="245"/>
      <c r="K1018" s="245"/>
      <c r="L1018" s="245"/>
      <c r="M1018" s="245"/>
      <c r="N1018" s="245"/>
      <c r="O1018" s="245"/>
      <c r="P1018" s="245"/>
      <c r="Q1018" s="245"/>
      <c r="R1018" s="245"/>
      <c r="S1018" s="247"/>
      <c r="T1018" s="245"/>
    </row>
    <row r="1019">
      <c r="A1019" s="245"/>
      <c r="B1019" s="246"/>
      <c r="C1019" s="246"/>
      <c r="D1019" s="246"/>
      <c r="E1019" s="109"/>
      <c r="F1019" s="245"/>
      <c r="G1019" s="245"/>
      <c r="H1019" s="245"/>
      <c r="I1019" s="245"/>
      <c r="J1019" s="245"/>
      <c r="K1019" s="245"/>
      <c r="L1019" s="245"/>
      <c r="M1019" s="245"/>
      <c r="N1019" s="245"/>
      <c r="O1019" s="245"/>
      <c r="P1019" s="245"/>
      <c r="Q1019" s="245"/>
      <c r="R1019" s="245"/>
      <c r="S1019" s="247"/>
      <c r="T1019" s="245"/>
    </row>
    <row r="1020">
      <c r="A1020" s="245"/>
      <c r="B1020" s="246"/>
      <c r="C1020" s="246"/>
      <c r="D1020" s="246"/>
      <c r="E1020" s="245"/>
      <c r="F1020" s="245"/>
      <c r="G1020" s="245"/>
      <c r="H1020" s="245"/>
      <c r="I1020" s="245"/>
      <c r="J1020" s="245"/>
      <c r="K1020" s="245"/>
      <c r="L1020" s="245"/>
      <c r="M1020" s="245"/>
      <c r="N1020" s="245"/>
      <c r="O1020" s="245"/>
      <c r="P1020" s="245"/>
      <c r="Q1020" s="245"/>
      <c r="R1020" s="245"/>
      <c r="S1020" s="245"/>
      <c r="T1020" s="245"/>
    </row>
    <row r="1021">
      <c r="A1021" s="245"/>
      <c r="B1021" s="246"/>
      <c r="C1021" s="246"/>
      <c r="D1021" s="246"/>
      <c r="E1021" s="245"/>
      <c r="F1021" s="245"/>
      <c r="G1021" s="245"/>
      <c r="H1021" s="245"/>
      <c r="I1021" s="245"/>
      <c r="J1021" s="245"/>
      <c r="K1021" s="245"/>
      <c r="L1021" s="245"/>
      <c r="M1021" s="245"/>
      <c r="N1021" s="245"/>
      <c r="O1021" s="245"/>
      <c r="P1021" s="245"/>
      <c r="Q1021" s="245"/>
      <c r="R1021" s="245"/>
      <c r="S1021" s="245"/>
      <c r="T1021" s="245"/>
    </row>
    <row r="1022">
      <c r="A1022" s="245"/>
      <c r="B1022" s="246"/>
      <c r="C1022" s="246"/>
      <c r="D1022" s="246"/>
      <c r="E1022" s="245"/>
      <c r="F1022" s="245"/>
      <c r="G1022" s="245"/>
      <c r="H1022" s="245"/>
      <c r="I1022" s="245"/>
      <c r="J1022" s="245"/>
      <c r="K1022" s="245"/>
      <c r="L1022" s="245"/>
      <c r="M1022" s="245"/>
      <c r="N1022" s="245"/>
      <c r="O1022" s="245"/>
      <c r="P1022" s="245"/>
      <c r="Q1022" s="245"/>
      <c r="R1022" s="245"/>
      <c r="S1022" s="245"/>
      <c r="T1022" s="245"/>
    </row>
    <row r="1023">
      <c r="A1023" s="245"/>
      <c r="B1023" s="246"/>
      <c r="C1023" s="246"/>
      <c r="D1023" s="246"/>
      <c r="E1023" s="245"/>
      <c r="F1023" s="245"/>
      <c r="G1023" s="245"/>
      <c r="H1023" s="245"/>
      <c r="I1023" s="245"/>
      <c r="J1023" s="245"/>
      <c r="K1023" s="245"/>
      <c r="L1023" s="245"/>
      <c r="M1023" s="245"/>
      <c r="N1023" s="245"/>
      <c r="O1023" s="245"/>
      <c r="P1023" s="245"/>
      <c r="Q1023" s="245"/>
      <c r="R1023" s="245"/>
      <c r="S1023" s="245"/>
      <c r="T1023" s="245"/>
    </row>
    <row r="1024">
      <c r="A1024" s="245"/>
      <c r="B1024" s="246"/>
      <c r="C1024" s="246"/>
      <c r="D1024" s="246"/>
      <c r="E1024" s="245"/>
      <c r="F1024" s="245"/>
      <c r="G1024" s="245"/>
      <c r="H1024" s="245"/>
      <c r="I1024" s="245"/>
      <c r="J1024" s="245"/>
      <c r="K1024" s="245"/>
      <c r="L1024" s="245"/>
      <c r="M1024" s="245"/>
      <c r="N1024" s="245"/>
      <c r="O1024" s="245"/>
      <c r="P1024" s="245"/>
      <c r="Q1024" s="245"/>
      <c r="R1024" s="245"/>
      <c r="S1024" s="245"/>
      <c r="T1024" s="245"/>
    </row>
    <row r="1025">
      <c r="A1025" s="245"/>
      <c r="B1025" s="246"/>
      <c r="C1025" s="246"/>
      <c r="D1025" s="246"/>
      <c r="E1025" s="245"/>
      <c r="F1025" s="245"/>
      <c r="G1025" s="245"/>
      <c r="H1025" s="245"/>
      <c r="I1025" s="245"/>
      <c r="J1025" s="245"/>
      <c r="K1025" s="245"/>
      <c r="L1025" s="245"/>
      <c r="M1025" s="245"/>
      <c r="N1025" s="245"/>
      <c r="O1025" s="245"/>
      <c r="P1025" s="245"/>
      <c r="Q1025" s="245"/>
      <c r="R1025" s="245"/>
      <c r="S1025" s="245"/>
      <c r="T1025" s="245"/>
    </row>
    <row r="1026">
      <c r="A1026" s="245"/>
      <c r="B1026" s="246"/>
      <c r="C1026" s="246"/>
      <c r="D1026" s="246"/>
      <c r="E1026" s="245"/>
      <c r="F1026" s="245"/>
      <c r="G1026" s="245"/>
      <c r="H1026" s="245"/>
      <c r="I1026" s="245"/>
      <c r="J1026" s="245"/>
      <c r="K1026" s="245"/>
      <c r="L1026" s="245"/>
      <c r="M1026" s="245"/>
      <c r="N1026" s="245"/>
      <c r="O1026" s="245"/>
      <c r="P1026" s="245"/>
      <c r="Q1026" s="245"/>
      <c r="R1026" s="245"/>
      <c r="S1026" s="245"/>
      <c r="T1026" s="245"/>
    </row>
    <row r="1027">
      <c r="A1027" s="245"/>
      <c r="B1027" s="246"/>
      <c r="C1027" s="246"/>
      <c r="D1027" s="246"/>
      <c r="E1027" s="245"/>
      <c r="F1027" s="245"/>
      <c r="G1027" s="245"/>
      <c r="H1027" s="245"/>
      <c r="I1027" s="245"/>
      <c r="J1027" s="245"/>
      <c r="K1027" s="245"/>
      <c r="L1027" s="245"/>
      <c r="M1027" s="245"/>
      <c r="N1027" s="245"/>
      <c r="O1027" s="245"/>
      <c r="P1027" s="245"/>
      <c r="Q1027" s="245"/>
      <c r="R1027" s="245"/>
      <c r="S1027" s="245"/>
      <c r="T1027" s="245"/>
    </row>
    <row r="1028">
      <c r="A1028" s="245"/>
      <c r="B1028" s="246"/>
      <c r="C1028" s="246"/>
      <c r="D1028" s="246"/>
      <c r="E1028" s="245"/>
      <c r="F1028" s="245"/>
      <c r="G1028" s="245"/>
      <c r="H1028" s="245"/>
      <c r="I1028" s="245"/>
      <c r="J1028" s="245"/>
      <c r="K1028" s="245"/>
      <c r="L1028" s="245"/>
      <c r="M1028" s="245"/>
      <c r="N1028" s="245"/>
      <c r="O1028" s="245"/>
      <c r="P1028" s="245"/>
      <c r="Q1028" s="245"/>
      <c r="R1028" s="245"/>
      <c r="S1028" s="245"/>
      <c r="T1028" s="245"/>
    </row>
    <row r="1029">
      <c r="A1029" s="245"/>
      <c r="B1029" s="246"/>
      <c r="C1029" s="246"/>
      <c r="D1029" s="246"/>
      <c r="E1029" s="245"/>
      <c r="F1029" s="245"/>
      <c r="G1029" s="245"/>
      <c r="H1029" s="245"/>
      <c r="I1029" s="245"/>
      <c r="J1029" s="245"/>
      <c r="K1029" s="245"/>
      <c r="L1029" s="245"/>
      <c r="M1029" s="245"/>
      <c r="N1029" s="245"/>
      <c r="O1029" s="245"/>
      <c r="P1029" s="245"/>
      <c r="Q1029" s="245"/>
      <c r="R1029" s="245"/>
      <c r="S1029" s="245"/>
      <c r="T1029" s="245"/>
    </row>
    <row r="1030">
      <c r="A1030" s="245"/>
      <c r="B1030" s="246"/>
      <c r="C1030" s="246"/>
      <c r="D1030" s="246"/>
      <c r="E1030" s="245"/>
      <c r="F1030" s="245"/>
      <c r="G1030" s="245"/>
      <c r="H1030" s="245"/>
      <c r="I1030" s="245"/>
      <c r="J1030" s="245"/>
      <c r="K1030" s="245"/>
      <c r="L1030" s="245"/>
      <c r="M1030" s="245"/>
      <c r="N1030" s="245"/>
      <c r="O1030" s="245"/>
      <c r="P1030" s="245"/>
      <c r="Q1030" s="245"/>
      <c r="R1030" s="245"/>
      <c r="S1030" s="245"/>
      <c r="T1030" s="245"/>
    </row>
  </sheetData>
  <mergeCells count="73">
    <mergeCell ref="A47:Y47"/>
    <mergeCell ref="A48:Y48"/>
    <mergeCell ref="M52:R52"/>
    <mergeCell ref="A53:Y53"/>
    <mergeCell ref="B62:H62"/>
    <mergeCell ref="M62:R62"/>
    <mergeCell ref="A66:Y66"/>
    <mergeCell ref="A67:Y67"/>
    <mergeCell ref="A76:Y76"/>
    <mergeCell ref="A77:Y77"/>
    <mergeCell ref="A78:Y78"/>
    <mergeCell ref="A87:Y87"/>
    <mergeCell ref="A88:Y88"/>
    <mergeCell ref="A89:Y89"/>
    <mergeCell ref="B97:H97"/>
    <mergeCell ref="M97:R97"/>
    <mergeCell ref="A98:Y98"/>
    <mergeCell ref="B102:H102"/>
    <mergeCell ref="M102:R102"/>
    <mergeCell ref="A103:Y103"/>
    <mergeCell ref="M106:R106"/>
    <mergeCell ref="B120:H120"/>
    <mergeCell ref="M120:R120"/>
    <mergeCell ref="A123:Y123"/>
    <mergeCell ref="A124:Y124"/>
    <mergeCell ref="U125:U137"/>
    <mergeCell ref="B106:H106"/>
    <mergeCell ref="A109:Y109"/>
    <mergeCell ref="A110:Y110"/>
    <mergeCell ref="A111:Y111"/>
    <mergeCell ref="B114:H114"/>
    <mergeCell ref="M114:R114"/>
    <mergeCell ref="A115:Y115"/>
    <mergeCell ref="A1:Y1"/>
    <mergeCell ref="A2:Y2"/>
    <mergeCell ref="K3:L3"/>
    <mergeCell ref="O3:R3"/>
    <mergeCell ref="V3:Y3"/>
    <mergeCell ref="A4:J4"/>
    <mergeCell ref="A5:Y5"/>
    <mergeCell ref="AB18:AC20"/>
    <mergeCell ref="AB26:AC26"/>
    <mergeCell ref="AB28:AC28"/>
    <mergeCell ref="S3:T3"/>
    <mergeCell ref="U6:U17"/>
    <mergeCell ref="AA7:AA10"/>
    <mergeCell ref="AA11:AA12"/>
    <mergeCell ref="AA15:AA23"/>
    <mergeCell ref="AB15:AC17"/>
    <mergeCell ref="AB27:AC27"/>
    <mergeCell ref="AB21:AC23"/>
    <mergeCell ref="B23:H23"/>
    <mergeCell ref="M23:R23"/>
    <mergeCell ref="A24:Y24"/>
    <mergeCell ref="B29:H29"/>
    <mergeCell ref="M29:R29"/>
    <mergeCell ref="A30:Y30"/>
    <mergeCell ref="B36:H36"/>
    <mergeCell ref="M36:R36"/>
    <mergeCell ref="A37:Y37"/>
    <mergeCell ref="M42:R42"/>
    <mergeCell ref="A43:Y43"/>
    <mergeCell ref="B45:H45"/>
    <mergeCell ref="M45:R45"/>
    <mergeCell ref="U99:U100"/>
    <mergeCell ref="U104:U105"/>
    <mergeCell ref="U26:U27"/>
    <mergeCell ref="U31:U34"/>
    <mergeCell ref="U38:U40"/>
    <mergeCell ref="U54:U61"/>
    <mergeCell ref="U79:U81"/>
    <mergeCell ref="U83:U85"/>
    <mergeCell ref="U90:U94"/>
  </mergeCells>
  <dataValidations>
    <dataValidation type="list" allowBlank="1" showErrorMessage="1" sqref="E6:E22 E25:E28 E31:E35 E38:E41 E44 E49:E51 E54:E61 E68:E73 E79:E85 E90:E96 E99:E101 E104:E105 E112:E113 E116:E119 E125:E139">
      <formula1>"Permanent,Probation,Internship,Notice Period,Remote,Contract"</formula1>
    </dataValidation>
    <dataValidation type="list" allowBlank="1" showErrorMessage="1" sqref="M6:M22 M25:M28 M31:M35 M38:M41 M44 M49:M51 M54:M61 M68:M73 M79:M85 M90:M96 M99:M101 M104:M105 M112:M113 M116:M119 M125:M139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21.25"/>
    <col customWidth="1" min="3" max="3" width="10.13"/>
    <col customWidth="1" min="4" max="4" width="10.0"/>
    <col customWidth="1" min="5" max="5" width="12.25"/>
    <col customWidth="1" min="6" max="6" width="10.75"/>
    <col customWidth="1" min="7" max="7" width="13.88"/>
    <col customWidth="1" min="8" max="8" width="10.38"/>
    <col customWidth="1" min="9" max="9" width="7.63"/>
    <col customWidth="1" min="10" max="10" width="27.5"/>
  </cols>
  <sheetData>
    <row r="1">
      <c r="A1" s="254" t="s">
        <v>300</v>
      </c>
      <c r="B1" s="254" t="s">
        <v>3</v>
      </c>
      <c r="C1" s="254" t="s">
        <v>301</v>
      </c>
      <c r="D1" s="254" t="s">
        <v>302</v>
      </c>
      <c r="E1" s="254" t="s">
        <v>303</v>
      </c>
      <c r="F1" s="255" t="s">
        <v>304</v>
      </c>
      <c r="G1" s="254" t="s">
        <v>305</v>
      </c>
      <c r="H1" s="254" t="s">
        <v>306</v>
      </c>
      <c r="I1" s="254" t="s">
        <v>21</v>
      </c>
      <c r="J1" s="255" t="s">
        <v>307</v>
      </c>
    </row>
    <row r="2">
      <c r="A2" s="256">
        <v>1.0</v>
      </c>
      <c r="B2" s="257" t="s">
        <v>167</v>
      </c>
      <c r="C2" s="258">
        <v>45839.0</v>
      </c>
      <c r="D2" s="256">
        <v>24.0</v>
      </c>
      <c r="E2" s="256">
        <v>18.25</v>
      </c>
      <c r="F2" s="256">
        <v>47.3</v>
      </c>
      <c r="G2" s="256" t="s">
        <v>308</v>
      </c>
      <c r="H2" s="259">
        <f t="shared" ref="H2:H39" si="1">sum(D2:G2)</f>
        <v>89.55</v>
      </c>
      <c r="I2" s="259">
        <v>6.0</v>
      </c>
      <c r="J2" s="260" t="s">
        <v>309</v>
      </c>
    </row>
    <row r="3">
      <c r="A3" s="256">
        <v>2.0</v>
      </c>
      <c r="B3" s="257" t="s">
        <v>42</v>
      </c>
      <c r="C3" s="258">
        <v>45839.0</v>
      </c>
      <c r="D3" s="256">
        <v>24.1</v>
      </c>
      <c r="E3" s="256">
        <v>12.75</v>
      </c>
      <c r="F3" s="256">
        <v>44.7</v>
      </c>
      <c r="G3" s="256" t="s">
        <v>310</v>
      </c>
      <c r="H3" s="259">
        <f t="shared" si="1"/>
        <v>81.55</v>
      </c>
      <c r="I3" s="259">
        <v>6.0</v>
      </c>
      <c r="J3" s="260" t="s">
        <v>311</v>
      </c>
    </row>
    <row r="4">
      <c r="A4" s="256">
        <v>3.0</v>
      </c>
      <c r="B4" s="257" t="s">
        <v>26</v>
      </c>
      <c r="C4" s="258">
        <v>45839.0</v>
      </c>
      <c r="D4" s="256">
        <v>21.0</v>
      </c>
      <c r="E4" s="261">
        <v>19.5</v>
      </c>
      <c r="F4" s="261">
        <v>43.0</v>
      </c>
      <c r="G4" s="261" t="s">
        <v>312</v>
      </c>
      <c r="H4" s="259">
        <f t="shared" si="1"/>
        <v>83.5</v>
      </c>
      <c r="I4" s="259">
        <v>15.0</v>
      </c>
      <c r="J4" s="260" t="s">
        <v>313</v>
      </c>
    </row>
    <row r="5">
      <c r="A5" s="256">
        <v>4.0</v>
      </c>
      <c r="B5" s="257" t="s">
        <v>170</v>
      </c>
      <c r="C5" s="258">
        <v>45836.0</v>
      </c>
      <c r="D5" s="256">
        <v>24.0</v>
      </c>
      <c r="E5" s="256">
        <v>21.25</v>
      </c>
      <c r="F5" s="256">
        <v>47.5</v>
      </c>
      <c r="G5" s="256" t="s">
        <v>308</v>
      </c>
      <c r="H5" s="259">
        <f t="shared" si="1"/>
        <v>92.75</v>
      </c>
      <c r="I5" s="259">
        <v>6.0</v>
      </c>
      <c r="J5" s="260" t="s">
        <v>314</v>
      </c>
    </row>
    <row r="6">
      <c r="A6" s="256">
        <v>5.0</v>
      </c>
      <c r="B6" s="262" t="s">
        <v>315</v>
      </c>
      <c r="C6" s="258">
        <v>45838.0</v>
      </c>
      <c r="D6" s="256">
        <v>22.75</v>
      </c>
      <c r="E6" s="261">
        <v>17.0</v>
      </c>
      <c r="F6" s="261">
        <v>39.7</v>
      </c>
      <c r="G6" s="256" t="s">
        <v>310</v>
      </c>
      <c r="H6" s="259">
        <f t="shared" si="1"/>
        <v>79.45</v>
      </c>
      <c r="I6" s="259">
        <v>6.0</v>
      </c>
      <c r="J6" s="260" t="s">
        <v>316</v>
      </c>
    </row>
    <row r="7">
      <c r="A7" s="256">
        <v>6.0</v>
      </c>
      <c r="B7" s="257" t="s">
        <v>222</v>
      </c>
      <c r="C7" s="258">
        <v>45838.0</v>
      </c>
      <c r="D7" s="256">
        <v>22.0</v>
      </c>
      <c r="E7" s="261">
        <v>20.0</v>
      </c>
      <c r="F7" s="261">
        <v>45.0</v>
      </c>
      <c r="G7" s="256" t="s">
        <v>317</v>
      </c>
      <c r="H7" s="259">
        <f t="shared" si="1"/>
        <v>87</v>
      </c>
      <c r="I7" s="259">
        <v>6.0</v>
      </c>
      <c r="J7" s="263" t="s">
        <v>318</v>
      </c>
    </row>
    <row r="8">
      <c r="A8" s="256">
        <v>7.0</v>
      </c>
      <c r="B8" s="257" t="s">
        <v>37</v>
      </c>
      <c r="C8" s="258">
        <v>45835.0</v>
      </c>
      <c r="D8" s="256">
        <v>25.0</v>
      </c>
      <c r="E8" s="256">
        <v>8.0</v>
      </c>
      <c r="F8" s="256">
        <v>46.5</v>
      </c>
      <c r="G8" s="256" t="s">
        <v>319</v>
      </c>
      <c r="H8" s="259">
        <f t="shared" si="1"/>
        <v>79.5</v>
      </c>
      <c r="I8" s="259">
        <v>6.0</v>
      </c>
      <c r="J8" s="260" t="s">
        <v>320</v>
      </c>
    </row>
    <row r="9">
      <c r="A9" s="256">
        <v>8.0</v>
      </c>
      <c r="B9" s="264" t="s">
        <v>54</v>
      </c>
      <c r="C9" s="265">
        <v>45930.0</v>
      </c>
      <c r="D9" s="261">
        <v>23.0</v>
      </c>
      <c r="E9" s="261">
        <v>20.0</v>
      </c>
      <c r="F9" s="261">
        <v>41.0</v>
      </c>
      <c r="G9" s="261" t="s">
        <v>321</v>
      </c>
      <c r="H9" s="259">
        <f t="shared" si="1"/>
        <v>84</v>
      </c>
      <c r="I9" s="259">
        <v>6.0</v>
      </c>
      <c r="J9" s="260" t="s">
        <v>322</v>
      </c>
    </row>
    <row r="10">
      <c r="A10" s="256">
        <v>9.0</v>
      </c>
      <c r="B10" s="264" t="s">
        <v>60</v>
      </c>
      <c r="C10" s="265">
        <v>45930.0</v>
      </c>
      <c r="D10" s="261">
        <v>23.5</v>
      </c>
      <c r="E10" s="261">
        <v>20.0</v>
      </c>
      <c r="F10" s="261">
        <v>44.5</v>
      </c>
      <c r="G10" s="261" t="s">
        <v>323</v>
      </c>
      <c r="H10" s="259">
        <f t="shared" si="1"/>
        <v>88</v>
      </c>
      <c r="I10" s="259">
        <v>6.0</v>
      </c>
      <c r="J10" s="260" t="s">
        <v>324</v>
      </c>
    </row>
    <row r="11">
      <c r="A11" s="256">
        <v>10.0</v>
      </c>
      <c r="B11" s="257" t="s">
        <v>90</v>
      </c>
      <c r="C11" s="258">
        <v>45835.0</v>
      </c>
      <c r="D11" s="256">
        <v>23.0</v>
      </c>
      <c r="E11" s="256">
        <v>24.0</v>
      </c>
      <c r="F11" s="256">
        <v>45.0</v>
      </c>
      <c r="G11" s="256" t="s">
        <v>325</v>
      </c>
      <c r="H11" s="259">
        <f t="shared" si="1"/>
        <v>92</v>
      </c>
      <c r="I11" s="259">
        <v>6.0</v>
      </c>
      <c r="J11" s="260" t="s">
        <v>326</v>
      </c>
    </row>
    <row r="12">
      <c r="A12" s="256">
        <v>11.0</v>
      </c>
      <c r="B12" s="257" t="s">
        <v>86</v>
      </c>
      <c r="C12" s="258">
        <v>45834.0</v>
      </c>
      <c r="D12" s="256">
        <v>23.5</v>
      </c>
      <c r="E12" s="261">
        <v>17.5</v>
      </c>
      <c r="F12" s="261">
        <v>44.0</v>
      </c>
      <c r="G12" s="256" t="s">
        <v>327</v>
      </c>
      <c r="H12" s="259">
        <f t="shared" si="1"/>
        <v>85</v>
      </c>
      <c r="I12" s="259">
        <v>6.0</v>
      </c>
      <c r="J12" s="260" t="s">
        <v>328</v>
      </c>
    </row>
    <row r="13">
      <c r="A13" s="256">
        <v>12.0</v>
      </c>
      <c r="B13" s="257" t="s">
        <v>99</v>
      </c>
      <c r="C13" s="258">
        <v>45840.0</v>
      </c>
      <c r="D13" s="256">
        <v>23.0</v>
      </c>
      <c r="E13" s="261">
        <v>19.25</v>
      </c>
      <c r="F13" s="256">
        <v>37.9</v>
      </c>
      <c r="G13" s="256" t="s">
        <v>319</v>
      </c>
      <c r="H13" s="259">
        <f t="shared" si="1"/>
        <v>80.15</v>
      </c>
      <c r="I13" s="259">
        <v>6.0</v>
      </c>
      <c r="J13" s="260" t="s">
        <v>329</v>
      </c>
    </row>
    <row r="14">
      <c r="A14" s="256">
        <v>13.0</v>
      </c>
      <c r="B14" s="257" t="s">
        <v>103</v>
      </c>
      <c r="C14" s="258">
        <v>45835.0</v>
      </c>
      <c r="D14" s="256">
        <v>24.5</v>
      </c>
      <c r="E14" s="256">
        <v>16.5</v>
      </c>
      <c r="F14" s="256">
        <v>45.2</v>
      </c>
      <c r="G14" s="256" t="s">
        <v>330</v>
      </c>
      <c r="H14" s="259">
        <f t="shared" si="1"/>
        <v>86.2</v>
      </c>
      <c r="I14" s="259">
        <v>6.0</v>
      </c>
      <c r="J14" s="260" t="s">
        <v>331</v>
      </c>
    </row>
    <row r="15">
      <c r="A15" s="256">
        <v>14.0</v>
      </c>
      <c r="B15" s="257" t="s">
        <v>108</v>
      </c>
      <c r="C15" s="258">
        <v>45838.0</v>
      </c>
      <c r="D15" s="256">
        <v>23.5</v>
      </c>
      <c r="E15" s="256">
        <v>12.0</v>
      </c>
      <c r="F15" s="256">
        <v>39.9</v>
      </c>
      <c r="G15" s="256" t="s">
        <v>330</v>
      </c>
      <c r="H15" s="259">
        <f t="shared" si="1"/>
        <v>75.4</v>
      </c>
      <c r="I15" s="259">
        <v>10.0</v>
      </c>
      <c r="J15" s="260" t="s">
        <v>332</v>
      </c>
    </row>
    <row r="16">
      <c r="A16" s="256">
        <v>15.0</v>
      </c>
      <c r="B16" s="257" t="s">
        <v>141</v>
      </c>
      <c r="C16" s="258">
        <v>45848.0</v>
      </c>
      <c r="D16" s="256">
        <v>24.25</v>
      </c>
      <c r="E16" s="261">
        <v>12.0</v>
      </c>
      <c r="F16" s="261">
        <v>48.5</v>
      </c>
      <c r="G16" s="256" t="s">
        <v>317</v>
      </c>
      <c r="H16" s="259">
        <f t="shared" si="1"/>
        <v>84.75</v>
      </c>
      <c r="I16" s="259">
        <v>6.0</v>
      </c>
      <c r="J16" s="260" t="s">
        <v>333</v>
      </c>
    </row>
    <row r="17">
      <c r="A17" s="256">
        <v>16.0</v>
      </c>
      <c r="B17" s="257" t="s">
        <v>145</v>
      </c>
      <c r="C17" s="258">
        <v>45836.0</v>
      </c>
      <c r="D17" s="256">
        <v>24.75</v>
      </c>
      <c r="E17" s="256">
        <v>22.5</v>
      </c>
      <c r="F17" s="256">
        <v>48.5</v>
      </c>
      <c r="G17" s="256" t="s">
        <v>334</v>
      </c>
      <c r="H17" s="259">
        <f t="shared" si="1"/>
        <v>95.75</v>
      </c>
      <c r="I17" s="259">
        <v>6.0</v>
      </c>
      <c r="J17" s="260" t="s">
        <v>335</v>
      </c>
    </row>
    <row r="18">
      <c r="A18" s="256">
        <v>17.0</v>
      </c>
      <c r="B18" s="257" t="s">
        <v>148</v>
      </c>
      <c r="C18" s="258">
        <v>45838.0</v>
      </c>
      <c r="D18" s="256">
        <v>22.5</v>
      </c>
      <c r="E18" s="261">
        <v>18.5</v>
      </c>
      <c r="F18" s="256">
        <v>45.0</v>
      </c>
      <c r="G18" s="256" t="s">
        <v>334</v>
      </c>
      <c r="H18" s="259">
        <f t="shared" si="1"/>
        <v>86</v>
      </c>
      <c r="I18" s="259">
        <v>6.0</v>
      </c>
      <c r="J18" s="260" t="s">
        <v>336</v>
      </c>
    </row>
    <row r="19">
      <c r="A19" s="256">
        <v>18.0</v>
      </c>
      <c r="B19" s="257" t="s">
        <v>150</v>
      </c>
      <c r="C19" s="258">
        <v>45836.0</v>
      </c>
      <c r="D19" s="256">
        <v>22.5</v>
      </c>
      <c r="E19" s="256">
        <v>22.5</v>
      </c>
      <c r="F19" s="256">
        <v>46.0</v>
      </c>
      <c r="G19" s="256" t="s">
        <v>334</v>
      </c>
      <c r="H19" s="259">
        <f t="shared" si="1"/>
        <v>91</v>
      </c>
      <c r="I19" s="259">
        <v>6.0</v>
      </c>
      <c r="J19" s="260" t="s">
        <v>337</v>
      </c>
    </row>
    <row r="20">
      <c r="A20" s="256">
        <v>19.0</v>
      </c>
      <c r="B20" s="257" t="s">
        <v>154</v>
      </c>
      <c r="C20" s="258">
        <v>45839.0</v>
      </c>
      <c r="D20" s="256">
        <v>23.5</v>
      </c>
      <c r="E20" s="256">
        <v>20.0</v>
      </c>
      <c r="F20" s="256">
        <v>46.5</v>
      </c>
      <c r="G20" s="256" t="s">
        <v>334</v>
      </c>
      <c r="H20" s="259">
        <f t="shared" si="1"/>
        <v>90</v>
      </c>
      <c r="I20" s="259">
        <v>6.0</v>
      </c>
      <c r="J20" s="260" t="s">
        <v>338</v>
      </c>
    </row>
    <row r="21">
      <c r="A21" s="256">
        <v>20.0</v>
      </c>
      <c r="B21" s="257" t="s">
        <v>158</v>
      </c>
      <c r="C21" s="258">
        <v>45836.0</v>
      </c>
      <c r="D21" s="256">
        <v>23.75</v>
      </c>
      <c r="E21" s="256">
        <v>21.5</v>
      </c>
      <c r="F21" s="256">
        <v>46.0</v>
      </c>
      <c r="G21" s="256" t="s">
        <v>334</v>
      </c>
      <c r="H21" s="259">
        <f t="shared" si="1"/>
        <v>91.25</v>
      </c>
      <c r="I21" s="259">
        <v>6.0</v>
      </c>
      <c r="J21" s="260" t="s">
        <v>339</v>
      </c>
    </row>
    <row r="22">
      <c r="A22" s="256">
        <v>21.0</v>
      </c>
      <c r="B22" s="257" t="s">
        <v>162</v>
      </c>
      <c r="C22" s="258">
        <v>45837.0</v>
      </c>
      <c r="D22" s="256">
        <v>24.0</v>
      </c>
      <c r="E22" s="261">
        <v>16.75</v>
      </c>
      <c r="F22" s="261">
        <v>47.0</v>
      </c>
      <c r="G22" s="256" t="s">
        <v>334</v>
      </c>
      <c r="H22" s="259">
        <f t="shared" si="1"/>
        <v>87.75</v>
      </c>
      <c r="I22" s="259">
        <v>6.0</v>
      </c>
      <c r="J22" s="260" t="s">
        <v>340</v>
      </c>
    </row>
    <row r="23">
      <c r="A23" s="256">
        <v>22.0</v>
      </c>
      <c r="B23" s="266" t="s">
        <v>132</v>
      </c>
      <c r="C23" s="258">
        <v>45833.0</v>
      </c>
      <c r="D23" s="256">
        <v>22.25</v>
      </c>
      <c r="E23" s="261">
        <v>8.5</v>
      </c>
      <c r="F23" s="261">
        <v>47.5</v>
      </c>
      <c r="G23" s="256" t="s">
        <v>317</v>
      </c>
      <c r="H23" s="259">
        <f t="shared" si="1"/>
        <v>78.25</v>
      </c>
      <c r="I23" s="259">
        <v>12.0</v>
      </c>
      <c r="J23" s="260" t="s">
        <v>341</v>
      </c>
    </row>
    <row r="24">
      <c r="A24" s="256">
        <v>23.0</v>
      </c>
      <c r="B24" s="257" t="s">
        <v>114</v>
      </c>
      <c r="C24" s="265">
        <v>45925.0</v>
      </c>
      <c r="D24" s="261">
        <v>23.3</v>
      </c>
      <c r="E24" s="261">
        <v>13.0</v>
      </c>
      <c r="F24" s="261">
        <v>43.0</v>
      </c>
      <c r="G24" s="256" t="s">
        <v>342</v>
      </c>
      <c r="H24" s="267">
        <f t="shared" si="1"/>
        <v>79.3</v>
      </c>
      <c r="I24" s="268">
        <v>13.0</v>
      </c>
      <c r="J24" s="269" t="s">
        <v>343</v>
      </c>
    </row>
    <row r="25">
      <c r="A25" s="256">
        <v>24.0</v>
      </c>
      <c r="B25" s="270" t="s">
        <v>344</v>
      </c>
      <c r="C25" s="258">
        <v>45835.0</v>
      </c>
      <c r="D25" s="256">
        <v>24.25</v>
      </c>
      <c r="E25" s="256">
        <v>20.0</v>
      </c>
      <c r="F25" s="256">
        <v>39.0</v>
      </c>
      <c r="G25" s="256" t="s">
        <v>319</v>
      </c>
      <c r="H25" s="259">
        <f t="shared" si="1"/>
        <v>83.25</v>
      </c>
      <c r="I25" s="259">
        <v>6.0</v>
      </c>
      <c r="J25" s="260" t="s">
        <v>345</v>
      </c>
    </row>
    <row r="26">
      <c r="A26" s="256">
        <v>25.0</v>
      </c>
      <c r="B26" s="271" t="s">
        <v>122</v>
      </c>
      <c r="C26" s="258">
        <v>45837.0</v>
      </c>
      <c r="D26" s="256">
        <v>20.6</v>
      </c>
      <c r="E26" s="256">
        <v>20.0</v>
      </c>
      <c r="F26" s="256">
        <v>41.0</v>
      </c>
      <c r="G26" s="256" t="s">
        <v>319</v>
      </c>
      <c r="H26" s="259">
        <f t="shared" si="1"/>
        <v>81.6</v>
      </c>
      <c r="I26" s="259">
        <v>6.0</v>
      </c>
      <c r="J26" s="260" t="s">
        <v>346</v>
      </c>
    </row>
    <row r="27">
      <c r="A27" s="261">
        <v>26.0</v>
      </c>
      <c r="B27" s="257" t="s">
        <v>178</v>
      </c>
      <c r="C27" s="258">
        <v>45839.0</v>
      </c>
      <c r="D27" s="261">
        <v>23.5</v>
      </c>
      <c r="E27" s="261">
        <v>18.5</v>
      </c>
      <c r="F27" s="261">
        <v>40.0</v>
      </c>
      <c r="G27" s="256" t="s">
        <v>347</v>
      </c>
      <c r="H27" s="259">
        <f t="shared" si="1"/>
        <v>82</v>
      </c>
      <c r="I27" s="272">
        <v>6.0</v>
      </c>
      <c r="J27" s="260" t="s">
        <v>348</v>
      </c>
    </row>
    <row r="28">
      <c r="A28" s="256">
        <v>27.0</v>
      </c>
      <c r="B28" s="257" t="s">
        <v>183</v>
      </c>
      <c r="C28" s="258">
        <v>45833.0</v>
      </c>
      <c r="D28" s="256">
        <v>22.0</v>
      </c>
      <c r="E28" s="256">
        <v>24.75</v>
      </c>
      <c r="F28" s="256">
        <v>43.5</v>
      </c>
      <c r="G28" s="256" t="s">
        <v>349</v>
      </c>
      <c r="H28" s="259">
        <f t="shared" si="1"/>
        <v>90.25</v>
      </c>
      <c r="I28" s="259">
        <v>12.0</v>
      </c>
      <c r="J28" s="260" t="s">
        <v>350</v>
      </c>
    </row>
    <row r="29">
      <c r="A29" s="256">
        <v>28.0</v>
      </c>
      <c r="B29" s="257" t="s">
        <v>187</v>
      </c>
      <c r="C29" s="258">
        <v>45846.0</v>
      </c>
      <c r="D29" s="256">
        <v>23.5</v>
      </c>
      <c r="E29" s="261">
        <v>19.25</v>
      </c>
      <c r="F29" s="261">
        <v>39.0</v>
      </c>
      <c r="G29" s="256" t="s">
        <v>347</v>
      </c>
      <c r="H29" s="259">
        <f t="shared" si="1"/>
        <v>81.75</v>
      </c>
      <c r="I29" s="272">
        <v>15.0</v>
      </c>
      <c r="J29" s="260" t="s">
        <v>351</v>
      </c>
    </row>
    <row r="30">
      <c r="A30" s="261">
        <v>29.0</v>
      </c>
      <c r="B30" s="273" t="s">
        <v>192</v>
      </c>
      <c r="C30" s="265">
        <v>45915.0</v>
      </c>
      <c r="D30" s="261">
        <v>25.0</v>
      </c>
      <c r="E30" s="261">
        <v>14.0</v>
      </c>
      <c r="F30" s="261">
        <v>40.5</v>
      </c>
      <c r="G30" s="261" t="s">
        <v>347</v>
      </c>
      <c r="H30" s="259">
        <f t="shared" si="1"/>
        <v>79.5</v>
      </c>
      <c r="I30" s="259">
        <v>6.0</v>
      </c>
      <c r="J30" s="260" t="s">
        <v>352</v>
      </c>
    </row>
    <row r="31">
      <c r="A31" s="256">
        <v>30.0</v>
      </c>
      <c r="B31" s="257" t="s">
        <v>200</v>
      </c>
      <c r="C31" s="258">
        <v>45838.0</v>
      </c>
      <c r="D31" s="256">
        <v>23.5</v>
      </c>
      <c r="E31" s="261">
        <v>19.0</v>
      </c>
      <c r="F31" s="261">
        <v>32.0</v>
      </c>
      <c r="G31" s="256" t="s">
        <v>317</v>
      </c>
      <c r="H31" s="259">
        <f t="shared" si="1"/>
        <v>74.5</v>
      </c>
      <c r="I31" s="259">
        <v>6.0</v>
      </c>
      <c r="J31" s="260" t="s">
        <v>353</v>
      </c>
    </row>
    <row r="32">
      <c r="A32" s="261">
        <v>31.0</v>
      </c>
      <c r="B32" s="257" t="s">
        <v>204</v>
      </c>
      <c r="C32" s="274"/>
      <c r="D32" s="261">
        <v>17.0</v>
      </c>
      <c r="E32" s="261">
        <v>16.5</v>
      </c>
      <c r="F32" s="261">
        <v>34.0</v>
      </c>
      <c r="G32" s="256" t="s">
        <v>200</v>
      </c>
      <c r="H32" s="256">
        <f t="shared" si="1"/>
        <v>67.5</v>
      </c>
      <c r="I32" s="267">
        <v>6.0</v>
      </c>
      <c r="J32" s="269" t="s">
        <v>354</v>
      </c>
    </row>
    <row r="33">
      <c r="A33" s="261">
        <v>32.0</v>
      </c>
      <c r="B33" s="257" t="s">
        <v>208</v>
      </c>
      <c r="C33" s="258">
        <v>45837.0</v>
      </c>
      <c r="D33" s="256">
        <v>24.0</v>
      </c>
      <c r="E33" s="261">
        <v>19.75</v>
      </c>
      <c r="F33" s="261">
        <v>39.0</v>
      </c>
      <c r="G33" s="256" t="s">
        <v>200</v>
      </c>
      <c r="H33" s="256">
        <f t="shared" si="1"/>
        <v>82.75</v>
      </c>
      <c r="I33" s="267">
        <v>6.0</v>
      </c>
      <c r="J33" s="269" t="s">
        <v>355</v>
      </c>
    </row>
    <row r="34">
      <c r="A34" s="261">
        <v>33.0</v>
      </c>
      <c r="B34" s="257" t="s">
        <v>212</v>
      </c>
      <c r="C34" s="258">
        <v>45837.0</v>
      </c>
      <c r="D34" s="256">
        <v>24.5</v>
      </c>
      <c r="E34" s="261">
        <v>12.5</v>
      </c>
      <c r="F34" s="261">
        <v>39.0</v>
      </c>
      <c r="G34" s="256" t="s">
        <v>200</v>
      </c>
      <c r="H34" s="267">
        <f t="shared" si="1"/>
        <v>76</v>
      </c>
      <c r="I34" s="267">
        <v>6.0</v>
      </c>
      <c r="J34" s="269" t="s">
        <v>356</v>
      </c>
    </row>
    <row r="35">
      <c r="A35" s="261">
        <v>34.0</v>
      </c>
      <c r="B35" s="257" t="s">
        <v>216</v>
      </c>
      <c r="C35" s="258">
        <v>45837.0</v>
      </c>
      <c r="D35" s="256">
        <v>22.5</v>
      </c>
      <c r="E35" s="261">
        <v>16.5</v>
      </c>
      <c r="F35" s="261">
        <v>40.0</v>
      </c>
      <c r="G35" s="256" t="s">
        <v>200</v>
      </c>
      <c r="H35" s="256">
        <f t="shared" si="1"/>
        <v>79</v>
      </c>
      <c r="I35" s="256">
        <v>6.0</v>
      </c>
      <c r="J35" s="269" t="s">
        <v>357</v>
      </c>
    </row>
    <row r="36">
      <c r="A36" s="261">
        <v>35.0</v>
      </c>
      <c r="B36" s="275" t="s">
        <v>227</v>
      </c>
      <c r="C36" s="258">
        <v>45838.0</v>
      </c>
      <c r="D36" s="256">
        <v>21.25</v>
      </c>
      <c r="E36" s="261">
        <v>18.25</v>
      </c>
      <c r="F36" s="261">
        <v>37.0</v>
      </c>
      <c r="G36" s="256" t="s">
        <v>317</v>
      </c>
      <c r="H36" s="259">
        <f t="shared" si="1"/>
        <v>76.5</v>
      </c>
      <c r="I36" s="259">
        <v>6.0</v>
      </c>
      <c r="J36" s="269" t="s">
        <v>358</v>
      </c>
    </row>
    <row r="37">
      <c r="A37" s="261">
        <v>36.0</v>
      </c>
      <c r="B37" s="275" t="s">
        <v>231</v>
      </c>
      <c r="C37" s="258">
        <v>45837.0</v>
      </c>
      <c r="D37" s="256">
        <v>24.0</v>
      </c>
      <c r="E37" s="261">
        <v>19.0</v>
      </c>
      <c r="F37" s="261">
        <v>41.0</v>
      </c>
      <c r="G37" s="256" t="s">
        <v>317</v>
      </c>
      <c r="H37" s="259">
        <f t="shared" si="1"/>
        <v>84</v>
      </c>
      <c r="I37" s="259">
        <v>6.0</v>
      </c>
      <c r="J37" s="260" t="s">
        <v>359</v>
      </c>
    </row>
    <row r="38">
      <c r="A38" s="261">
        <v>37.0</v>
      </c>
      <c r="B38" s="257" t="s">
        <v>237</v>
      </c>
      <c r="C38" s="258">
        <v>45838.0</v>
      </c>
      <c r="D38" s="256">
        <v>22.5</v>
      </c>
      <c r="E38" s="261">
        <v>21.25</v>
      </c>
      <c r="F38" s="261">
        <v>30.0</v>
      </c>
      <c r="G38" s="256" t="s">
        <v>317</v>
      </c>
      <c r="H38" s="259">
        <f t="shared" si="1"/>
        <v>73.75</v>
      </c>
      <c r="I38" s="259">
        <v>6.0</v>
      </c>
      <c r="J38" s="260" t="s">
        <v>360</v>
      </c>
    </row>
    <row r="39">
      <c r="A39" s="261">
        <v>38.0</v>
      </c>
      <c r="B39" s="257" t="s">
        <v>241</v>
      </c>
      <c r="C39" s="258">
        <v>45838.0</v>
      </c>
      <c r="D39" s="256">
        <v>22.5</v>
      </c>
      <c r="E39" s="261">
        <v>19.0</v>
      </c>
      <c r="F39" s="261">
        <v>29.0</v>
      </c>
      <c r="G39" s="256" t="s">
        <v>317</v>
      </c>
      <c r="H39" s="259">
        <f t="shared" si="1"/>
        <v>70.5</v>
      </c>
      <c r="I39" s="259">
        <v>6.0</v>
      </c>
      <c r="J39" s="260" t="s">
        <v>361</v>
      </c>
    </row>
    <row r="40">
      <c r="E40" s="245"/>
      <c r="J40" s="246"/>
    </row>
    <row r="41">
      <c r="E41" s="245"/>
      <c r="J41" s="246"/>
    </row>
    <row r="42">
      <c r="E42" s="245"/>
      <c r="J42" s="246"/>
    </row>
    <row r="43">
      <c r="E43" s="245"/>
      <c r="J43" s="246"/>
    </row>
    <row r="44">
      <c r="E44" s="245"/>
      <c r="J44" s="246"/>
    </row>
    <row r="45">
      <c r="E45" s="245"/>
      <c r="J45" s="246"/>
    </row>
    <row r="46">
      <c r="E46" s="245"/>
      <c r="J46" s="246"/>
    </row>
    <row r="47">
      <c r="E47" s="245"/>
      <c r="J47" s="246"/>
    </row>
    <row r="48">
      <c r="E48" s="245"/>
      <c r="J48" s="246"/>
    </row>
    <row r="49">
      <c r="E49" s="245"/>
      <c r="J49" s="246"/>
    </row>
    <row r="50">
      <c r="E50" s="245"/>
      <c r="J50" s="246"/>
    </row>
    <row r="51">
      <c r="E51" s="245"/>
      <c r="J51" s="246"/>
    </row>
    <row r="52">
      <c r="E52" s="245"/>
      <c r="J52" s="246"/>
    </row>
    <row r="53">
      <c r="E53" s="245"/>
      <c r="J53" s="246"/>
    </row>
    <row r="54">
      <c r="E54" s="245"/>
      <c r="J54" s="246"/>
    </row>
    <row r="55">
      <c r="E55" s="245"/>
      <c r="J55" s="246"/>
    </row>
    <row r="56">
      <c r="E56" s="245"/>
      <c r="J56" s="246"/>
    </row>
    <row r="57">
      <c r="E57" s="245"/>
      <c r="J57" s="246"/>
    </row>
    <row r="58">
      <c r="E58" s="245"/>
      <c r="J58" s="246"/>
    </row>
    <row r="59">
      <c r="E59" s="245"/>
      <c r="J59" s="246"/>
    </row>
    <row r="60">
      <c r="E60" s="245"/>
      <c r="J60" s="246"/>
    </row>
    <row r="61">
      <c r="E61" s="245"/>
      <c r="J61" s="246"/>
    </row>
    <row r="62">
      <c r="E62" s="245"/>
      <c r="J62" s="246"/>
    </row>
    <row r="63">
      <c r="E63" s="245"/>
      <c r="J63" s="246"/>
    </row>
    <row r="64">
      <c r="E64" s="245"/>
      <c r="J64" s="246"/>
    </row>
    <row r="65">
      <c r="E65" s="245"/>
      <c r="J65" s="246"/>
    </row>
    <row r="66">
      <c r="E66" s="245"/>
      <c r="J66" s="246"/>
    </row>
    <row r="67">
      <c r="E67" s="245"/>
      <c r="J67" s="246"/>
    </row>
    <row r="68">
      <c r="E68" s="245"/>
      <c r="J68" s="246"/>
    </row>
    <row r="69">
      <c r="E69" s="245"/>
      <c r="J69" s="246"/>
    </row>
    <row r="70">
      <c r="E70" s="245"/>
      <c r="J70" s="246"/>
    </row>
    <row r="71">
      <c r="E71" s="245"/>
      <c r="J71" s="246"/>
    </row>
    <row r="72">
      <c r="E72" s="245"/>
      <c r="J72" s="246"/>
    </row>
    <row r="73">
      <c r="E73" s="245"/>
      <c r="J73" s="246"/>
    </row>
    <row r="74">
      <c r="E74" s="245"/>
      <c r="J74" s="246"/>
    </row>
    <row r="75">
      <c r="E75" s="245"/>
      <c r="J75" s="246"/>
    </row>
    <row r="76">
      <c r="E76" s="245"/>
      <c r="J76" s="246"/>
    </row>
    <row r="77">
      <c r="E77" s="245"/>
      <c r="J77" s="246"/>
    </row>
    <row r="78">
      <c r="E78" s="245"/>
      <c r="J78" s="246"/>
    </row>
    <row r="79">
      <c r="E79" s="245"/>
      <c r="J79" s="246"/>
    </row>
    <row r="80">
      <c r="E80" s="245"/>
      <c r="J80" s="246"/>
    </row>
    <row r="81">
      <c r="E81" s="245"/>
      <c r="J81" s="246"/>
    </row>
    <row r="82">
      <c r="E82" s="245"/>
      <c r="J82" s="246"/>
    </row>
    <row r="83">
      <c r="E83" s="245"/>
      <c r="J83" s="246"/>
    </row>
    <row r="84">
      <c r="E84" s="245"/>
      <c r="J84" s="246"/>
    </row>
    <row r="85">
      <c r="E85" s="245"/>
      <c r="J85" s="246"/>
    </row>
    <row r="86">
      <c r="E86" s="245"/>
      <c r="J86" s="246"/>
    </row>
    <row r="87">
      <c r="E87" s="245"/>
      <c r="J87" s="246"/>
    </row>
    <row r="88">
      <c r="E88" s="245"/>
      <c r="J88" s="246"/>
    </row>
    <row r="89">
      <c r="E89" s="245"/>
      <c r="J89" s="246"/>
    </row>
    <row r="90">
      <c r="E90" s="245"/>
      <c r="J90" s="246"/>
    </row>
    <row r="91">
      <c r="E91" s="245"/>
      <c r="J91" s="246"/>
    </row>
    <row r="92">
      <c r="E92" s="245"/>
      <c r="J92" s="246"/>
    </row>
    <row r="93">
      <c r="E93" s="245"/>
      <c r="J93" s="246"/>
    </row>
    <row r="94">
      <c r="E94" s="245"/>
      <c r="J94" s="246"/>
    </row>
    <row r="95">
      <c r="E95" s="245"/>
      <c r="J95" s="246"/>
    </row>
    <row r="96">
      <c r="E96" s="245"/>
      <c r="J96" s="246"/>
    </row>
    <row r="97">
      <c r="E97" s="245"/>
      <c r="J97" s="246"/>
    </row>
    <row r="98">
      <c r="E98" s="245"/>
      <c r="J98" s="246"/>
    </row>
    <row r="99">
      <c r="E99" s="245"/>
      <c r="J99" s="246"/>
    </row>
    <row r="100">
      <c r="E100" s="245"/>
      <c r="J100" s="246"/>
    </row>
    <row r="101">
      <c r="E101" s="245"/>
      <c r="J101" s="246"/>
    </row>
    <row r="102">
      <c r="E102" s="245"/>
      <c r="J102" s="246"/>
    </row>
    <row r="103">
      <c r="E103" s="245"/>
      <c r="J103" s="246"/>
    </row>
    <row r="104">
      <c r="E104" s="245"/>
      <c r="J104" s="246"/>
    </row>
    <row r="105">
      <c r="E105" s="245"/>
      <c r="J105" s="246"/>
    </row>
    <row r="106">
      <c r="E106" s="245"/>
      <c r="J106" s="246"/>
    </row>
    <row r="107">
      <c r="E107" s="245"/>
      <c r="J107" s="246"/>
    </row>
    <row r="108">
      <c r="E108" s="245"/>
      <c r="J108" s="246"/>
    </row>
    <row r="109">
      <c r="E109" s="245"/>
      <c r="J109" s="246"/>
    </row>
    <row r="110">
      <c r="E110" s="245"/>
      <c r="J110" s="246"/>
    </row>
    <row r="111">
      <c r="E111" s="245"/>
      <c r="J111" s="246"/>
    </row>
    <row r="112">
      <c r="E112" s="245"/>
      <c r="J112" s="246"/>
    </row>
    <row r="113">
      <c r="E113" s="245"/>
      <c r="J113" s="246"/>
    </row>
    <row r="114">
      <c r="E114" s="245"/>
      <c r="J114" s="246"/>
    </row>
    <row r="115">
      <c r="E115" s="245"/>
      <c r="J115" s="246"/>
    </row>
    <row r="116">
      <c r="E116" s="245"/>
      <c r="J116" s="246"/>
    </row>
    <row r="117">
      <c r="E117" s="245"/>
      <c r="J117" s="246"/>
    </row>
    <row r="118">
      <c r="E118" s="245"/>
      <c r="J118" s="246"/>
    </row>
    <row r="119">
      <c r="E119" s="245"/>
      <c r="J119" s="246"/>
    </row>
    <row r="120">
      <c r="E120" s="245"/>
      <c r="J120" s="246"/>
    </row>
    <row r="121">
      <c r="E121" s="245"/>
      <c r="J121" s="246"/>
    </row>
    <row r="122">
      <c r="E122" s="245"/>
      <c r="J122" s="246"/>
    </row>
    <row r="123">
      <c r="E123" s="245"/>
      <c r="J123" s="246"/>
    </row>
    <row r="124">
      <c r="E124" s="245"/>
      <c r="J124" s="246"/>
    </row>
    <row r="125">
      <c r="E125" s="245"/>
      <c r="J125" s="246"/>
    </row>
    <row r="126">
      <c r="E126" s="245"/>
      <c r="J126" s="246"/>
    </row>
    <row r="127">
      <c r="E127" s="245"/>
      <c r="J127" s="246"/>
    </row>
    <row r="128">
      <c r="E128" s="245"/>
      <c r="J128" s="246"/>
    </row>
    <row r="129">
      <c r="E129" s="245"/>
      <c r="J129" s="246"/>
    </row>
    <row r="130">
      <c r="E130" s="245"/>
      <c r="J130" s="246"/>
    </row>
    <row r="131">
      <c r="E131" s="245"/>
      <c r="J131" s="246"/>
    </row>
    <row r="132">
      <c r="E132" s="245"/>
      <c r="J132" s="246"/>
    </row>
    <row r="133">
      <c r="E133" s="245"/>
      <c r="J133" s="246"/>
    </row>
    <row r="134">
      <c r="E134" s="245"/>
      <c r="J134" s="246"/>
    </row>
    <row r="135">
      <c r="E135" s="245"/>
      <c r="J135" s="246"/>
    </row>
    <row r="136">
      <c r="E136" s="245"/>
      <c r="J136" s="246"/>
    </row>
    <row r="137">
      <c r="E137" s="245"/>
      <c r="J137" s="246"/>
    </row>
    <row r="138">
      <c r="E138" s="245"/>
      <c r="J138" s="246"/>
    </row>
    <row r="139">
      <c r="E139" s="245"/>
      <c r="J139" s="246"/>
    </row>
    <row r="140">
      <c r="E140" s="245"/>
      <c r="J140" s="246"/>
    </row>
    <row r="141">
      <c r="E141" s="245"/>
      <c r="J141" s="246"/>
    </row>
    <row r="142">
      <c r="E142" s="245"/>
      <c r="J142" s="246"/>
    </row>
    <row r="143">
      <c r="E143" s="245"/>
      <c r="J143" s="246"/>
    </row>
    <row r="144">
      <c r="E144" s="245"/>
      <c r="J144" s="246"/>
    </row>
    <row r="145">
      <c r="E145" s="245"/>
      <c r="J145" s="246"/>
    </row>
    <row r="146">
      <c r="E146" s="245"/>
      <c r="J146" s="246"/>
    </row>
    <row r="147">
      <c r="E147" s="245"/>
      <c r="J147" s="246"/>
    </row>
    <row r="148">
      <c r="E148" s="245"/>
      <c r="J148" s="246"/>
    </row>
    <row r="149">
      <c r="E149" s="245"/>
      <c r="J149" s="246"/>
    </row>
    <row r="150">
      <c r="E150" s="245"/>
      <c r="J150" s="246"/>
    </row>
    <row r="151">
      <c r="E151" s="245"/>
      <c r="J151" s="246"/>
    </row>
    <row r="152">
      <c r="E152" s="245"/>
      <c r="J152" s="246"/>
    </row>
    <row r="153">
      <c r="E153" s="245"/>
      <c r="J153" s="246"/>
    </row>
    <row r="154">
      <c r="E154" s="245"/>
      <c r="J154" s="246"/>
    </row>
    <row r="155">
      <c r="E155" s="245"/>
      <c r="J155" s="246"/>
    </row>
    <row r="156">
      <c r="E156" s="245"/>
      <c r="J156" s="246"/>
    </row>
    <row r="157">
      <c r="E157" s="245"/>
      <c r="J157" s="246"/>
    </row>
    <row r="158">
      <c r="E158" s="245"/>
      <c r="J158" s="246"/>
    </row>
    <row r="159">
      <c r="E159" s="245"/>
      <c r="J159" s="246"/>
    </row>
    <row r="160">
      <c r="E160" s="245"/>
      <c r="J160" s="246"/>
    </row>
    <row r="161">
      <c r="E161" s="245"/>
      <c r="J161" s="246"/>
    </row>
    <row r="162">
      <c r="E162" s="245"/>
      <c r="J162" s="246"/>
    </row>
    <row r="163">
      <c r="E163" s="245"/>
      <c r="J163" s="246"/>
    </row>
    <row r="164">
      <c r="E164" s="245"/>
      <c r="J164" s="246"/>
    </row>
    <row r="165">
      <c r="E165" s="245"/>
      <c r="J165" s="246"/>
    </row>
    <row r="166">
      <c r="E166" s="245"/>
      <c r="J166" s="246"/>
    </row>
    <row r="167">
      <c r="E167" s="245"/>
      <c r="J167" s="246"/>
    </row>
    <row r="168">
      <c r="E168" s="245"/>
      <c r="J168" s="246"/>
    </row>
    <row r="169">
      <c r="E169" s="245"/>
      <c r="J169" s="246"/>
    </row>
    <row r="170">
      <c r="E170" s="245"/>
      <c r="J170" s="246"/>
    </row>
    <row r="171">
      <c r="E171" s="245"/>
      <c r="J171" s="246"/>
    </row>
    <row r="172">
      <c r="E172" s="245"/>
      <c r="J172" s="246"/>
    </row>
    <row r="173">
      <c r="E173" s="245"/>
      <c r="J173" s="246"/>
    </row>
    <row r="174">
      <c r="E174" s="245"/>
      <c r="J174" s="246"/>
    </row>
    <row r="175">
      <c r="E175" s="245"/>
      <c r="J175" s="246"/>
    </row>
    <row r="176">
      <c r="E176" s="245"/>
      <c r="J176" s="246"/>
    </row>
    <row r="177">
      <c r="E177" s="245"/>
      <c r="J177" s="246"/>
    </row>
    <row r="178">
      <c r="E178" s="245"/>
      <c r="J178" s="246"/>
    </row>
    <row r="179">
      <c r="E179" s="245"/>
      <c r="J179" s="246"/>
    </row>
    <row r="180">
      <c r="E180" s="245"/>
      <c r="J180" s="246"/>
    </row>
    <row r="181">
      <c r="E181" s="245"/>
      <c r="J181" s="246"/>
    </row>
    <row r="182">
      <c r="E182" s="245"/>
      <c r="J182" s="246"/>
    </row>
    <row r="183">
      <c r="E183" s="245"/>
      <c r="J183" s="246"/>
    </row>
    <row r="184">
      <c r="E184" s="245"/>
      <c r="J184" s="246"/>
    </row>
    <row r="185">
      <c r="E185" s="245"/>
      <c r="J185" s="246"/>
    </row>
    <row r="186">
      <c r="E186" s="245"/>
      <c r="J186" s="246"/>
    </row>
    <row r="187">
      <c r="E187" s="245"/>
      <c r="J187" s="246"/>
    </row>
    <row r="188">
      <c r="E188" s="245"/>
      <c r="J188" s="246"/>
    </row>
    <row r="189">
      <c r="E189" s="245"/>
      <c r="J189" s="246"/>
    </row>
    <row r="190">
      <c r="E190" s="245"/>
      <c r="J190" s="246"/>
    </row>
    <row r="191">
      <c r="E191" s="245"/>
      <c r="J191" s="246"/>
    </row>
    <row r="192">
      <c r="E192" s="245"/>
      <c r="J192" s="246"/>
    </row>
    <row r="193">
      <c r="E193" s="245"/>
      <c r="J193" s="246"/>
    </row>
    <row r="194">
      <c r="E194" s="245"/>
      <c r="J194" s="246"/>
    </row>
    <row r="195">
      <c r="E195" s="245"/>
      <c r="J195" s="246"/>
    </row>
    <row r="196">
      <c r="E196" s="245"/>
      <c r="J196" s="246"/>
    </row>
    <row r="197">
      <c r="E197" s="245"/>
      <c r="J197" s="246"/>
    </row>
    <row r="198">
      <c r="E198" s="245"/>
      <c r="J198" s="246"/>
    </row>
    <row r="199">
      <c r="E199" s="245"/>
      <c r="J199" s="246"/>
    </row>
    <row r="200">
      <c r="E200" s="245"/>
      <c r="J200" s="246"/>
    </row>
    <row r="201">
      <c r="E201" s="245"/>
      <c r="J201" s="246"/>
    </row>
    <row r="202">
      <c r="E202" s="245"/>
      <c r="J202" s="246"/>
    </row>
    <row r="203">
      <c r="E203" s="245"/>
      <c r="J203" s="246"/>
    </row>
    <row r="204">
      <c r="E204" s="245"/>
      <c r="J204" s="246"/>
    </row>
    <row r="205">
      <c r="E205" s="245"/>
      <c r="J205" s="246"/>
    </row>
    <row r="206">
      <c r="E206" s="245"/>
      <c r="J206" s="246"/>
    </row>
    <row r="207">
      <c r="E207" s="245"/>
      <c r="J207" s="246"/>
    </row>
    <row r="208">
      <c r="E208" s="245"/>
      <c r="J208" s="246"/>
    </row>
    <row r="209">
      <c r="E209" s="245"/>
      <c r="J209" s="246"/>
    </row>
    <row r="210">
      <c r="E210" s="245"/>
      <c r="J210" s="246"/>
    </row>
    <row r="211">
      <c r="E211" s="245"/>
      <c r="J211" s="246"/>
    </row>
    <row r="212">
      <c r="E212" s="245"/>
      <c r="J212" s="246"/>
    </row>
    <row r="213">
      <c r="E213" s="245"/>
      <c r="J213" s="246"/>
    </row>
    <row r="214">
      <c r="E214" s="245"/>
      <c r="J214" s="246"/>
    </row>
    <row r="215">
      <c r="E215" s="245"/>
      <c r="J215" s="246"/>
    </row>
    <row r="216">
      <c r="E216" s="245"/>
      <c r="J216" s="246"/>
    </row>
    <row r="217">
      <c r="E217" s="245"/>
      <c r="J217" s="246"/>
    </row>
    <row r="218">
      <c r="E218" s="245"/>
      <c r="J218" s="246"/>
    </row>
    <row r="219">
      <c r="E219" s="245"/>
      <c r="J219" s="246"/>
    </row>
    <row r="220">
      <c r="E220" s="245"/>
      <c r="J220" s="246"/>
    </row>
    <row r="221">
      <c r="E221" s="245"/>
      <c r="J221" s="246"/>
    </row>
    <row r="222">
      <c r="E222" s="245"/>
      <c r="J222" s="246"/>
    </row>
    <row r="223">
      <c r="E223" s="245"/>
      <c r="J223" s="246"/>
    </row>
    <row r="224">
      <c r="E224" s="245"/>
      <c r="J224" s="246"/>
    </row>
    <row r="225">
      <c r="E225" s="245"/>
      <c r="J225" s="246"/>
    </row>
    <row r="226">
      <c r="E226" s="245"/>
      <c r="J226" s="246"/>
    </row>
    <row r="227">
      <c r="E227" s="245"/>
      <c r="J227" s="246"/>
    </row>
    <row r="228">
      <c r="E228" s="245"/>
      <c r="J228" s="246"/>
    </row>
    <row r="229">
      <c r="E229" s="245"/>
      <c r="J229" s="246"/>
    </row>
    <row r="230">
      <c r="E230" s="245"/>
      <c r="J230" s="246"/>
    </row>
    <row r="231">
      <c r="E231" s="245"/>
      <c r="J231" s="246"/>
    </row>
    <row r="232">
      <c r="E232" s="245"/>
      <c r="J232" s="246"/>
    </row>
    <row r="233">
      <c r="E233" s="245"/>
      <c r="J233" s="246"/>
    </row>
    <row r="234">
      <c r="E234" s="245"/>
      <c r="J234" s="246"/>
    </row>
    <row r="235">
      <c r="E235" s="245"/>
      <c r="J235" s="246"/>
    </row>
    <row r="236">
      <c r="E236" s="245"/>
      <c r="J236" s="246"/>
    </row>
    <row r="237">
      <c r="E237" s="245"/>
      <c r="J237" s="246"/>
    </row>
    <row r="238">
      <c r="E238" s="245"/>
      <c r="J238" s="246"/>
    </row>
    <row r="239">
      <c r="E239" s="245"/>
      <c r="J239" s="246"/>
    </row>
    <row r="240">
      <c r="E240" s="245"/>
      <c r="J240" s="246"/>
    </row>
    <row r="241">
      <c r="E241" s="245"/>
      <c r="J241" s="246"/>
    </row>
    <row r="242">
      <c r="E242" s="245"/>
      <c r="J242" s="246"/>
    </row>
    <row r="243">
      <c r="E243" s="245"/>
      <c r="J243" s="246"/>
    </row>
    <row r="244">
      <c r="E244" s="245"/>
      <c r="J244" s="246"/>
    </row>
    <row r="245">
      <c r="E245" s="245"/>
      <c r="J245" s="246"/>
    </row>
    <row r="246">
      <c r="E246" s="245"/>
      <c r="J246" s="246"/>
    </row>
    <row r="247">
      <c r="E247" s="245"/>
      <c r="J247" s="246"/>
    </row>
    <row r="248">
      <c r="E248" s="245"/>
      <c r="J248" s="246"/>
    </row>
    <row r="249">
      <c r="E249" s="245"/>
      <c r="J249" s="246"/>
    </row>
    <row r="250">
      <c r="E250" s="245"/>
      <c r="J250" s="246"/>
    </row>
    <row r="251">
      <c r="E251" s="245"/>
      <c r="J251" s="246"/>
    </row>
    <row r="252">
      <c r="E252" s="245"/>
      <c r="J252" s="246"/>
    </row>
    <row r="253">
      <c r="E253" s="245"/>
      <c r="J253" s="246"/>
    </row>
    <row r="254">
      <c r="E254" s="245"/>
      <c r="J254" s="246"/>
    </row>
    <row r="255">
      <c r="E255" s="245"/>
      <c r="J255" s="246"/>
    </row>
    <row r="256">
      <c r="E256" s="245"/>
      <c r="J256" s="246"/>
    </row>
    <row r="257">
      <c r="E257" s="245"/>
      <c r="J257" s="246"/>
    </row>
    <row r="258">
      <c r="E258" s="245"/>
      <c r="J258" s="246"/>
    </row>
    <row r="259">
      <c r="E259" s="245"/>
      <c r="J259" s="246"/>
    </row>
    <row r="260">
      <c r="E260" s="245"/>
      <c r="J260" s="246"/>
    </row>
    <row r="261">
      <c r="E261" s="245"/>
      <c r="J261" s="246"/>
    </row>
    <row r="262">
      <c r="E262" s="245"/>
      <c r="J262" s="246"/>
    </row>
    <row r="263">
      <c r="E263" s="245"/>
      <c r="J263" s="246"/>
    </row>
    <row r="264">
      <c r="E264" s="245"/>
      <c r="J264" s="246"/>
    </row>
    <row r="265">
      <c r="E265" s="245"/>
      <c r="J265" s="246"/>
    </row>
    <row r="266">
      <c r="E266" s="245"/>
      <c r="J266" s="246"/>
    </row>
    <row r="267">
      <c r="E267" s="245"/>
      <c r="J267" s="246"/>
    </row>
    <row r="268">
      <c r="E268" s="245"/>
      <c r="J268" s="246"/>
    </row>
    <row r="269">
      <c r="E269" s="245"/>
      <c r="J269" s="246"/>
    </row>
    <row r="270">
      <c r="E270" s="245"/>
      <c r="J270" s="246"/>
    </row>
    <row r="271">
      <c r="E271" s="245"/>
      <c r="J271" s="246"/>
    </row>
    <row r="272">
      <c r="E272" s="245"/>
      <c r="J272" s="246"/>
    </row>
    <row r="273">
      <c r="E273" s="245"/>
      <c r="J273" s="246"/>
    </row>
    <row r="274">
      <c r="E274" s="245"/>
      <c r="J274" s="246"/>
    </row>
    <row r="275">
      <c r="E275" s="245"/>
      <c r="J275" s="246"/>
    </row>
    <row r="276">
      <c r="E276" s="245"/>
      <c r="J276" s="246"/>
    </row>
    <row r="277">
      <c r="E277" s="245"/>
      <c r="J277" s="246"/>
    </row>
    <row r="278">
      <c r="E278" s="245"/>
      <c r="J278" s="246"/>
    </row>
    <row r="279">
      <c r="E279" s="245"/>
      <c r="J279" s="246"/>
    </row>
    <row r="280">
      <c r="E280" s="245"/>
      <c r="J280" s="246"/>
    </row>
    <row r="281">
      <c r="E281" s="245"/>
      <c r="J281" s="246"/>
    </row>
    <row r="282">
      <c r="E282" s="245"/>
      <c r="J282" s="246"/>
    </row>
    <row r="283">
      <c r="E283" s="245"/>
      <c r="J283" s="246"/>
    </row>
    <row r="284">
      <c r="E284" s="245"/>
      <c r="J284" s="246"/>
    </row>
    <row r="285">
      <c r="E285" s="245"/>
      <c r="J285" s="246"/>
    </row>
    <row r="286">
      <c r="E286" s="245"/>
      <c r="J286" s="246"/>
    </row>
    <row r="287">
      <c r="E287" s="245"/>
      <c r="J287" s="246"/>
    </row>
    <row r="288">
      <c r="E288" s="245"/>
      <c r="J288" s="246"/>
    </row>
    <row r="289">
      <c r="E289" s="245"/>
      <c r="J289" s="246"/>
    </row>
    <row r="290">
      <c r="E290" s="245"/>
      <c r="J290" s="246"/>
    </row>
    <row r="291">
      <c r="E291" s="245"/>
      <c r="J291" s="246"/>
    </row>
    <row r="292">
      <c r="E292" s="245"/>
      <c r="J292" s="246"/>
    </row>
    <row r="293">
      <c r="E293" s="245"/>
      <c r="J293" s="246"/>
    </row>
    <row r="294">
      <c r="E294" s="245"/>
      <c r="J294" s="246"/>
    </row>
    <row r="295">
      <c r="E295" s="245"/>
      <c r="J295" s="246"/>
    </row>
    <row r="296">
      <c r="E296" s="245"/>
      <c r="J296" s="246"/>
    </row>
    <row r="297">
      <c r="E297" s="245"/>
      <c r="J297" s="246"/>
    </row>
    <row r="298">
      <c r="E298" s="245"/>
      <c r="J298" s="246"/>
    </row>
    <row r="299">
      <c r="E299" s="245"/>
      <c r="J299" s="246"/>
    </row>
    <row r="300">
      <c r="E300" s="245"/>
      <c r="J300" s="246"/>
    </row>
    <row r="301">
      <c r="E301" s="245"/>
      <c r="J301" s="246"/>
    </row>
    <row r="302">
      <c r="E302" s="245"/>
      <c r="J302" s="246"/>
    </row>
    <row r="303">
      <c r="E303" s="245"/>
      <c r="J303" s="246"/>
    </row>
    <row r="304">
      <c r="E304" s="245"/>
      <c r="J304" s="246"/>
    </row>
    <row r="305">
      <c r="E305" s="245"/>
      <c r="J305" s="246"/>
    </row>
    <row r="306">
      <c r="E306" s="245"/>
      <c r="J306" s="246"/>
    </row>
    <row r="307">
      <c r="E307" s="245"/>
      <c r="J307" s="246"/>
    </row>
    <row r="308">
      <c r="E308" s="245"/>
      <c r="J308" s="246"/>
    </row>
    <row r="309">
      <c r="E309" s="245"/>
      <c r="J309" s="246"/>
    </row>
    <row r="310">
      <c r="E310" s="245"/>
      <c r="J310" s="246"/>
    </row>
    <row r="311">
      <c r="E311" s="245"/>
      <c r="J311" s="246"/>
    </row>
    <row r="312">
      <c r="E312" s="245"/>
      <c r="J312" s="246"/>
    </row>
    <row r="313">
      <c r="E313" s="245"/>
      <c r="J313" s="246"/>
    </row>
    <row r="314">
      <c r="E314" s="245"/>
      <c r="J314" s="246"/>
    </row>
    <row r="315">
      <c r="E315" s="245"/>
      <c r="J315" s="246"/>
    </row>
    <row r="316">
      <c r="E316" s="245"/>
      <c r="J316" s="246"/>
    </row>
    <row r="317">
      <c r="E317" s="245"/>
      <c r="J317" s="246"/>
    </row>
    <row r="318">
      <c r="E318" s="245"/>
      <c r="J318" s="246"/>
    </row>
    <row r="319">
      <c r="E319" s="245"/>
      <c r="J319" s="246"/>
    </row>
    <row r="320">
      <c r="E320" s="245"/>
      <c r="J320" s="246"/>
    </row>
    <row r="321">
      <c r="E321" s="245"/>
      <c r="J321" s="246"/>
    </row>
    <row r="322">
      <c r="E322" s="245"/>
      <c r="J322" s="246"/>
    </row>
    <row r="323">
      <c r="E323" s="245"/>
      <c r="J323" s="246"/>
    </row>
    <row r="324">
      <c r="E324" s="245"/>
      <c r="J324" s="246"/>
    </row>
    <row r="325">
      <c r="E325" s="245"/>
      <c r="J325" s="246"/>
    </row>
    <row r="326">
      <c r="E326" s="245"/>
      <c r="J326" s="246"/>
    </row>
    <row r="327">
      <c r="E327" s="245"/>
      <c r="J327" s="246"/>
    </row>
    <row r="328">
      <c r="E328" s="245"/>
      <c r="J328" s="246"/>
    </row>
    <row r="329">
      <c r="E329" s="245"/>
      <c r="J329" s="246"/>
    </row>
    <row r="330">
      <c r="E330" s="245"/>
      <c r="J330" s="246"/>
    </row>
    <row r="331">
      <c r="E331" s="245"/>
      <c r="J331" s="246"/>
    </row>
    <row r="332">
      <c r="E332" s="245"/>
      <c r="J332" s="246"/>
    </row>
    <row r="333">
      <c r="E333" s="245"/>
      <c r="J333" s="246"/>
    </row>
    <row r="334">
      <c r="E334" s="245"/>
      <c r="J334" s="246"/>
    </row>
    <row r="335">
      <c r="E335" s="245"/>
      <c r="J335" s="246"/>
    </row>
    <row r="336">
      <c r="E336" s="245"/>
      <c r="J336" s="246"/>
    </row>
    <row r="337">
      <c r="E337" s="245"/>
      <c r="J337" s="246"/>
    </row>
    <row r="338">
      <c r="E338" s="245"/>
      <c r="J338" s="246"/>
    </row>
    <row r="339">
      <c r="E339" s="245"/>
      <c r="J339" s="246"/>
    </row>
    <row r="340">
      <c r="E340" s="245"/>
      <c r="J340" s="246"/>
    </row>
    <row r="341">
      <c r="E341" s="245"/>
      <c r="J341" s="246"/>
    </row>
    <row r="342">
      <c r="E342" s="245"/>
      <c r="J342" s="246"/>
    </row>
    <row r="343">
      <c r="E343" s="245"/>
      <c r="J343" s="246"/>
    </row>
    <row r="344">
      <c r="E344" s="245"/>
      <c r="J344" s="246"/>
    </row>
    <row r="345">
      <c r="E345" s="245"/>
      <c r="J345" s="246"/>
    </row>
    <row r="346">
      <c r="E346" s="245"/>
      <c r="J346" s="246"/>
    </row>
    <row r="347">
      <c r="E347" s="245"/>
      <c r="J347" s="246"/>
    </row>
    <row r="348">
      <c r="E348" s="245"/>
      <c r="J348" s="246"/>
    </row>
    <row r="349">
      <c r="E349" s="245"/>
      <c r="J349" s="246"/>
    </row>
    <row r="350">
      <c r="E350" s="245"/>
      <c r="J350" s="246"/>
    </row>
    <row r="351">
      <c r="E351" s="245"/>
      <c r="J351" s="246"/>
    </row>
    <row r="352">
      <c r="E352" s="245"/>
      <c r="J352" s="246"/>
    </row>
    <row r="353">
      <c r="E353" s="245"/>
      <c r="J353" s="246"/>
    </row>
    <row r="354">
      <c r="E354" s="245"/>
      <c r="J354" s="246"/>
    </row>
    <row r="355">
      <c r="E355" s="245"/>
      <c r="J355" s="246"/>
    </row>
    <row r="356">
      <c r="E356" s="245"/>
      <c r="J356" s="246"/>
    </row>
    <row r="357">
      <c r="E357" s="245"/>
      <c r="J357" s="246"/>
    </row>
    <row r="358">
      <c r="E358" s="245"/>
      <c r="J358" s="246"/>
    </row>
    <row r="359">
      <c r="E359" s="245"/>
      <c r="J359" s="246"/>
    </row>
    <row r="360">
      <c r="E360" s="245"/>
      <c r="J360" s="246"/>
    </row>
    <row r="361">
      <c r="E361" s="245"/>
      <c r="J361" s="246"/>
    </row>
    <row r="362">
      <c r="E362" s="245"/>
      <c r="J362" s="246"/>
    </row>
    <row r="363">
      <c r="E363" s="245"/>
      <c r="J363" s="246"/>
    </row>
    <row r="364">
      <c r="E364" s="245"/>
      <c r="J364" s="246"/>
    </row>
    <row r="365">
      <c r="E365" s="245"/>
      <c r="J365" s="246"/>
    </row>
    <row r="366">
      <c r="E366" s="245"/>
      <c r="J366" s="246"/>
    </row>
    <row r="367">
      <c r="E367" s="245"/>
      <c r="J367" s="246"/>
    </row>
    <row r="368">
      <c r="E368" s="245"/>
      <c r="J368" s="246"/>
    </row>
    <row r="369">
      <c r="E369" s="245"/>
      <c r="J369" s="246"/>
    </row>
    <row r="370">
      <c r="E370" s="245"/>
      <c r="J370" s="246"/>
    </row>
    <row r="371">
      <c r="E371" s="245"/>
      <c r="J371" s="246"/>
    </row>
    <row r="372">
      <c r="E372" s="245"/>
      <c r="J372" s="246"/>
    </row>
    <row r="373">
      <c r="E373" s="245"/>
      <c r="J373" s="246"/>
    </row>
    <row r="374">
      <c r="E374" s="245"/>
      <c r="J374" s="246"/>
    </row>
    <row r="375">
      <c r="E375" s="245"/>
      <c r="J375" s="246"/>
    </row>
    <row r="376">
      <c r="E376" s="245"/>
      <c r="J376" s="246"/>
    </row>
    <row r="377">
      <c r="E377" s="245"/>
      <c r="J377" s="246"/>
    </row>
    <row r="378">
      <c r="E378" s="245"/>
      <c r="J378" s="246"/>
    </row>
    <row r="379">
      <c r="E379" s="245"/>
      <c r="J379" s="246"/>
    </row>
    <row r="380">
      <c r="E380" s="245"/>
      <c r="J380" s="246"/>
    </row>
    <row r="381">
      <c r="E381" s="245"/>
      <c r="J381" s="246"/>
    </row>
    <row r="382">
      <c r="E382" s="245"/>
      <c r="J382" s="246"/>
    </row>
    <row r="383">
      <c r="E383" s="245"/>
      <c r="J383" s="246"/>
    </row>
    <row r="384">
      <c r="E384" s="245"/>
      <c r="J384" s="246"/>
    </row>
    <row r="385">
      <c r="E385" s="245"/>
      <c r="J385" s="246"/>
    </row>
    <row r="386">
      <c r="E386" s="245"/>
      <c r="J386" s="246"/>
    </row>
    <row r="387">
      <c r="E387" s="245"/>
      <c r="J387" s="246"/>
    </row>
    <row r="388">
      <c r="E388" s="245"/>
      <c r="J388" s="246"/>
    </row>
    <row r="389">
      <c r="E389" s="245"/>
      <c r="J389" s="246"/>
    </row>
    <row r="390">
      <c r="E390" s="245"/>
      <c r="J390" s="246"/>
    </row>
    <row r="391">
      <c r="E391" s="245"/>
      <c r="J391" s="246"/>
    </row>
    <row r="392">
      <c r="E392" s="245"/>
      <c r="J392" s="246"/>
    </row>
    <row r="393">
      <c r="E393" s="245"/>
      <c r="J393" s="246"/>
    </row>
    <row r="394">
      <c r="E394" s="245"/>
      <c r="J394" s="246"/>
    </row>
    <row r="395">
      <c r="E395" s="245"/>
      <c r="J395" s="246"/>
    </row>
    <row r="396">
      <c r="E396" s="245"/>
      <c r="J396" s="246"/>
    </row>
    <row r="397">
      <c r="E397" s="245"/>
      <c r="J397" s="246"/>
    </row>
    <row r="398">
      <c r="E398" s="245"/>
      <c r="J398" s="246"/>
    </row>
    <row r="399">
      <c r="E399" s="245"/>
      <c r="J399" s="246"/>
    </row>
    <row r="400">
      <c r="E400" s="245"/>
      <c r="J400" s="246"/>
    </row>
    <row r="401">
      <c r="E401" s="245"/>
      <c r="J401" s="246"/>
    </row>
    <row r="402">
      <c r="E402" s="245"/>
      <c r="J402" s="246"/>
    </row>
    <row r="403">
      <c r="E403" s="245"/>
      <c r="J403" s="246"/>
    </row>
    <row r="404">
      <c r="E404" s="245"/>
      <c r="J404" s="246"/>
    </row>
    <row r="405">
      <c r="E405" s="245"/>
      <c r="J405" s="246"/>
    </row>
    <row r="406">
      <c r="E406" s="245"/>
      <c r="J406" s="246"/>
    </row>
    <row r="407">
      <c r="E407" s="245"/>
      <c r="J407" s="246"/>
    </row>
    <row r="408">
      <c r="E408" s="245"/>
      <c r="J408" s="246"/>
    </row>
    <row r="409">
      <c r="E409" s="245"/>
      <c r="J409" s="246"/>
    </row>
    <row r="410">
      <c r="E410" s="245"/>
      <c r="J410" s="246"/>
    </row>
    <row r="411">
      <c r="E411" s="245"/>
      <c r="J411" s="246"/>
    </row>
    <row r="412">
      <c r="E412" s="245"/>
      <c r="J412" s="246"/>
    </row>
    <row r="413">
      <c r="E413" s="245"/>
      <c r="J413" s="246"/>
    </row>
    <row r="414">
      <c r="E414" s="245"/>
      <c r="J414" s="246"/>
    </row>
    <row r="415">
      <c r="E415" s="245"/>
      <c r="J415" s="246"/>
    </row>
    <row r="416">
      <c r="E416" s="245"/>
      <c r="J416" s="246"/>
    </row>
    <row r="417">
      <c r="E417" s="245"/>
      <c r="J417" s="246"/>
    </row>
    <row r="418">
      <c r="E418" s="245"/>
      <c r="J418" s="246"/>
    </row>
    <row r="419">
      <c r="E419" s="245"/>
      <c r="J419" s="246"/>
    </row>
    <row r="420">
      <c r="E420" s="245"/>
      <c r="J420" s="246"/>
    </row>
    <row r="421">
      <c r="E421" s="245"/>
      <c r="J421" s="246"/>
    </row>
    <row r="422">
      <c r="E422" s="245"/>
      <c r="J422" s="246"/>
    </row>
    <row r="423">
      <c r="E423" s="245"/>
      <c r="J423" s="246"/>
    </row>
    <row r="424">
      <c r="E424" s="245"/>
      <c r="J424" s="246"/>
    </row>
    <row r="425">
      <c r="E425" s="245"/>
      <c r="J425" s="246"/>
    </row>
    <row r="426">
      <c r="E426" s="245"/>
      <c r="J426" s="246"/>
    </row>
    <row r="427">
      <c r="E427" s="245"/>
      <c r="J427" s="246"/>
    </row>
    <row r="428">
      <c r="E428" s="245"/>
      <c r="J428" s="246"/>
    </row>
    <row r="429">
      <c r="E429" s="245"/>
      <c r="J429" s="246"/>
    </row>
    <row r="430">
      <c r="E430" s="245"/>
      <c r="J430" s="246"/>
    </row>
    <row r="431">
      <c r="E431" s="245"/>
      <c r="J431" s="246"/>
    </row>
    <row r="432">
      <c r="E432" s="245"/>
      <c r="J432" s="246"/>
    </row>
    <row r="433">
      <c r="E433" s="245"/>
      <c r="J433" s="246"/>
    </row>
    <row r="434">
      <c r="E434" s="245"/>
      <c r="J434" s="246"/>
    </row>
    <row r="435">
      <c r="E435" s="245"/>
      <c r="J435" s="246"/>
    </row>
    <row r="436">
      <c r="E436" s="245"/>
      <c r="J436" s="246"/>
    </row>
    <row r="437">
      <c r="E437" s="245"/>
      <c r="J437" s="246"/>
    </row>
    <row r="438">
      <c r="E438" s="245"/>
      <c r="J438" s="246"/>
    </row>
    <row r="439">
      <c r="E439" s="245"/>
      <c r="J439" s="246"/>
    </row>
    <row r="440">
      <c r="E440" s="245"/>
      <c r="J440" s="246"/>
    </row>
    <row r="441">
      <c r="E441" s="245"/>
      <c r="J441" s="246"/>
    </row>
    <row r="442">
      <c r="E442" s="245"/>
      <c r="J442" s="246"/>
    </row>
    <row r="443">
      <c r="E443" s="245"/>
      <c r="J443" s="246"/>
    </row>
    <row r="444">
      <c r="E444" s="245"/>
      <c r="J444" s="246"/>
    </row>
    <row r="445">
      <c r="E445" s="245"/>
      <c r="J445" s="246"/>
    </row>
    <row r="446">
      <c r="E446" s="245"/>
      <c r="J446" s="246"/>
    </row>
    <row r="447">
      <c r="E447" s="245"/>
      <c r="J447" s="246"/>
    </row>
    <row r="448">
      <c r="E448" s="245"/>
      <c r="J448" s="246"/>
    </row>
    <row r="449">
      <c r="E449" s="245"/>
      <c r="J449" s="246"/>
    </row>
    <row r="450">
      <c r="E450" s="245"/>
      <c r="J450" s="246"/>
    </row>
    <row r="451">
      <c r="E451" s="245"/>
      <c r="J451" s="246"/>
    </row>
    <row r="452">
      <c r="E452" s="245"/>
      <c r="J452" s="246"/>
    </row>
    <row r="453">
      <c r="E453" s="245"/>
      <c r="J453" s="246"/>
    </row>
    <row r="454">
      <c r="E454" s="245"/>
      <c r="J454" s="246"/>
    </row>
    <row r="455">
      <c r="E455" s="245"/>
      <c r="J455" s="246"/>
    </row>
    <row r="456">
      <c r="E456" s="245"/>
      <c r="J456" s="246"/>
    </row>
    <row r="457">
      <c r="E457" s="245"/>
      <c r="J457" s="246"/>
    </row>
    <row r="458">
      <c r="E458" s="245"/>
      <c r="J458" s="246"/>
    </row>
    <row r="459">
      <c r="E459" s="245"/>
      <c r="J459" s="246"/>
    </row>
    <row r="460">
      <c r="E460" s="245"/>
      <c r="J460" s="246"/>
    </row>
    <row r="461">
      <c r="E461" s="245"/>
      <c r="J461" s="246"/>
    </row>
    <row r="462">
      <c r="E462" s="245"/>
      <c r="J462" s="246"/>
    </row>
    <row r="463">
      <c r="E463" s="245"/>
      <c r="J463" s="246"/>
    </row>
    <row r="464">
      <c r="E464" s="245"/>
      <c r="J464" s="246"/>
    </row>
    <row r="465">
      <c r="E465" s="245"/>
      <c r="J465" s="246"/>
    </row>
    <row r="466">
      <c r="E466" s="245"/>
      <c r="J466" s="246"/>
    </row>
    <row r="467">
      <c r="E467" s="245"/>
      <c r="J467" s="246"/>
    </row>
    <row r="468">
      <c r="E468" s="245"/>
      <c r="J468" s="246"/>
    </row>
    <row r="469">
      <c r="E469" s="245"/>
      <c r="J469" s="246"/>
    </row>
    <row r="470">
      <c r="E470" s="245"/>
      <c r="J470" s="246"/>
    </row>
    <row r="471">
      <c r="E471" s="245"/>
      <c r="J471" s="246"/>
    </row>
    <row r="472">
      <c r="E472" s="245"/>
      <c r="J472" s="246"/>
    </row>
    <row r="473">
      <c r="E473" s="245"/>
      <c r="J473" s="246"/>
    </row>
    <row r="474">
      <c r="E474" s="245"/>
      <c r="J474" s="246"/>
    </row>
    <row r="475">
      <c r="E475" s="245"/>
      <c r="J475" s="246"/>
    </row>
    <row r="476">
      <c r="E476" s="245"/>
      <c r="J476" s="246"/>
    </row>
    <row r="477">
      <c r="E477" s="245"/>
      <c r="J477" s="246"/>
    </row>
    <row r="478">
      <c r="E478" s="245"/>
      <c r="J478" s="246"/>
    </row>
    <row r="479">
      <c r="E479" s="245"/>
      <c r="J479" s="246"/>
    </row>
    <row r="480">
      <c r="E480" s="245"/>
      <c r="J480" s="246"/>
    </row>
    <row r="481">
      <c r="E481" s="245"/>
      <c r="J481" s="246"/>
    </row>
    <row r="482">
      <c r="E482" s="245"/>
      <c r="J482" s="246"/>
    </row>
    <row r="483">
      <c r="E483" s="245"/>
      <c r="J483" s="246"/>
    </row>
    <row r="484">
      <c r="E484" s="245"/>
      <c r="J484" s="246"/>
    </row>
    <row r="485">
      <c r="E485" s="245"/>
      <c r="J485" s="246"/>
    </row>
    <row r="486">
      <c r="E486" s="245"/>
      <c r="J486" s="246"/>
    </row>
    <row r="487">
      <c r="E487" s="245"/>
      <c r="J487" s="246"/>
    </row>
    <row r="488">
      <c r="E488" s="245"/>
      <c r="J488" s="246"/>
    </row>
    <row r="489">
      <c r="E489" s="245"/>
      <c r="J489" s="246"/>
    </row>
    <row r="490">
      <c r="E490" s="245"/>
      <c r="J490" s="246"/>
    </row>
    <row r="491">
      <c r="E491" s="245"/>
      <c r="J491" s="246"/>
    </row>
    <row r="492">
      <c r="E492" s="245"/>
      <c r="J492" s="246"/>
    </row>
    <row r="493">
      <c r="E493" s="245"/>
      <c r="J493" s="246"/>
    </row>
    <row r="494">
      <c r="E494" s="245"/>
      <c r="J494" s="246"/>
    </row>
    <row r="495">
      <c r="E495" s="245"/>
      <c r="J495" s="246"/>
    </row>
    <row r="496">
      <c r="E496" s="245"/>
      <c r="J496" s="246"/>
    </row>
    <row r="497">
      <c r="E497" s="245"/>
      <c r="J497" s="246"/>
    </row>
    <row r="498">
      <c r="E498" s="245"/>
      <c r="J498" s="246"/>
    </row>
    <row r="499">
      <c r="E499" s="245"/>
      <c r="J499" s="246"/>
    </row>
    <row r="500">
      <c r="E500" s="245"/>
      <c r="J500" s="246"/>
    </row>
    <row r="501">
      <c r="E501" s="245"/>
      <c r="J501" s="246"/>
    </row>
    <row r="502">
      <c r="E502" s="245"/>
      <c r="J502" s="246"/>
    </row>
    <row r="503">
      <c r="E503" s="245"/>
      <c r="J503" s="246"/>
    </row>
    <row r="504">
      <c r="E504" s="245"/>
      <c r="J504" s="246"/>
    </row>
    <row r="505">
      <c r="E505" s="245"/>
      <c r="J505" s="246"/>
    </row>
    <row r="506">
      <c r="E506" s="245"/>
      <c r="J506" s="246"/>
    </row>
    <row r="507">
      <c r="E507" s="245"/>
      <c r="J507" s="246"/>
    </row>
    <row r="508">
      <c r="E508" s="245"/>
      <c r="J508" s="246"/>
    </row>
    <row r="509">
      <c r="E509" s="245"/>
      <c r="J509" s="246"/>
    </row>
    <row r="510">
      <c r="E510" s="245"/>
      <c r="J510" s="246"/>
    </row>
    <row r="511">
      <c r="E511" s="245"/>
      <c r="J511" s="246"/>
    </row>
    <row r="512">
      <c r="E512" s="245"/>
      <c r="J512" s="246"/>
    </row>
    <row r="513">
      <c r="E513" s="245"/>
      <c r="J513" s="246"/>
    </row>
    <row r="514">
      <c r="E514" s="245"/>
      <c r="J514" s="246"/>
    </row>
    <row r="515">
      <c r="E515" s="245"/>
      <c r="J515" s="246"/>
    </row>
    <row r="516">
      <c r="E516" s="245"/>
      <c r="J516" s="246"/>
    </row>
    <row r="517">
      <c r="E517" s="245"/>
      <c r="J517" s="246"/>
    </row>
    <row r="518">
      <c r="E518" s="245"/>
      <c r="J518" s="246"/>
    </row>
    <row r="519">
      <c r="E519" s="245"/>
      <c r="J519" s="246"/>
    </row>
    <row r="520">
      <c r="E520" s="245"/>
      <c r="J520" s="246"/>
    </row>
    <row r="521">
      <c r="E521" s="245"/>
      <c r="J521" s="246"/>
    </row>
    <row r="522">
      <c r="E522" s="245"/>
      <c r="J522" s="246"/>
    </row>
    <row r="523">
      <c r="E523" s="245"/>
      <c r="J523" s="246"/>
    </row>
    <row r="524">
      <c r="E524" s="245"/>
      <c r="J524" s="246"/>
    </row>
    <row r="525">
      <c r="E525" s="245"/>
      <c r="J525" s="246"/>
    </row>
    <row r="526">
      <c r="E526" s="245"/>
      <c r="J526" s="246"/>
    </row>
    <row r="527">
      <c r="E527" s="245"/>
      <c r="J527" s="246"/>
    </row>
    <row r="528">
      <c r="E528" s="245"/>
      <c r="J528" s="246"/>
    </row>
    <row r="529">
      <c r="E529" s="245"/>
      <c r="J529" s="246"/>
    </row>
    <row r="530">
      <c r="E530" s="245"/>
      <c r="J530" s="246"/>
    </row>
    <row r="531">
      <c r="E531" s="245"/>
      <c r="J531" s="246"/>
    </row>
    <row r="532">
      <c r="E532" s="245"/>
      <c r="J532" s="246"/>
    </row>
    <row r="533">
      <c r="E533" s="245"/>
      <c r="J533" s="246"/>
    </row>
    <row r="534">
      <c r="E534" s="245"/>
      <c r="J534" s="246"/>
    </row>
    <row r="535">
      <c r="E535" s="245"/>
      <c r="J535" s="246"/>
    </row>
    <row r="536">
      <c r="E536" s="245"/>
      <c r="J536" s="246"/>
    </row>
    <row r="537">
      <c r="E537" s="245"/>
      <c r="J537" s="246"/>
    </row>
    <row r="538">
      <c r="E538" s="245"/>
      <c r="J538" s="246"/>
    </row>
    <row r="539">
      <c r="E539" s="245"/>
      <c r="J539" s="246"/>
    </row>
    <row r="540">
      <c r="E540" s="245"/>
      <c r="J540" s="246"/>
    </row>
    <row r="541">
      <c r="E541" s="245"/>
      <c r="J541" s="246"/>
    </row>
    <row r="542">
      <c r="E542" s="245"/>
      <c r="J542" s="246"/>
    </row>
    <row r="543">
      <c r="E543" s="245"/>
      <c r="J543" s="246"/>
    </row>
    <row r="544">
      <c r="E544" s="245"/>
      <c r="J544" s="246"/>
    </row>
    <row r="545">
      <c r="E545" s="245"/>
      <c r="J545" s="246"/>
    </row>
    <row r="546">
      <c r="E546" s="245"/>
      <c r="J546" s="246"/>
    </row>
    <row r="547">
      <c r="E547" s="245"/>
      <c r="J547" s="246"/>
    </row>
    <row r="548">
      <c r="E548" s="245"/>
      <c r="J548" s="246"/>
    </row>
    <row r="549">
      <c r="E549" s="245"/>
      <c r="J549" s="246"/>
    </row>
    <row r="550">
      <c r="E550" s="245"/>
      <c r="J550" s="246"/>
    </row>
    <row r="551">
      <c r="E551" s="245"/>
      <c r="J551" s="246"/>
    </row>
    <row r="552">
      <c r="E552" s="245"/>
      <c r="J552" s="246"/>
    </row>
    <row r="553">
      <c r="E553" s="245"/>
      <c r="J553" s="246"/>
    </row>
    <row r="554">
      <c r="E554" s="245"/>
      <c r="J554" s="246"/>
    </row>
    <row r="555">
      <c r="E555" s="245"/>
      <c r="J555" s="246"/>
    </row>
    <row r="556">
      <c r="E556" s="245"/>
      <c r="J556" s="246"/>
    </row>
    <row r="557">
      <c r="E557" s="245"/>
      <c r="J557" s="246"/>
    </row>
    <row r="558">
      <c r="E558" s="245"/>
      <c r="J558" s="246"/>
    </row>
    <row r="559">
      <c r="E559" s="245"/>
      <c r="J559" s="246"/>
    </row>
    <row r="560">
      <c r="E560" s="245"/>
      <c r="J560" s="246"/>
    </row>
    <row r="561">
      <c r="E561" s="245"/>
      <c r="J561" s="246"/>
    </row>
    <row r="562">
      <c r="E562" s="245"/>
      <c r="J562" s="246"/>
    </row>
    <row r="563">
      <c r="E563" s="245"/>
      <c r="J563" s="246"/>
    </row>
    <row r="564">
      <c r="E564" s="245"/>
      <c r="J564" s="246"/>
    </row>
    <row r="565">
      <c r="E565" s="245"/>
      <c r="J565" s="246"/>
    </row>
    <row r="566">
      <c r="E566" s="245"/>
      <c r="J566" s="246"/>
    </row>
    <row r="567">
      <c r="E567" s="245"/>
      <c r="J567" s="246"/>
    </row>
    <row r="568">
      <c r="E568" s="245"/>
      <c r="J568" s="246"/>
    </row>
    <row r="569">
      <c r="E569" s="245"/>
      <c r="J569" s="246"/>
    </row>
    <row r="570">
      <c r="E570" s="245"/>
      <c r="J570" s="246"/>
    </row>
    <row r="571">
      <c r="E571" s="245"/>
      <c r="J571" s="246"/>
    </row>
    <row r="572">
      <c r="E572" s="245"/>
      <c r="J572" s="246"/>
    </row>
    <row r="573">
      <c r="E573" s="245"/>
      <c r="J573" s="246"/>
    </row>
    <row r="574">
      <c r="E574" s="245"/>
      <c r="J574" s="246"/>
    </row>
    <row r="575">
      <c r="E575" s="245"/>
      <c r="J575" s="246"/>
    </row>
    <row r="576">
      <c r="E576" s="245"/>
      <c r="J576" s="246"/>
    </row>
    <row r="577">
      <c r="E577" s="245"/>
      <c r="J577" s="246"/>
    </row>
    <row r="578">
      <c r="E578" s="245"/>
      <c r="J578" s="246"/>
    </row>
    <row r="579">
      <c r="E579" s="245"/>
      <c r="J579" s="246"/>
    </row>
    <row r="580">
      <c r="E580" s="245"/>
      <c r="J580" s="246"/>
    </row>
    <row r="581">
      <c r="E581" s="245"/>
      <c r="J581" s="246"/>
    </row>
    <row r="582">
      <c r="E582" s="245"/>
      <c r="J582" s="246"/>
    </row>
    <row r="583">
      <c r="E583" s="245"/>
      <c r="J583" s="246"/>
    </row>
    <row r="584">
      <c r="E584" s="245"/>
      <c r="J584" s="246"/>
    </row>
    <row r="585">
      <c r="E585" s="245"/>
      <c r="J585" s="246"/>
    </row>
    <row r="586">
      <c r="E586" s="245"/>
      <c r="J586" s="246"/>
    </row>
    <row r="587">
      <c r="E587" s="245"/>
      <c r="J587" s="246"/>
    </row>
    <row r="588">
      <c r="E588" s="245"/>
      <c r="J588" s="246"/>
    </row>
    <row r="589">
      <c r="E589" s="245"/>
      <c r="J589" s="246"/>
    </row>
    <row r="590">
      <c r="E590" s="245"/>
      <c r="J590" s="246"/>
    </row>
    <row r="591">
      <c r="E591" s="245"/>
      <c r="J591" s="246"/>
    </row>
    <row r="592">
      <c r="E592" s="245"/>
      <c r="J592" s="246"/>
    </row>
    <row r="593">
      <c r="E593" s="245"/>
      <c r="J593" s="246"/>
    </row>
    <row r="594">
      <c r="E594" s="245"/>
      <c r="J594" s="246"/>
    </row>
    <row r="595">
      <c r="E595" s="245"/>
      <c r="J595" s="246"/>
    </row>
    <row r="596">
      <c r="E596" s="245"/>
      <c r="J596" s="246"/>
    </row>
    <row r="597">
      <c r="E597" s="245"/>
      <c r="J597" s="246"/>
    </row>
    <row r="598">
      <c r="E598" s="245"/>
      <c r="J598" s="246"/>
    </row>
    <row r="599">
      <c r="E599" s="245"/>
      <c r="J599" s="246"/>
    </row>
    <row r="600">
      <c r="E600" s="245"/>
      <c r="J600" s="246"/>
    </row>
    <row r="601">
      <c r="E601" s="245"/>
      <c r="J601" s="246"/>
    </row>
    <row r="602">
      <c r="E602" s="245"/>
      <c r="J602" s="246"/>
    </row>
    <row r="603">
      <c r="E603" s="245"/>
      <c r="J603" s="246"/>
    </row>
    <row r="604">
      <c r="E604" s="245"/>
      <c r="J604" s="246"/>
    </row>
    <row r="605">
      <c r="E605" s="245"/>
      <c r="J605" s="246"/>
    </row>
    <row r="606">
      <c r="E606" s="245"/>
      <c r="J606" s="246"/>
    </row>
    <row r="607">
      <c r="E607" s="245"/>
      <c r="J607" s="246"/>
    </row>
    <row r="608">
      <c r="E608" s="245"/>
      <c r="J608" s="246"/>
    </row>
    <row r="609">
      <c r="E609" s="245"/>
      <c r="J609" s="246"/>
    </row>
    <row r="610">
      <c r="E610" s="245"/>
      <c r="J610" s="246"/>
    </row>
    <row r="611">
      <c r="E611" s="245"/>
      <c r="J611" s="246"/>
    </row>
    <row r="612">
      <c r="E612" s="245"/>
      <c r="J612" s="246"/>
    </row>
    <row r="613">
      <c r="E613" s="245"/>
      <c r="J613" s="246"/>
    </row>
    <row r="614">
      <c r="E614" s="245"/>
      <c r="J614" s="246"/>
    </row>
    <row r="615">
      <c r="E615" s="245"/>
      <c r="J615" s="246"/>
    </row>
    <row r="616">
      <c r="E616" s="245"/>
      <c r="J616" s="246"/>
    </row>
    <row r="617">
      <c r="E617" s="245"/>
      <c r="J617" s="246"/>
    </row>
    <row r="618">
      <c r="E618" s="245"/>
      <c r="J618" s="246"/>
    </row>
    <row r="619">
      <c r="E619" s="245"/>
      <c r="J619" s="246"/>
    </row>
    <row r="620">
      <c r="E620" s="245"/>
      <c r="J620" s="246"/>
    </row>
    <row r="621">
      <c r="E621" s="245"/>
      <c r="J621" s="246"/>
    </row>
    <row r="622">
      <c r="E622" s="245"/>
      <c r="J622" s="246"/>
    </row>
    <row r="623">
      <c r="E623" s="245"/>
      <c r="J623" s="246"/>
    </row>
    <row r="624">
      <c r="E624" s="245"/>
      <c r="J624" s="246"/>
    </row>
    <row r="625">
      <c r="E625" s="245"/>
      <c r="J625" s="246"/>
    </row>
    <row r="626">
      <c r="E626" s="245"/>
      <c r="J626" s="246"/>
    </row>
    <row r="627">
      <c r="E627" s="245"/>
      <c r="J627" s="246"/>
    </row>
    <row r="628">
      <c r="E628" s="245"/>
      <c r="J628" s="246"/>
    </row>
    <row r="629">
      <c r="E629" s="245"/>
      <c r="J629" s="246"/>
    </row>
    <row r="630">
      <c r="E630" s="245"/>
      <c r="J630" s="246"/>
    </row>
    <row r="631">
      <c r="E631" s="245"/>
      <c r="J631" s="246"/>
    </row>
    <row r="632">
      <c r="E632" s="245"/>
      <c r="J632" s="246"/>
    </row>
    <row r="633">
      <c r="E633" s="245"/>
      <c r="J633" s="246"/>
    </row>
    <row r="634">
      <c r="E634" s="245"/>
      <c r="J634" s="246"/>
    </row>
    <row r="635">
      <c r="E635" s="245"/>
      <c r="J635" s="246"/>
    </row>
    <row r="636">
      <c r="E636" s="245"/>
      <c r="J636" s="246"/>
    </row>
    <row r="637">
      <c r="E637" s="245"/>
      <c r="J637" s="246"/>
    </row>
    <row r="638">
      <c r="E638" s="245"/>
      <c r="J638" s="246"/>
    </row>
    <row r="639">
      <c r="E639" s="245"/>
      <c r="J639" s="246"/>
    </row>
    <row r="640">
      <c r="E640" s="245"/>
      <c r="J640" s="246"/>
    </row>
    <row r="641">
      <c r="E641" s="245"/>
      <c r="J641" s="246"/>
    </row>
    <row r="642">
      <c r="E642" s="245"/>
      <c r="J642" s="246"/>
    </row>
    <row r="643">
      <c r="E643" s="245"/>
      <c r="J643" s="246"/>
    </row>
    <row r="644">
      <c r="E644" s="245"/>
      <c r="J644" s="246"/>
    </row>
    <row r="645">
      <c r="E645" s="245"/>
      <c r="J645" s="246"/>
    </row>
    <row r="646">
      <c r="E646" s="245"/>
      <c r="J646" s="246"/>
    </row>
    <row r="647">
      <c r="E647" s="245"/>
      <c r="J647" s="246"/>
    </row>
    <row r="648">
      <c r="E648" s="245"/>
      <c r="J648" s="246"/>
    </row>
    <row r="649">
      <c r="E649" s="245"/>
      <c r="J649" s="246"/>
    </row>
    <row r="650">
      <c r="E650" s="245"/>
      <c r="J650" s="246"/>
    </row>
    <row r="651">
      <c r="E651" s="245"/>
      <c r="J651" s="246"/>
    </row>
    <row r="652">
      <c r="E652" s="245"/>
      <c r="J652" s="246"/>
    </row>
    <row r="653">
      <c r="E653" s="245"/>
      <c r="J653" s="246"/>
    </row>
    <row r="654">
      <c r="E654" s="245"/>
      <c r="J654" s="246"/>
    </row>
    <row r="655">
      <c r="E655" s="245"/>
      <c r="J655" s="246"/>
    </row>
    <row r="656">
      <c r="E656" s="245"/>
      <c r="J656" s="246"/>
    </row>
    <row r="657">
      <c r="E657" s="245"/>
      <c r="J657" s="246"/>
    </row>
    <row r="658">
      <c r="E658" s="245"/>
      <c r="J658" s="246"/>
    </row>
    <row r="659">
      <c r="E659" s="245"/>
      <c r="J659" s="246"/>
    </row>
    <row r="660">
      <c r="E660" s="245"/>
      <c r="J660" s="246"/>
    </row>
    <row r="661">
      <c r="E661" s="245"/>
      <c r="J661" s="246"/>
    </row>
    <row r="662">
      <c r="E662" s="245"/>
      <c r="J662" s="246"/>
    </row>
    <row r="663">
      <c r="E663" s="245"/>
      <c r="J663" s="246"/>
    </row>
    <row r="664">
      <c r="E664" s="245"/>
      <c r="J664" s="246"/>
    </row>
    <row r="665">
      <c r="E665" s="245"/>
      <c r="J665" s="246"/>
    </row>
    <row r="666">
      <c r="E666" s="245"/>
      <c r="J666" s="246"/>
    </row>
    <row r="667">
      <c r="E667" s="245"/>
      <c r="J667" s="246"/>
    </row>
    <row r="668">
      <c r="E668" s="245"/>
      <c r="J668" s="246"/>
    </row>
    <row r="669">
      <c r="E669" s="245"/>
      <c r="J669" s="246"/>
    </row>
    <row r="670">
      <c r="E670" s="245"/>
      <c r="J670" s="246"/>
    </row>
    <row r="671">
      <c r="E671" s="245"/>
      <c r="J671" s="246"/>
    </row>
    <row r="672">
      <c r="E672" s="245"/>
      <c r="J672" s="246"/>
    </row>
    <row r="673">
      <c r="E673" s="245"/>
      <c r="J673" s="246"/>
    </row>
    <row r="674">
      <c r="E674" s="245"/>
      <c r="J674" s="246"/>
    </row>
    <row r="675">
      <c r="E675" s="245"/>
      <c r="J675" s="246"/>
    </row>
    <row r="676">
      <c r="E676" s="245"/>
      <c r="J676" s="246"/>
    </row>
    <row r="677">
      <c r="E677" s="245"/>
      <c r="J677" s="246"/>
    </row>
    <row r="678">
      <c r="E678" s="245"/>
      <c r="J678" s="246"/>
    </row>
    <row r="679">
      <c r="E679" s="245"/>
      <c r="J679" s="246"/>
    </row>
    <row r="680">
      <c r="E680" s="245"/>
      <c r="J680" s="246"/>
    </row>
    <row r="681">
      <c r="E681" s="245"/>
      <c r="J681" s="246"/>
    </row>
    <row r="682">
      <c r="E682" s="245"/>
      <c r="J682" s="246"/>
    </row>
    <row r="683">
      <c r="E683" s="245"/>
      <c r="J683" s="246"/>
    </row>
    <row r="684">
      <c r="E684" s="245"/>
      <c r="J684" s="246"/>
    </row>
    <row r="685">
      <c r="E685" s="245"/>
      <c r="J685" s="246"/>
    </row>
    <row r="686">
      <c r="E686" s="245"/>
      <c r="J686" s="246"/>
    </row>
    <row r="687">
      <c r="E687" s="245"/>
      <c r="J687" s="246"/>
    </row>
    <row r="688">
      <c r="E688" s="245"/>
      <c r="J688" s="246"/>
    </row>
    <row r="689">
      <c r="E689" s="245"/>
      <c r="J689" s="246"/>
    </row>
    <row r="690">
      <c r="E690" s="245"/>
      <c r="J690" s="246"/>
    </row>
    <row r="691">
      <c r="E691" s="245"/>
      <c r="J691" s="246"/>
    </row>
    <row r="692">
      <c r="E692" s="245"/>
      <c r="J692" s="246"/>
    </row>
    <row r="693">
      <c r="E693" s="245"/>
      <c r="J693" s="246"/>
    </row>
    <row r="694">
      <c r="E694" s="245"/>
      <c r="J694" s="246"/>
    </row>
    <row r="695">
      <c r="E695" s="245"/>
      <c r="J695" s="246"/>
    </row>
    <row r="696">
      <c r="E696" s="245"/>
      <c r="J696" s="246"/>
    </row>
    <row r="697">
      <c r="E697" s="245"/>
      <c r="J697" s="246"/>
    </row>
    <row r="698">
      <c r="E698" s="245"/>
      <c r="J698" s="246"/>
    </row>
    <row r="699">
      <c r="E699" s="245"/>
      <c r="J699" s="246"/>
    </row>
    <row r="700">
      <c r="E700" s="245"/>
      <c r="J700" s="246"/>
    </row>
    <row r="701">
      <c r="E701" s="245"/>
      <c r="J701" s="246"/>
    </row>
    <row r="702">
      <c r="E702" s="245"/>
      <c r="J702" s="246"/>
    </row>
    <row r="703">
      <c r="E703" s="245"/>
      <c r="J703" s="246"/>
    </row>
    <row r="704">
      <c r="E704" s="245"/>
      <c r="J704" s="246"/>
    </row>
    <row r="705">
      <c r="E705" s="245"/>
      <c r="J705" s="246"/>
    </row>
    <row r="706">
      <c r="E706" s="245"/>
      <c r="J706" s="246"/>
    </row>
    <row r="707">
      <c r="E707" s="245"/>
      <c r="J707" s="246"/>
    </row>
    <row r="708">
      <c r="E708" s="245"/>
      <c r="J708" s="246"/>
    </row>
    <row r="709">
      <c r="E709" s="245"/>
      <c r="J709" s="246"/>
    </row>
    <row r="710">
      <c r="E710" s="245"/>
      <c r="J710" s="246"/>
    </row>
    <row r="711">
      <c r="E711" s="245"/>
      <c r="J711" s="246"/>
    </row>
    <row r="712">
      <c r="E712" s="245"/>
      <c r="J712" s="246"/>
    </row>
    <row r="713">
      <c r="E713" s="245"/>
      <c r="J713" s="246"/>
    </row>
    <row r="714">
      <c r="E714" s="245"/>
      <c r="J714" s="246"/>
    </row>
    <row r="715">
      <c r="E715" s="245"/>
      <c r="J715" s="246"/>
    </row>
    <row r="716">
      <c r="E716" s="245"/>
      <c r="J716" s="246"/>
    </row>
    <row r="717">
      <c r="E717" s="245"/>
      <c r="J717" s="246"/>
    </row>
    <row r="718">
      <c r="E718" s="245"/>
      <c r="J718" s="246"/>
    </row>
    <row r="719">
      <c r="E719" s="245"/>
      <c r="J719" s="246"/>
    </row>
    <row r="720">
      <c r="E720" s="245"/>
      <c r="J720" s="246"/>
    </row>
    <row r="721">
      <c r="E721" s="245"/>
      <c r="J721" s="246"/>
    </row>
    <row r="722">
      <c r="E722" s="245"/>
      <c r="J722" s="246"/>
    </row>
    <row r="723">
      <c r="E723" s="245"/>
      <c r="J723" s="246"/>
    </row>
    <row r="724">
      <c r="E724" s="245"/>
      <c r="J724" s="246"/>
    </row>
    <row r="725">
      <c r="E725" s="245"/>
      <c r="J725" s="246"/>
    </row>
    <row r="726">
      <c r="E726" s="245"/>
      <c r="J726" s="246"/>
    </row>
    <row r="727">
      <c r="E727" s="245"/>
      <c r="J727" s="246"/>
    </row>
    <row r="728">
      <c r="E728" s="245"/>
      <c r="J728" s="246"/>
    </row>
    <row r="729">
      <c r="E729" s="245"/>
      <c r="J729" s="246"/>
    </row>
    <row r="730">
      <c r="E730" s="245"/>
      <c r="J730" s="246"/>
    </row>
    <row r="731">
      <c r="E731" s="245"/>
      <c r="J731" s="246"/>
    </row>
    <row r="732">
      <c r="E732" s="245"/>
      <c r="J732" s="246"/>
    </row>
    <row r="733">
      <c r="E733" s="245"/>
      <c r="J733" s="246"/>
    </row>
    <row r="734">
      <c r="E734" s="245"/>
      <c r="J734" s="246"/>
    </row>
    <row r="735">
      <c r="E735" s="245"/>
      <c r="J735" s="246"/>
    </row>
    <row r="736">
      <c r="E736" s="245"/>
      <c r="J736" s="246"/>
    </row>
    <row r="737">
      <c r="E737" s="245"/>
      <c r="J737" s="246"/>
    </row>
    <row r="738">
      <c r="E738" s="245"/>
      <c r="J738" s="246"/>
    </row>
    <row r="739">
      <c r="E739" s="245"/>
      <c r="J739" s="246"/>
    </row>
    <row r="740">
      <c r="E740" s="245"/>
      <c r="J740" s="246"/>
    </row>
    <row r="741">
      <c r="E741" s="245"/>
      <c r="J741" s="246"/>
    </row>
    <row r="742">
      <c r="E742" s="245"/>
      <c r="J742" s="246"/>
    </row>
    <row r="743">
      <c r="E743" s="245"/>
      <c r="J743" s="246"/>
    </row>
    <row r="744">
      <c r="E744" s="245"/>
      <c r="J744" s="246"/>
    </row>
    <row r="745">
      <c r="E745" s="245"/>
      <c r="J745" s="246"/>
    </row>
    <row r="746">
      <c r="E746" s="245"/>
      <c r="J746" s="246"/>
    </row>
    <row r="747">
      <c r="E747" s="245"/>
      <c r="J747" s="246"/>
    </row>
    <row r="748">
      <c r="E748" s="245"/>
      <c r="J748" s="246"/>
    </row>
    <row r="749">
      <c r="E749" s="245"/>
      <c r="J749" s="246"/>
    </row>
    <row r="750">
      <c r="E750" s="245"/>
      <c r="J750" s="246"/>
    </row>
    <row r="751">
      <c r="E751" s="245"/>
      <c r="J751" s="246"/>
    </row>
    <row r="752">
      <c r="E752" s="245"/>
      <c r="J752" s="246"/>
    </row>
    <row r="753">
      <c r="E753" s="245"/>
      <c r="J753" s="246"/>
    </row>
    <row r="754">
      <c r="E754" s="245"/>
      <c r="J754" s="246"/>
    </row>
    <row r="755">
      <c r="E755" s="245"/>
      <c r="J755" s="246"/>
    </row>
    <row r="756">
      <c r="E756" s="245"/>
      <c r="J756" s="246"/>
    </row>
    <row r="757">
      <c r="E757" s="245"/>
      <c r="J757" s="246"/>
    </row>
    <row r="758">
      <c r="E758" s="245"/>
      <c r="J758" s="246"/>
    </row>
    <row r="759">
      <c r="E759" s="245"/>
      <c r="J759" s="246"/>
    </row>
    <row r="760">
      <c r="E760" s="245"/>
      <c r="J760" s="246"/>
    </row>
    <row r="761">
      <c r="E761" s="245"/>
      <c r="J761" s="246"/>
    </row>
    <row r="762">
      <c r="E762" s="245"/>
      <c r="J762" s="246"/>
    </row>
    <row r="763">
      <c r="E763" s="245"/>
      <c r="J763" s="246"/>
    </row>
    <row r="764">
      <c r="E764" s="245"/>
      <c r="J764" s="246"/>
    </row>
    <row r="765">
      <c r="E765" s="245"/>
      <c r="J765" s="246"/>
    </row>
    <row r="766">
      <c r="E766" s="245"/>
      <c r="J766" s="246"/>
    </row>
    <row r="767">
      <c r="E767" s="245"/>
      <c r="J767" s="246"/>
    </row>
    <row r="768">
      <c r="E768" s="245"/>
      <c r="J768" s="246"/>
    </row>
    <row r="769">
      <c r="E769" s="245"/>
      <c r="J769" s="246"/>
    </row>
    <row r="770">
      <c r="E770" s="245"/>
      <c r="J770" s="246"/>
    </row>
    <row r="771">
      <c r="E771" s="245"/>
      <c r="J771" s="246"/>
    </row>
    <row r="772">
      <c r="E772" s="245"/>
      <c r="J772" s="246"/>
    </row>
    <row r="773">
      <c r="E773" s="245"/>
      <c r="J773" s="246"/>
    </row>
    <row r="774">
      <c r="E774" s="245"/>
      <c r="J774" s="246"/>
    </row>
    <row r="775">
      <c r="E775" s="245"/>
      <c r="J775" s="246"/>
    </row>
    <row r="776">
      <c r="E776" s="245"/>
      <c r="J776" s="246"/>
    </row>
    <row r="777">
      <c r="E777" s="245"/>
      <c r="J777" s="246"/>
    </row>
    <row r="778">
      <c r="E778" s="245"/>
      <c r="J778" s="246"/>
    </row>
    <row r="779">
      <c r="E779" s="245"/>
      <c r="J779" s="246"/>
    </row>
    <row r="780">
      <c r="E780" s="245"/>
      <c r="J780" s="246"/>
    </row>
    <row r="781">
      <c r="E781" s="245"/>
      <c r="J781" s="246"/>
    </row>
    <row r="782">
      <c r="E782" s="245"/>
      <c r="J782" s="246"/>
    </row>
    <row r="783">
      <c r="E783" s="245"/>
      <c r="J783" s="246"/>
    </row>
    <row r="784">
      <c r="E784" s="245"/>
      <c r="J784" s="246"/>
    </row>
    <row r="785">
      <c r="E785" s="245"/>
      <c r="J785" s="246"/>
    </row>
    <row r="786">
      <c r="E786" s="245"/>
      <c r="J786" s="246"/>
    </row>
    <row r="787">
      <c r="E787" s="245"/>
      <c r="J787" s="246"/>
    </row>
    <row r="788">
      <c r="E788" s="245"/>
      <c r="J788" s="246"/>
    </row>
    <row r="789">
      <c r="E789" s="245"/>
      <c r="J789" s="246"/>
    </row>
    <row r="790">
      <c r="E790" s="245"/>
      <c r="J790" s="246"/>
    </row>
    <row r="791">
      <c r="E791" s="245"/>
      <c r="J791" s="246"/>
    </row>
    <row r="792">
      <c r="E792" s="245"/>
      <c r="J792" s="246"/>
    </row>
    <row r="793">
      <c r="E793" s="245"/>
      <c r="J793" s="246"/>
    </row>
    <row r="794">
      <c r="E794" s="245"/>
      <c r="J794" s="246"/>
    </row>
    <row r="795">
      <c r="E795" s="245"/>
      <c r="J795" s="246"/>
    </row>
    <row r="796">
      <c r="E796" s="245"/>
      <c r="J796" s="246"/>
    </row>
    <row r="797">
      <c r="E797" s="245"/>
      <c r="J797" s="246"/>
    </row>
    <row r="798">
      <c r="E798" s="245"/>
      <c r="J798" s="246"/>
    </row>
    <row r="799">
      <c r="E799" s="245"/>
      <c r="J799" s="246"/>
    </row>
    <row r="800">
      <c r="E800" s="245"/>
      <c r="J800" s="246"/>
    </row>
    <row r="801">
      <c r="E801" s="245"/>
      <c r="J801" s="246"/>
    </row>
    <row r="802">
      <c r="E802" s="245"/>
      <c r="J802" s="246"/>
    </row>
    <row r="803">
      <c r="E803" s="245"/>
      <c r="J803" s="246"/>
    </row>
    <row r="804">
      <c r="E804" s="245"/>
      <c r="J804" s="246"/>
    </row>
    <row r="805">
      <c r="E805" s="245"/>
      <c r="J805" s="246"/>
    </row>
    <row r="806">
      <c r="E806" s="245"/>
      <c r="J806" s="246"/>
    </row>
    <row r="807">
      <c r="E807" s="245"/>
      <c r="J807" s="246"/>
    </row>
    <row r="808">
      <c r="E808" s="245"/>
      <c r="J808" s="246"/>
    </row>
    <row r="809">
      <c r="E809" s="245"/>
      <c r="J809" s="246"/>
    </row>
    <row r="810">
      <c r="E810" s="245"/>
      <c r="J810" s="246"/>
    </row>
    <row r="811">
      <c r="E811" s="245"/>
      <c r="J811" s="246"/>
    </row>
    <row r="812">
      <c r="E812" s="245"/>
      <c r="J812" s="246"/>
    </row>
    <row r="813">
      <c r="E813" s="245"/>
      <c r="J813" s="246"/>
    </row>
    <row r="814">
      <c r="E814" s="245"/>
      <c r="J814" s="246"/>
    </row>
    <row r="815">
      <c r="E815" s="245"/>
      <c r="J815" s="246"/>
    </row>
    <row r="816">
      <c r="E816" s="245"/>
      <c r="J816" s="246"/>
    </row>
    <row r="817">
      <c r="E817" s="245"/>
      <c r="J817" s="246"/>
    </row>
    <row r="818">
      <c r="E818" s="245"/>
      <c r="J818" s="246"/>
    </row>
    <row r="819">
      <c r="E819" s="245"/>
      <c r="J819" s="246"/>
    </row>
    <row r="820">
      <c r="E820" s="245"/>
      <c r="J820" s="246"/>
    </row>
    <row r="821">
      <c r="E821" s="245"/>
      <c r="J821" s="246"/>
    </row>
    <row r="822">
      <c r="E822" s="245"/>
      <c r="J822" s="246"/>
    </row>
    <row r="823">
      <c r="E823" s="245"/>
      <c r="J823" s="246"/>
    </row>
    <row r="824">
      <c r="E824" s="245"/>
      <c r="J824" s="246"/>
    </row>
    <row r="825">
      <c r="E825" s="245"/>
      <c r="J825" s="246"/>
    </row>
    <row r="826">
      <c r="E826" s="245"/>
      <c r="J826" s="246"/>
    </row>
    <row r="827">
      <c r="E827" s="245"/>
      <c r="J827" s="246"/>
    </row>
    <row r="828">
      <c r="E828" s="245"/>
      <c r="J828" s="246"/>
    </row>
    <row r="829">
      <c r="E829" s="245"/>
      <c r="J829" s="246"/>
    </row>
    <row r="830">
      <c r="E830" s="245"/>
      <c r="J830" s="246"/>
    </row>
    <row r="831">
      <c r="E831" s="245"/>
      <c r="J831" s="246"/>
    </row>
    <row r="832">
      <c r="E832" s="245"/>
      <c r="J832" s="246"/>
    </row>
    <row r="833">
      <c r="E833" s="245"/>
      <c r="J833" s="246"/>
    </row>
    <row r="834">
      <c r="E834" s="245"/>
      <c r="J834" s="246"/>
    </row>
    <row r="835">
      <c r="E835" s="245"/>
      <c r="J835" s="246"/>
    </row>
    <row r="836">
      <c r="E836" s="245"/>
      <c r="J836" s="246"/>
    </row>
    <row r="837">
      <c r="E837" s="245"/>
      <c r="J837" s="246"/>
    </row>
    <row r="838">
      <c r="E838" s="245"/>
      <c r="J838" s="246"/>
    </row>
    <row r="839">
      <c r="E839" s="245"/>
      <c r="J839" s="246"/>
    </row>
    <row r="840">
      <c r="E840" s="245"/>
      <c r="J840" s="246"/>
    </row>
    <row r="841">
      <c r="E841" s="245"/>
      <c r="J841" s="246"/>
    </row>
    <row r="842">
      <c r="E842" s="245"/>
      <c r="J842" s="246"/>
    </row>
    <row r="843">
      <c r="E843" s="245"/>
      <c r="J843" s="246"/>
    </row>
    <row r="844">
      <c r="E844" s="245"/>
      <c r="J844" s="246"/>
    </row>
    <row r="845">
      <c r="E845" s="245"/>
      <c r="J845" s="246"/>
    </row>
    <row r="846">
      <c r="E846" s="245"/>
      <c r="J846" s="246"/>
    </row>
    <row r="847">
      <c r="E847" s="245"/>
      <c r="J847" s="246"/>
    </row>
    <row r="848">
      <c r="E848" s="245"/>
      <c r="J848" s="246"/>
    </row>
    <row r="849">
      <c r="E849" s="245"/>
      <c r="J849" s="246"/>
    </row>
    <row r="850">
      <c r="E850" s="245"/>
      <c r="J850" s="246"/>
    </row>
    <row r="851">
      <c r="E851" s="245"/>
      <c r="J851" s="246"/>
    </row>
    <row r="852">
      <c r="E852" s="245"/>
      <c r="J852" s="246"/>
    </row>
    <row r="853">
      <c r="E853" s="245"/>
      <c r="J853" s="246"/>
    </row>
    <row r="854">
      <c r="E854" s="245"/>
      <c r="J854" s="246"/>
    </row>
    <row r="855">
      <c r="E855" s="245"/>
      <c r="J855" s="246"/>
    </row>
    <row r="856">
      <c r="E856" s="245"/>
      <c r="J856" s="246"/>
    </row>
    <row r="857">
      <c r="E857" s="245"/>
      <c r="J857" s="246"/>
    </row>
    <row r="858">
      <c r="E858" s="245"/>
      <c r="J858" s="246"/>
    </row>
    <row r="859">
      <c r="E859" s="245"/>
      <c r="J859" s="246"/>
    </row>
    <row r="860">
      <c r="E860" s="245"/>
      <c r="J860" s="246"/>
    </row>
    <row r="861">
      <c r="E861" s="245"/>
      <c r="J861" s="246"/>
    </row>
    <row r="862">
      <c r="E862" s="245"/>
      <c r="J862" s="246"/>
    </row>
    <row r="863">
      <c r="E863" s="245"/>
      <c r="J863" s="246"/>
    </row>
    <row r="864">
      <c r="E864" s="245"/>
      <c r="J864" s="246"/>
    </row>
    <row r="865">
      <c r="E865" s="245"/>
      <c r="J865" s="246"/>
    </row>
    <row r="866">
      <c r="E866" s="245"/>
      <c r="J866" s="246"/>
    </row>
    <row r="867">
      <c r="E867" s="245"/>
      <c r="J867" s="246"/>
    </row>
    <row r="868">
      <c r="E868" s="245"/>
      <c r="J868" s="246"/>
    </row>
    <row r="869">
      <c r="E869" s="245"/>
      <c r="J869" s="246"/>
    </row>
    <row r="870">
      <c r="E870" s="245"/>
      <c r="J870" s="246"/>
    </row>
    <row r="871">
      <c r="E871" s="245"/>
      <c r="J871" s="246"/>
    </row>
    <row r="872">
      <c r="E872" s="245"/>
      <c r="J872" s="246"/>
    </row>
    <row r="873">
      <c r="E873" s="245"/>
      <c r="J873" s="246"/>
    </row>
    <row r="874">
      <c r="E874" s="245"/>
      <c r="J874" s="246"/>
    </row>
    <row r="875">
      <c r="E875" s="245"/>
      <c r="J875" s="246"/>
    </row>
    <row r="876">
      <c r="E876" s="245"/>
      <c r="J876" s="246"/>
    </row>
    <row r="877">
      <c r="E877" s="245"/>
      <c r="J877" s="246"/>
    </row>
    <row r="878">
      <c r="E878" s="245"/>
      <c r="J878" s="246"/>
    </row>
    <row r="879">
      <c r="E879" s="245"/>
      <c r="J879" s="246"/>
    </row>
    <row r="880">
      <c r="E880" s="245"/>
      <c r="J880" s="246"/>
    </row>
    <row r="881">
      <c r="E881" s="245"/>
      <c r="J881" s="246"/>
    </row>
    <row r="882">
      <c r="E882" s="245"/>
      <c r="J882" s="246"/>
    </row>
    <row r="883">
      <c r="E883" s="245"/>
      <c r="J883" s="246"/>
    </row>
    <row r="884">
      <c r="E884" s="245"/>
      <c r="J884" s="246"/>
    </row>
    <row r="885">
      <c r="E885" s="245"/>
      <c r="J885" s="246"/>
    </row>
    <row r="886">
      <c r="E886" s="245"/>
      <c r="J886" s="246"/>
    </row>
    <row r="887">
      <c r="E887" s="245"/>
      <c r="J887" s="246"/>
    </row>
    <row r="888">
      <c r="E888" s="245"/>
      <c r="J888" s="246"/>
    </row>
    <row r="889">
      <c r="E889" s="245"/>
      <c r="J889" s="246"/>
    </row>
    <row r="890">
      <c r="E890" s="245"/>
      <c r="J890" s="246"/>
    </row>
    <row r="891">
      <c r="E891" s="245"/>
      <c r="J891" s="246"/>
    </row>
    <row r="892">
      <c r="E892" s="245"/>
      <c r="J892" s="246"/>
    </row>
    <row r="893">
      <c r="E893" s="245"/>
      <c r="J893" s="246"/>
    </row>
    <row r="894">
      <c r="E894" s="245"/>
      <c r="J894" s="246"/>
    </row>
    <row r="895">
      <c r="E895" s="245"/>
      <c r="J895" s="246"/>
    </row>
    <row r="896">
      <c r="E896" s="245"/>
      <c r="J896" s="246"/>
    </row>
    <row r="897">
      <c r="E897" s="245"/>
      <c r="J897" s="246"/>
    </row>
    <row r="898">
      <c r="E898" s="245"/>
      <c r="J898" s="246"/>
    </row>
    <row r="899">
      <c r="E899" s="245"/>
      <c r="J899" s="246"/>
    </row>
    <row r="900">
      <c r="E900" s="245"/>
      <c r="J900" s="246"/>
    </row>
    <row r="901">
      <c r="E901" s="245"/>
      <c r="J901" s="246"/>
    </row>
    <row r="902">
      <c r="E902" s="245"/>
      <c r="J902" s="246"/>
    </row>
    <row r="903">
      <c r="E903" s="245"/>
      <c r="J903" s="246"/>
    </row>
    <row r="904">
      <c r="E904" s="245"/>
      <c r="J904" s="246"/>
    </row>
    <row r="905">
      <c r="E905" s="245"/>
      <c r="J905" s="246"/>
    </row>
    <row r="906">
      <c r="E906" s="245"/>
      <c r="J906" s="246"/>
    </row>
    <row r="907">
      <c r="E907" s="245"/>
      <c r="J907" s="246"/>
    </row>
    <row r="908">
      <c r="E908" s="245"/>
      <c r="J908" s="246"/>
    </row>
    <row r="909">
      <c r="E909" s="245"/>
      <c r="J909" s="246"/>
    </row>
    <row r="910">
      <c r="E910" s="245"/>
      <c r="J910" s="246"/>
    </row>
    <row r="911">
      <c r="E911" s="245"/>
      <c r="J911" s="246"/>
    </row>
    <row r="912">
      <c r="E912" s="245"/>
      <c r="J912" s="246"/>
    </row>
    <row r="913">
      <c r="E913" s="245"/>
      <c r="J913" s="246"/>
    </row>
    <row r="914">
      <c r="E914" s="245"/>
      <c r="J914" s="246"/>
    </row>
    <row r="915">
      <c r="E915" s="245"/>
      <c r="J915" s="246"/>
    </row>
    <row r="916">
      <c r="E916" s="245"/>
      <c r="J916" s="246"/>
    </row>
    <row r="917">
      <c r="E917" s="245"/>
      <c r="J917" s="246"/>
    </row>
    <row r="918">
      <c r="E918" s="245"/>
      <c r="J918" s="246"/>
    </row>
    <row r="919">
      <c r="E919" s="245"/>
      <c r="J919" s="246"/>
    </row>
    <row r="920">
      <c r="E920" s="245"/>
      <c r="J920" s="246"/>
    </row>
    <row r="921">
      <c r="E921" s="245"/>
      <c r="J921" s="246"/>
    </row>
    <row r="922">
      <c r="E922" s="245"/>
      <c r="J922" s="246"/>
    </row>
    <row r="923">
      <c r="E923" s="245"/>
      <c r="J923" s="246"/>
    </row>
    <row r="924">
      <c r="E924" s="245"/>
      <c r="J924" s="246"/>
    </row>
    <row r="925">
      <c r="E925" s="245"/>
      <c r="J925" s="246"/>
    </row>
    <row r="926">
      <c r="E926" s="245"/>
      <c r="J926" s="246"/>
    </row>
    <row r="927">
      <c r="E927" s="245"/>
      <c r="J927" s="246"/>
    </row>
    <row r="928">
      <c r="E928" s="245"/>
      <c r="J928" s="246"/>
    </row>
    <row r="929">
      <c r="E929" s="245"/>
      <c r="J929" s="246"/>
    </row>
    <row r="930">
      <c r="E930" s="245"/>
      <c r="J930" s="246"/>
    </row>
    <row r="931">
      <c r="E931" s="245"/>
      <c r="J931" s="246"/>
    </row>
    <row r="932">
      <c r="E932" s="245"/>
      <c r="J932" s="246"/>
    </row>
    <row r="933">
      <c r="E933" s="245"/>
      <c r="J933" s="246"/>
    </row>
    <row r="934">
      <c r="E934" s="245"/>
      <c r="J934" s="246"/>
    </row>
    <row r="935">
      <c r="E935" s="245"/>
      <c r="J935" s="246"/>
    </row>
    <row r="936">
      <c r="E936" s="245"/>
      <c r="J936" s="246"/>
    </row>
    <row r="937">
      <c r="E937" s="245"/>
      <c r="J937" s="246"/>
    </row>
    <row r="938">
      <c r="E938" s="245"/>
      <c r="J938" s="246"/>
    </row>
    <row r="939">
      <c r="E939" s="245"/>
      <c r="J939" s="246"/>
    </row>
    <row r="940">
      <c r="E940" s="245"/>
      <c r="J940" s="246"/>
    </row>
    <row r="941">
      <c r="E941" s="245"/>
      <c r="J941" s="246"/>
    </row>
    <row r="942">
      <c r="E942" s="245"/>
      <c r="J942" s="246"/>
    </row>
    <row r="943">
      <c r="E943" s="245"/>
      <c r="J943" s="246"/>
    </row>
    <row r="944">
      <c r="E944" s="245"/>
      <c r="J944" s="246"/>
    </row>
    <row r="945">
      <c r="E945" s="245"/>
      <c r="J945" s="246"/>
    </row>
    <row r="946">
      <c r="E946" s="245"/>
      <c r="J946" s="246"/>
    </row>
    <row r="947">
      <c r="E947" s="245"/>
      <c r="J947" s="246"/>
    </row>
    <row r="948">
      <c r="E948" s="245"/>
      <c r="J948" s="246"/>
    </row>
    <row r="949">
      <c r="E949" s="245"/>
      <c r="J949" s="246"/>
    </row>
    <row r="950">
      <c r="E950" s="245"/>
      <c r="J950" s="246"/>
    </row>
    <row r="951">
      <c r="E951" s="245"/>
      <c r="J951" s="246"/>
    </row>
    <row r="952">
      <c r="E952" s="245"/>
      <c r="J952" s="246"/>
    </row>
    <row r="953">
      <c r="E953" s="245"/>
      <c r="J953" s="246"/>
    </row>
    <row r="954">
      <c r="E954" s="245"/>
      <c r="J954" s="246"/>
    </row>
    <row r="955">
      <c r="E955" s="245"/>
      <c r="J955" s="246"/>
    </row>
    <row r="956">
      <c r="E956" s="245"/>
      <c r="J956" s="246"/>
    </row>
    <row r="957">
      <c r="E957" s="245"/>
      <c r="J957" s="246"/>
    </row>
    <row r="958">
      <c r="E958" s="245"/>
      <c r="J958" s="246"/>
    </row>
    <row r="959">
      <c r="E959" s="245"/>
      <c r="J959" s="246"/>
    </row>
    <row r="960">
      <c r="E960" s="245"/>
      <c r="J960" s="246"/>
    </row>
    <row r="961">
      <c r="E961" s="245"/>
      <c r="J961" s="246"/>
    </row>
    <row r="962">
      <c r="E962" s="245"/>
      <c r="J962" s="246"/>
    </row>
    <row r="963">
      <c r="E963" s="245"/>
      <c r="J963" s="246"/>
    </row>
    <row r="964">
      <c r="E964" s="245"/>
      <c r="J964" s="246"/>
    </row>
    <row r="965">
      <c r="E965" s="245"/>
      <c r="J965" s="246"/>
    </row>
    <row r="966">
      <c r="E966" s="245"/>
      <c r="J966" s="246"/>
    </row>
    <row r="967">
      <c r="E967" s="245"/>
      <c r="J967" s="246"/>
    </row>
    <row r="968">
      <c r="E968" s="245"/>
      <c r="J968" s="246"/>
    </row>
    <row r="969">
      <c r="E969" s="245"/>
      <c r="J969" s="246"/>
    </row>
    <row r="970">
      <c r="E970" s="245"/>
      <c r="J970" s="246"/>
    </row>
    <row r="971">
      <c r="E971" s="245"/>
      <c r="J971" s="246"/>
    </row>
    <row r="972">
      <c r="E972" s="245"/>
      <c r="J972" s="246"/>
    </row>
    <row r="973">
      <c r="E973" s="245"/>
      <c r="J973" s="246"/>
    </row>
    <row r="974">
      <c r="E974" s="245"/>
      <c r="J974" s="246"/>
    </row>
    <row r="975">
      <c r="E975" s="245"/>
      <c r="J975" s="246"/>
    </row>
    <row r="976">
      <c r="E976" s="245"/>
      <c r="J976" s="246"/>
    </row>
    <row r="977">
      <c r="E977" s="245"/>
      <c r="J977" s="246"/>
    </row>
    <row r="978">
      <c r="E978" s="245"/>
      <c r="J978" s="246"/>
    </row>
    <row r="979">
      <c r="E979" s="245"/>
      <c r="J979" s="246"/>
    </row>
    <row r="980">
      <c r="E980" s="245"/>
      <c r="J980" s="246"/>
    </row>
    <row r="981">
      <c r="E981" s="245"/>
      <c r="J981" s="246"/>
    </row>
    <row r="982">
      <c r="E982" s="245"/>
      <c r="J982" s="246"/>
    </row>
    <row r="983">
      <c r="E983" s="245"/>
      <c r="J983" s="246"/>
    </row>
    <row r="984">
      <c r="E984" s="245"/>
      <c r="J984" s="246"/>
    </row>
    <row r="985">
      <c r="E985" s="245"/>
      <c r="J985" s="246"/>
    </row>
    <row r="986">
      <c r="E986" s="245"/>
      <c r="J986" s="246"/>
    </row>
    <row r="987">
      <c r="E987" s="245"/>
      <c r="J987" s="246"/>
    </row>
    <row r="988">
      <c r="E988" s="245"/>
      <c r="J988" s="246"/>
    </row>
    <row r="989">
      <c r="E989" s="245"/>
      <c r="J989" s="246"/>
    </row>
    <row r="990">
      <c r="E990" s="245"/>
      <c r="J990" s="246"/>
    </row>
    <row r="991">
      <c r="E991" s="245"/>
      <c r="J991" s="246"/>
    </row>
    <row r="992">
      <c r="E992" s="245"/>
      <c r="J992" s="246"/>
    </row>
    <row r="993">
      <c r="E993" s="245"/>
      <c r="J993" s="246"/>
    </row>
    <row r="994">
      <c r="E994" s="245"/>
      <c r="J994" s="246"/>
    </row>
    <row r="995">
      <c r="E995" s="245"/>
      <c r="J995" s="246"/>
    </row>
  </sheetData>
  <conditionalFormatting sqref="M8">
    <cfRule type="notContainsBlanks" dxfId="0" priority="1">
      <formula>LEN(TRIM(M8))&gt;0</formula>
    </cfRule>
  </conditionalFormatting>
  <conditionalFormatting sqref="I2:I39">
    <cfRule type="cellIs" dxfId="0" priority="2" operator="equal">
      <formula>6</formula>
    </cfRule>
  </conditionalFormatting>
  <conditionalFormatting sqref="I2:I39">
    <cfRule type="cellIs" dxfId="1" priority="3" operator="between">
      <formula>6</formula>
      <formula>9</formula>
    </cfRule>
  </conditionalFormatting>
  <conditionalFormatting sqref="I2:I39">
    <cfRule type="cellIs" dxfId="2" priority="4" operator="greaterThan">
      <formula>9</formula>
    </cfRule>
  </conditionalFormatting>
  <conditionalFormatting sqref="H2:H39">
    <cfRule type="cellIs" dxfId="3" priority="5" operator="greaterThanOrEqual">
      <formula>90</formula>
    </cfRule>
  </conditionalFormatting>
  <conditionalFormatting sqref="H2:H39">
    <cfRule type="cellIs" dxfId="4" priority="6" operator="between">
      <formula>80</formula>
      <formula>89.9</formula>
    </cfRule>
  </conditionalFormatting>
  <conditionalFormatting sqref="H2:H39">
    <cfRule type="cellIs" dxfId="5" priority="7" operator="between">
      <formula>70</formula>
      <formula>79.9</formula>
    </cfRule>
  </conditionalFormatting>
  <conditionalFormatting sqref="H2:H39">
    <cfRule type="cellIs" dxfId="6" priority="8" operator="between">
      <formula>60</formula>
      <formula>69.9</formula>
    </cfRule>
  </conditionalFormatting>
  <conditionalFormatting sqref="H2:H39">
    <cfRule type="cellIs" dxfId="7" priority="9" operator="lessThan">
      <formula>60</formula>
    </cfRule>
  </conditionalFormatting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</hyperlinks>
  <drawing r:id="rId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33.75"/>
    <col customWidth="1" min="3" max="3" width="14.75"/>
    <col customWidth="1" min="4" max="4" width="19.88"/>
    <col customWidth="1" min="5" max="5" width="21.0"/>
    <col customWidth="1" min="8" max="8" width="29.0"/>
  </cols>
  <sheetData>
    <row r="1">
      <c r="A1" s="276" t="s">
        <v>362</v>
      </c>
      <c r="B1" s="276" t="s">
        <v>363</v>
      </c>
      <c r="C1" s="276" t="s">
        <v>364</v>
      </c>
      <c r="D1" s="276" t="s">
        <v>365</v>
      </c>
      <c r="E1" s="276" t="s">
        <v>366</v>
      </c>
      <c r="G1" s="276" t="s">
        <v>367</v>
      </c>
      <c r="H1" s="277" t="s">
        <v>368</v>
      </c>
    </row>
    <row r="2">
      <c r="A2" s="278">
        <v>1.0</v>
      </c>
      <c r="B2" s="278" t="s">
        <v>369</v>
      </c>
      <c r="C2" s="278" t="s">
        <v>370</v>
      </c>
      <c r="D2" s="279">
        <v>100000.0</v>
      </c>
      <c r="E2" s="279">
        <v>200000.0</v>
      </c>
    </row>
    <row r="3">
      <c r="A3" s="278">
        <v>2.0</v>
      </c>
      <c r="B3" s="278" t="s">
        <v>369</v>
      </c>
      <c r="C3" s="280">
        <v>45717.0</v>
      </c>
      <c r="D3" s="279">
        <v>200000.0</v>
      </c>
      <c r="E3" s="279">
        <v>400000.0</v>
      </c>
    </row>
    <row r="4">
      <c r="A4" s="278">
        <v>3.0</v>
      </c>
      <c r="B4" s="278" t="s">
        <v>371</v>
      </c>
      <c r="C4" s="280">
        <v>45811.0</v>
      </c>
      <c r="D4" s="279">
        <v>250000.0</v>
      </c>
      <c r="E4" s="279">
        <v>500000.0</v>
      </c>
    </row>
    <row r="5">
      <c r="A5" s="278">
        <v>4.0</v>
      </c>
      <c r="B5" s="278" t="s">
        <v>371</v>
      </c>
      <c r="C5" s="280">
        <v>45906.0</v>
      </c>
      <c r="D5" s="279">
        <v>250000.0</v>
      </c>
      <c r="E5" s="279">
        <v>500000.0</v>
      </c>
    </row>
    <row r="6">
      <c r="A6" s="278">
        <v>5.0</v>
      </c>
      <c r="B6" s="278" t="s">
        <v>371</v>
      </c>
      <c r="C6" s="280">
        <v>46000.0</v>
      </c>
      <c r="D6" s="279">
        <v>500000.0</v>
      </c>
      <c r="E6" s="279">
        <v>1000000.0</v>
      </c>
    </row>
    <row r="7">
      <c r="A7" s="278">
        <v>6.0</v>
      </c>
      <c r="B7" s="278" t="s">
        <v>372</v>
      </c>
      <c r="C7" s="280" t="s">
        <v>370</v>
      </c>
      <c r="D7" s="279">
        <v>100000.0</v>
      </c>
      <c r="E7" s="279">
        <v>200000.0</v>
      </c>
    </row>
    <row r="8">
      <c r="A8" s="278">
        <v>7.0</v>
      </c>
      <c r="B8" s="278" t="s">
        <v>372</v>
      </c>
      <c r="C8" s="280">
        <v>45717.0</v>
      </c>
      <c r="D8" s="279">
        <v>200000.0</v>
      </c>
      <c r="E8" s="279">
        <v>400000.0</v>
      </c>
    </row>
    <row r="9">
      <c r="A9" s="278">
        <v>8.0</v>
      </c>
      <c r="B9" s="278" t="s">
        <v>372</v>
      </c>
      <c r="C9" s="280">
        <v>45811.0</v>
      </c>
      <c r="D9" s="279">
        <v>250000.0</v>
      </c>
      <c r="E9" s="279">
        <v>500000.0</v>
      </c>
    </row>
    <row r="10">
      <c r="A10" s="278">
        <v>9.0</v>
      </c>
      <c r="B10" s="278" t="s">
        <v>372</v>
      </c>
      <c r="C10" s="280">
        <v>45906.0</v>
      </c>
      <c r="D10" s="279">
        <v>250000.0</v>
      </c>
      <c r="E10" s="279">
        <v>500000.0</v>
      </c>
    </row>
    <row r="11">
      <c r="A11" s="278">
        <v>10.0</v>
      </c>
      <c r="B11" s="278" t="s">
        <v>372</v>
      </c>
      <c r="C11" s="280">
        <v>46000.0</v>
      </c>
      <c r="D11" s="279">
        <v>500000.0</v>
      </c>
      <c r="E11" s="279">
        <v>1.0E7</v>
      </c>
    </row>
    <row r="12">
      <c r="A12" s="278">
        <v>11.0</v>
      </c>
      <c r="B12" s="31" t="s">
        <v>373</v>
      </c>
      <c r="C12" s="280" t="s">
        <v>370</v>
      </c>
      <c r="D12" s="279">
        <v>100000.0</v>
      </c>
      <c r="E12" s="279">
        <v>200000.0</v>
      </c>
    </row>
    <row r="13">
      <c r="A13" s="278">
        <v>12.0</v>
      </c>
      <c r="B13" s="31" t="s">
        <v>374</v>
      </c>
      <c r="C13" s="280">
        <v>45717.0</v>
      </c>
      <c r="D13" s="279">
        <v>200000.0</v>
      </c>
      <c r="E13" s="279">
        <v>400000.0</v>
      </c>
    </row>
    <row r="14">
      <c r="A14" s="31">
        <v>13.0</v>
      </c>
      <c r="B14" s="31" t="s">
        <v>375</v>
      </c>
      <c r="C14" s="280">
        <v>45811.0</v>
      </c>
      <c r="D14" s="279">
        <v>250000.0</v>
      </c>
      <c r="E14" s="279">
        <v>500000.0</v>
      </c>
    </row>
    <row r="15">
      <c r="A15" s="31">
        <v>14.0</v>
      </c>
      <c r="B15" s="31" t="s">
        <v>375</v>
      </c>
      <c r="C15" s="280">
        <v>45906.0</v>
      </c>
      <c r="D15" s="279">
        <v>250000.0</v>
      </c>
      <c r="E15" s="279">
        <v>500000.0</v>
      </c>
    </row>
    <row r="16">
      <c r="A16" s="31">
        <v>15.0</v>
      </c>
      <c r="B16" s="31" t="s">
        <v>375</v>
      </c>
      <c r="C16" s="280">
        <v>46000.0</v>
      </c>
      <c r="D16" s="279">
        <v>500000.0</v>
      </c>
      <c r="E16" s="279">
        <v>1000000.0</v>
      </c>
    </row>
    <row r="17">
      <c r="A17" s="31">
        <v>16.0</v>
      </c>
      <c r="B17" s="31" t="s">
        <v>376</v>
      </c>
      <c r="C17" s="31" t="s">
        <v>370</v>
      </c>
      <c r="D17" s="279">
        <v>100000.0</v>
      </c>
      <c r="E17" s="279">
        <v>200000.0</v>
      </c>
    </row>
    <row r="18">
      <c r="A18" s="31">
        <v>17.0</v>
      </c>
      <c r="B18" s="31" t="s">
        <v>376</v>
      </c>
      <c r="C18" s="280">
        <v>45717.0</v>
      </c>
      <c r="D18" s="279">
        <v>200000.0</v>
      </c>
      <c r="E18" s="279">
        <v>400000.0</v>
      </c>
    </row>
    <row r="19">
      <c r="A19" s="31">
        <v>18.0</v>
      </c>
      <c r="B19" s="31" t="s">
        <v>376</v>
      </c>
      <c r="C19" s="280">
        <v>45811.0</v>
      </c>
      <c r="D19" s="279">
        <v>250000.0</v>
      </c>
      <c r="E19" s="279">
        <v>500000.0</v>
      </c>
    </row>
    <row r="20">
      <c r="A20" s="31">
        <v>19.0</v>
      </c>
      <c r="B20" s="31" t="s">
        <v>376</v>
      </c>
      <c r="C20" s="280">
        <v>45906.0</v>
      </c>
      <c r="D20" s="279">
        <v>250000.0</v>
      </c>
      <c r="E20" s="279">
        <v>500000.0</v>
      </c>
    </row>
    <row r="21">
      <c r="A21" s="31">
        <v>20.0</v>
      </c>
      <c r="B21" s="31" t="s">
        <v>376</v>
      </c>
      <c r="C21" s="280">
        <v>46000.0</v>
      </c>
      <c r="D21" s="279">
        <v>500000.0</v>
      </c>
      <c r="E21" s="279">
        <v>100000.0</v>
      </c>
    </row>
    <row r="22">
      <c r="A22" s="31">
        <v>21.0</v>
      </c>
      <c r="B22" s="31" t="s">
        <v>377</v>
      </c>
      <c r="C22" s="31" t="s">
        <v>370</v>
      </c>
      <c r="D22" s="279">
        <v>100000.0</v>
      </c>
      <c r="E22" s="279">
        <v>200000.0</v>
      </c>
    </row>
    <row r="23">
      <c r="A23" s="31">
        <v>22.0</v>
      </c>
      <c r="B23" s="31" t="s">
        <v>377</v>
      </c>
      <c r="C23" s="280">
        <v>45717.0</v>
      </c>
      <c r="D23" s="279">
        <v>100000.0</v>
      </c>
      <c r="E23" s="279">
        <v>200000.0</v>
      </c>
    </row>
    <row r="24">
      <c r="A24" s="31">
        <v>23.0</v>
      </c>
      <c r="B24" s="31" t="s">
        <v>377</v>
      </c>
      <c r="C24" s="280">
        <v>45811.0</v>
      </c>
      <c r="D24" s="279">
        <v>250000.0</v>
      </c>
      <c r="E24" s="279">
        <v>500000.0</v>
      </c>
    </row>
    <row r="25">
      <c r="A25" s="31">
        <v>24.0</v>
      </c>
      <c r="B25" s="31" t="s">
        <v>377</v>
      </c>
      <c r="C25" s="280">
        <v>45906.0</v>
      </c>
      <c r="D25" s="279">
        <v>250000.0</v>
      </c>
      <c r="E25" s="279">
        <v>500000.0</v>
      </c>
    </row>
    <row r="26">
      <c r="A26" s="31">
        <v>25.0</v>
      </c>
      <c r="B26" s="31" t="s">
        <v>377</v>
      </c>
      <c r="C26" s="280">
        <v>46000.0</v>
      </c>
      <c r="D26" s="279">
        <v>500000.0</v>
      </c>
      <c r="E26" s="279">
        <v>1000000.0</v>
      </c>
    </row>
    <row r="27">
      <c r="A27" s="31">
        <v>26.0</v>
      </c>
      <c r="B27" s="31" t="s">
        <v>378</v>
      </c>
      <c r="C27" s="31" t="s">
        <v>370</v>
      </c>
      <c r="D27" s="279">
        <v>100000.0</v>
      </c>
      <c r="E27" s="279">
        <v>200000.0</v>
      </c>
    </row>
    <row r="28">
      <c r="A28" s="31">
        <v>27.0</v>
      </c>
      <c r="B28" s="31" t="s">
        <v>378</v>
      </c>
      <c r="C28" s="280">
        <v>45717.0</v>
      </c>
      <c r="D28" s="279">
        <v>100000.0</v>
      </c>
      <c r="E28" s="279">
        <v>200000.0</v>
      </c>
    </row>
    <row r="29">
      <c r="A29" s="31">
        <v>28.0</v>
      </c>
      <c r="B29" s="31" t="s">
        <v>378</v>
      </c>
      <c r="C29" s="280">
        <v>45811.0</v>
      </c>
      <c r="D29" s="279">
        <v>250000.0</v>
      </c>
      <c r="E29" s="279">
        <v>500000.0</v>
      </c>
    </row>
    <row r="30">
      <c r="A30" s="31">
        <v>29.0</v>
      </c>
      <c r="B30" s="31" t="s">
        <v>378</v>
      </c>
      <c r="C30" s="280">
        <v>45906.0</v>
      </c>
      <c r="D30" s="279">
        <v>250000.0</v>
      </c>
      <c r="E30" s="279">
        <v>500000.0</v>
      </c>
    </row>
    <row r="31">
      <c r="A31" s="31">
        <v>30.0</v>
      </c>
      <c r="B31" s="31" t="s">
        <v>378</v>
      </c>
      <c r="C31" s="280">
        <v>46000.0</v>
      </c>
      <c r="D31" s="279">
        <v>500000.0</v>
      </c>
      <c r="E31" s="279">
        <v>1000000.0</v>
      </c>
    </row>
    <row r="32">
      <c r="A32" s="31">
        <v>31.0</v>
      </c>
      <c r="B32" s="31" t="s">
        <v>123</v>
      </c>
      <c r="C32" s="31" t="s">
        <v>379</v>
      </c>
      <c r="D32" s="279">
        <v>0.0</v>
      </c>
      <c r="E32" s="279">
        <v>500000.0</v>
      </c>
    </row>
    <row r="33">
      <c r="A33" s="31">
        <v>32.0</v>
      </c>
      <c r="B33" s="31" t="s">
        <v>123</v>
      </c>
      <c r="C33" s="31" t="s">
        <v>380</v>
      </c>
      <c r="D33" s="279">
        <v>0.0</v>
      </c>
      <c r="E33" s="279">
        <v>500000.0</v>
      </c>
    </row>
    <row r="34">
      <c r="A34" s="31">
        <v>33.0</v>
      </c>
      <c r="B34" s="31" t="s">
        <v>123</v>
      </c>
      <c r="C34" s="31" t="s">
        <v>381</v>
      </c>
      <c r="D34" s="279">
        <v>500000.0</v>
      </c>
      <c r="E34" s="279">
        <v>1000000.0</v>
      </c>
    </row>
    <row r="35">
      <c r="A35" s="31">
        <v>34.0</v>
      </c>
      <c r="B35" s="31" t="s">
        <v>228</v>
      </c>
      <c r="C35" s="31" t="s">
        <v>370</v>
      </c>
      <c r="D35" s="279">
        <v>50000.0</v>
      </c>
      <c r="E35" s="279">
        <v>100000.0</v>
      </c>
    </row>
    <row r="36">
      <c r="A36" s="31">
        <v>35.0</v>
      </c>
      <c r="B36" s="31" t="s">
        <v>228</v>
      </c>
      <c r="C36" s="280">
        <v>45717.0</v>
      </c>
      <c r="D36" s="279">
        <v>100000.0</v>
      </c>
      <c r="E36" s="279">
        <v>200000.0</v>
      </c>
    </row>
    <row r="37">
      <c r="A37" s="31">
        <v>36.0</v>
      </c>
      <c r="B37" s="31" t="s">
        <v>228</v>
      </c>
      <c r="C37" s="280">
        <v>45811.0</v>
      </c>
      <c r="D37" s="279">
        <v>200000.0</v>
      </c>
      <c r="E37" s="279">
        <v>400000.0</v>
      </c>
    </row>
    <row r="38">
      <c r="A38" s="31">
        <v>37.0</v>
      </c>
      <c r="B38" s="31" t="s">
        <v>228</v>
      </c>
      <c r="C38" s="280">
        <v>45906.0</v>
      </c>
      <c r="D38" s="279">
        <v>200000.0</v>
      </c>
      <c r="E38" s="279">
        <v>400000.0</v>
      </c>
    </row>
    <row r="39">
      <c r="A39" s="31">
        <v>38.0</v>
      </c>
      <c r="B39" s="31" t="s">
        <v>228</v>
      </c>
      <c r="C39" s="280">
        <v>46000.0</v>
      </c>
      <c r="D39" s="279">
        <v>250000.0</v>
      </c>
      <c r="E39" s="279">
        <v>500000.0</v>
      </c>
    </row>
    <row r="40">
      <c r="A40" s="31">
        <v>39.0</v>
      </c>
      <c r="B40" s="31" t="s">
        <v>382</v>
      </c>
      <c r="C40" s="31" t="s">
        <v>370</v>
      </c>
      <c r="D40" s="279">
        <v>100000.0</v>
      </c>
      <c r="E40" s="279">
        <v>200000.0</v>
      </c>
    </row>
    <row r="41">
      <c r="A41" s="31">
        <v>40.0</v>
      </c>
      <c r="B41" s="31" t="s">
        <v>382</v>
      </c>
      <c r="C41" s="280">
        <v>45717.0</v>
      </c>
      <c r="D41" s="279">
        <v>200000.0</v>
      </c>
      <c r="E41" s="279">
        <v>400000.0</v>
      </c>
    </row>
    <row r="42">
      <c r="A42" s="31">
        <v>41.0</v>
      </c>
      <c r="B42" s="31" t="s">
        <v>382</v>
      </c>
      <c r="C42" s="280">
        <v>45811.0</v>
      </c>
      <c r="D42" s="279">
        <v>250000.0</v>
      </c>
      <c r="E42" s="279">
        <v>500000.0</v>
      </c>
    </row>
    <row r="43">
      <c r="A43" s="31">
        <v>42.0</v>
      </c>
      <c r="B43" s="31" t="s">
        <v>382</v>
      </c>
      <c r="C43" s="280">
        <v>45906.0</v>
      </c>
      <c r="D43" s="279">
        <v>1000000.0</v>
      </c>
      <c r="E43" s="279">
        <v>2000000.0</v>
      </c>
    </row>
    <row r="44">
      <c r="A44" s="31">
        <v>43.0</v>
      </c>
      <c r="B44" s="31" t="s">
        <v>382</v>
      </c>
      <c r="C44" s="280">
        <v>46000.0</v>
      </c>
      <c r="D44" s="279">
        <v>500000.0</v>
      </c>
      <c r="E44" s="279">
        <v>1000000.0</v>
      </c>
    </row>
    <row r="45">
      <c r="A45" s="31">
        <v>44.0</v>
      </c>
      <c r="B45" s="281" t="s">
        <v>165</v>
      </c>
      <c r="C45" s="31" t="s">
        <v>370</v>
      </c>
      <c r="D45" s="279">
        <v>100000.0</v>
      </c>
      <c r="E45" s="279">
        <v>200000.0</v>
      </c>
    </row>
    <row r="46">
      <c r="A46" s="31">
        <v>45.0</v>
      </c>
      <c r="B46" s="281" t="s">
        <v>165</v>
      </c>
      <c r="C46" s="280">
        <v>45717.0</v>
      </c>
      <c r="D46" s="279">
        <v>200000.0</v>
      </c>
      <c r="E46" s="279">
        <v>400000.0</v>
      </c>
    </row>
    <row r="47">
      <c r="A47" s="31">
        <v>46.0</v>
      </c>
      <c r="B47" s="281" t="s">
        <v>165</v>
      </c>
      <c r="C47" s="280">
        <v>45811.0</v>
      </c>
      <c r="D47" s="279">
        <v>250000.0</v>
      </c>
      <c r="E47" s="279">
        <v>500000.0</v>
      </c>
    </row>
    <row r="48">
      <c r="A48" s="31">
        <v>47.0</v>
      </c>
      <c r="B48" s="281" t="s">
        <v>165</v>
      </c>
      <c r="C48" s="280">
        <v>45906.0</v>
      </c>
      <c r="D48" s="279">
        <v>1000000.0</v>
      </c>
      <c r="E48" s="279">
        <v>2000000.0</v>
      </c>
    </row>
    <row r="49">
      <c r="A49" s="31">
        <v>48.0</v>
      </c>
      <c r="B49" s="281" t="s">
        <v>165</v>
      </c>
      <c r="C49" s="280">
        <v>46000.0</v>
      </c>
      <c r="D49" s="279">
        <v>1000000.0</v>
      </c>
      <c r="E49" s="279">
        <v>2000000.0</v>
      </c>
    </row>
    <row r="50">
      <c r="A50" s="31">
        <v>49.0</v>
      </c>
      <c r="B50" s="281" t="s">
        <v>383</v>
      </c>
      <c r="C50" s="281" t="s">
        <v>384</v>
      </c>
      <c r="D50" s="282">
        <v>100000.0</v>
      </c>
      <c r="E50" s="279">
        <v>200000.0</v>
      </c>
    </row>
    <row r="51">
      <c r="A51" s="31">
        <v>50.0</v>
      </c>
      <c r="B51" s="281" t="s">
        <v>383</v>
      </c>
      <c r="C51" s="31" t="s">
        <v>379</v>
      </c>
      <c r="D51" s="279">
        <v>200000.0</v>
      </c>
      <c r="E51" s="279">
        <v>400000.0</v>
      </c>
    </row>
    <row r="52">
      <c r="A52" s="31">
        <v>51.0</v>
      </c>
      <c r="B52" s="281" t="s">
        <v>383</v>
      </c>
      <c r="C52" s="31" t="s">
        <v>380</v>
      </c>
      <c r="D52" s="279">
        <v>250000.0</v>
      </c>
      <c r="E52" s="279">
        <v>500000.0</v>
      </c>
    </row>
    <row r="53">
      <c r="A53" s="281">
        <v>52.0</v>
      </c>
      <c r="B53" s="281" t="s">
        <v>383</v>
      </c>
      <c r="C53" s="31" t="s">
        <v>381</v>
      </c>
      <c r="D53" s="279">
        <v>1000000.0</v>
      </c>
      <c r="E53" s="279">
        <v>2000000.0</v>
      </c>
    </row>
    <row r="54">
      <c r="A54" s="281">
        <v>53.0</v>
      </c>
      <c r="B54" s="281" t="s">
        <v>385</v>
      </c>
      <c r="C54" s="31" t="s">
        <v>370</v>
      </c>
      <c r="D54" s="279">
        <v>50000.0</v>
      </c>
      <c r="E54" s="279">
        <v>100000.0</v>
      </c>
    </row>
    <row r="55">
      <c r="A55" s="281">
        <v>54.0</v>
      </c>
      <c r="B55" s="281" t="s">
        <v>385</v>
      </c>
      <c r="C55" s="280">
        <v>45717.0</v>
      </c>
      <c r="D55" s="279">
        <v>100000.0</v>
      </c>
      <c r="E55" s="279">
        <v>200000.0</v>
      </c>
    </row>
    <row r="56">
      <c r="A56" s="281">
        <v>55.0</v>
      </c>
      <c r="B56" s="281" t="s">
        <v>385</v>
      </c>
      <c r="C56" s="280">
        <v>45811.0</v>
      </c>
      <c r="D56" s="279">
        <v>100000.0</v>
      </c>
      <c r="E56" s="279">
        <v>200000.0</v>
      </c>
    </row>
    <row r="57">
      <c r="A57" s="281">
        <v>56.0</v>
      </c>
      <c r="B57" s="281" t="s">
        <v>385</v>
      </c>
      <c r="C57" s="280">
        <v>45906.0</v>
      </c>
      <c r="D57" s="279">
        <v>200000.0</v>
      </c>
      <c r="E57" s="279">
        <v>400000.0</v>
      </c>
    </row>
    <row r="58">
      <c r="A58" s="281">
        <v>57.0</v>
      </c>
      <c r="B58" s="281" t="s">
        <v>386</v>
      </c>
      <c r="C58" s="31" t="s">
        <v>370</v>
      </c>
      <c r="D58" s="279">
        <v>50000.0</v>
      </c>
      <c r="E58" s="279">
        <v>100000.0</v>
      </c>
    </row>
    <row r="59">
      <c r="A59" s="281">
        <v>58.0</v>
      </c>
      <c r="B59" s="281" t="s">
        <v>386</v>
      </c>
      <c r="C59" s="280">
        <v>45717.0</v>
      </c>
      <c r="D59" s="279">
        <v>100000.0</v>
      </c>
      <c r="E59" s="279">
        <v>200000.0</v>
      </c>
    </row>
    <row r="60">
      <c r="A60" s="281">
        <v>59.0</v>
      </c>
      <c r="B60" s="281" t="s">
        <v>386</v>
      </c>
      <c r="C60" s="280">
        <v>45811.0</v>
      </c>
      <c r="D60" s="279">
        <v>100000.0</v>
      </c>
      <c r="E60" s="279">
        <v>200000.0</v>
      </c>
    </row>
    <row r="61">
      <c r="A61" s="281">
        <v>60.0</v>
      </c>
      <c r="B61" s="281" t="s">
        <v>386</v>
      </c>
      <c r="C61" s="280">
        <v>45906.0</v>
      </c>
      <c r="D61" s="279">
        <v>200000.0</v>
      </c>
      <c r="E61" s="279">
        <v>400000.0</v>
      </c>
    </row>
    <row r="62">
      <c r="D62" s="283"/>
      <c r="E62" s="283"/>
    </row>
    <row r="63">
      <c r="D63" s="283"/>
      <c r="E63" s="283"/>
    </row>
    <row r="64">
      <c r="D64" s="283"/>
      <c r="E64" s="283"/>
    </row>
    <row r="65">
      <c r="D65" s="283"/>
      <c r="E65" s="283"/>
    </row>
    <row r="66">
      <c r="D66" s="283"/>
      <c r="E66" s="283"/>
    </row>
    <row r="67">
      <c r="D67" s="283"/>
      <c r="E67" s="283"/>
    </row>
    <row r="68">
      <c r="D68" s="283"/>
      <c r="E68" s="283"/>
    </row>
    <row r="69">
      <c r="D69" s="283"/>
      <c r="E69" s="283"/>
    </row>
    <row r="70">
      <c r="D70" s="283"/>
      <c r="E70" s="283"/>
    </row>
    <row r="71">
      <c r="D71" s="283"/>
      <c r="E71" s="283"/>
    </row>
    <row r="72">
      <c r="D72" s="283"/>
      <c r="E72" s="283"/>
    </row>
    <row r="73">
      <c r="D73" s="283"/>
      <c r="E73" s="283"/>
    </row>
    <row r="74">
      <c r="D74" s="283"/>
      <c r="E74" s="283"/>
    </row>
    <row r="75">
      <c r="D75" s="283"/>
      <c r="E75" s="283"/>
    </row>
    <row r="76">
      <c r="D76" s="283"/>
      <c r="E76" s="283"/>
    </row>
    <row r="77">
      <c r="D77" s="283"/>
      <c r="E77" s="283"/>
    </row>
    <row r="78">
      <c r="D78" s="283"/>
      <c r="E78" s="283"/>
    </row>
    <row r="79">
      <c r="D79" s="283"/>
      <c r="E79" s="283"/>
    </row>
    <row r="80">
      <c r="D80" s="283"/>
      <c r="E80" s="283"/>
    </row>
    <row r="81">
      <c r="D81" s="283"/>
      <c r="E81" s="283"/>
    </row>
    <row r="82">
      <c r="D82" s="283"/>
      <c r="E82" s="283"/>
    </row>
    <row r="83">
      <c r="D83" s="283"/>
      <c r="E83" s="283"/>
    </row>
    <row r="84">
      <c r="D84" s="283"/>
      <c r="E84" s="283"/>
    </row>
  </sheetData>
  <hyperlinks>
    <hyperlink r:id="rId1" ref="H1"/>
  </hyperlinks>
  <drawing r:id="rId2"/>
</worksheet>
</file>