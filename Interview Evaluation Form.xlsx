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lke\Desktop\"/>
    </mc:Choice>
  </mc:AlternateContent>
  <bookViews>
    <workbookView xWindow="0" yWindow="0" windowWidth="22400" windowHeight="10130"/>
  </bookViews>
  <sheets>
    <sheet name="Interview Evaluation From Draft" sheetId="17" r:id="rId1"/>
    <sheet name="EF04" sheetId="21" state="hidden" r:id="rId2"/>
    <sheet name="EF06" sheetId="22" state="hidden" r:id="rId3"/>
    <sheet name="EF07" sheetId="23" state="hidden" r:id="rId4"/>
    <sheet name="Projects" sheetId="20" state="hidden" r:id="rId5"/>
  </sheets>
  <definedNames>
    <definedName name="AptType" localSheetId="1">'EF04'!$R$13</definedName>
    <definedName name="AptType" localSheetId="2">#REF!</definedName>
    <definedName name="AptType" localSheetId="3">'EF07'!$R$16</definedName>
    <definedName name="AptType">#REF!</definedName>
    <definedName name="_xlnm.Print_Area" localSheetId="1">'EF04'!$A$1:$O$64</definedName>
    <definedName name="_xlnm.Print_Area" localSheetId="2">'EF06'!$A$1:$N$41</definedName>
    <definedName name="_xlnm.Print_Area" localSheetId="3">'EF07'!$A$1:$O$47</definedName>
    <definedName name="_xlnm.Print_Area" localSheetId="0">'Interview Evaluation From Draft'!$A$1:$O$54</definedName>
    <definedName name="_xlnm.Print_Titles" localSheetId="1">'EF04'!$2:$3</definedName>
    <definedName name="_xlnm.Print_Titles" localSheetId="2">'EF06'!$2:$7</definedName>
    <definedName name="_xlnm.Print_Titles" localSheetId="3">'EF07'!$2:$3</definedName>
    <definedName name="PrjListLong" localSheetId="1">#REF!</definedName>
    <definedName name="PrjListLong" localSheetId="2">#REF!</definedName>
    <definedName name="PrjListLong" localSheetId="3">#REF!</definedName>
    <definedName name="PrjListLong">Table1[Project Short Name]</definedName>
    <definedName name="PrjListShort" localSheetId="1">#REF!</definedName>
    <definedName name="PrjListShort" localSheetId="2">#REF!</definedName>
    <definedName name="PrjListShort" localSheetId="3">#REF!</definedName>
    <definedName name="PrjListShort">Table1[[ Project Code]]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21" l="1"/>
  <c r="H8" i="21" s="1"/>
  <c r="K3" i="21"/>
  <c r="C3" i="21"/>
  <c r="C27" i="23"/>
  <c r="D27" i="23" s="1"/>
  <c r="C25" i="23"/>
  <c r="C26" i="23" s="1"/>
  <c r="L15" i="23"/>
  <c r="H15" i="23"/>
  <c r="R29" i="23"/>
  <c r="S26" i="23"/>
  <c r="R26" i="23"/>
  <c r="K9" i="21" l="1"/>
  <c r="C18" i="21"/>
  <c r="C19" i="21" s="1"/>
  <c r="D26" i="23"/>
  <c r="D25" i="23"/>
  <c r="C28" i="23"/>
  <c r="L8" i="21" l="1"/>
  <c r="O9" i="21"/>
  <c r="C20" i="21" s="1"/>
  <c r="D20" i="21" s="1"/>
  <c r="D18" i="21"/>
  <c r="C21" i="21"/>
  <c r="D28" i="23"/>
  <c r="I31" i="22"/>
  <c r="R26" i="21"/>
  <c r="C24" i="21"/>
  <c r="S23" i="21"/>
  <c r="D19" i="21" s="1"/>
  <c r="D21" i="21" s="1"/>
  <c r="R23" i="21"/>
  <c r="B20" i="21"/>
  <c r="A5" i="20" l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l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l="1"/>
  <c r="A41" i="20" s="1"/>
  <c r="A42" i="20" s="1"/>
  <c r="A43" i="20" s="1"/>
  <c r="A44" i="20" s="1"/>
  <c r="A45" i="20" s="1"/>
  <c r="A46" i="20" s="1"/>
</calcChain>
</file>

<file path=xl/sharedStrings.xml><?xml version="1.0" encoding="utf-8"?>
<sst xmlns="http://schemas.openxmlformats.org/spreadsheetml/2006/main" count="353" uniqueCount="267">
  <si>
    <t>CNIC</t>
  </si>
  <si>
    <t>Qualification:</t>
  </si>
  <si>
    <t>Position:</t>
  </si>
  <si>
    <t>Name:</t>
  </si>
  <si>
    <t>Action</t>
  </si>
  <si>
    <t>Project/Dept:</t>
  </si>
  <si>
    <t>PEC Reg. #</t>
  </si>
  <si>
    <t>Remarks:</t>
  </si>
  <si>
    <t>Recommendations:</t>
  </si>
  <si>
    <t>Part-1</t>
  </si>
  <si>
    <t>Part-2</t>
  </si>
  <si>
    <t>Relevant Experience (years)</t>
  </si>
  <si>
    <t>Total Experience (years)</t>
  </si>
  <si>
    <t>Rehman Habib Consultants (Pvt) Limited</t>
  </si>
  <si>
    <t>Project List</t>
  </si>
  <si>
    <t>Nr.</t>
  </si>
  <si>
    <t>M&amp;R Works, Punjab Irrigation - TPME (2023-2026)</t>
  </si>
  <si>
    <t>Flood Protection Schemes in District Killa Abdullah and Naseerabad (DR &amp; CS)</t>
  </si>
  <si>
    <t>Flood Damaged Water Conservation Structures, Quetta - Restoration (DR &amp; CS)</t>
  </si>
  <si>
    <t>Watershed Management/Small Dams, Quetta (DR &amp; CS)</t>
  </si>
  <si>
    <t>Emergency Flood Assistant, Balochistan (PMC DD &amp; CS)</t>
  </si>
  <si>
    <t>Gwadar-Lasbela Livelihood-II (Jetties &amp; Infrastructure)</t>
  </si>
  <si>
    <t>Agri Mechanized, Crop Productivity (Punjab)</t>
  </si>
  <si>
    <t>New Small Dams, Potohar (FS &amp; DD)</t>
  </si>
  <si>
    <t>Shaktu Small Dam KP</t>
  </si>
  <si>
    <t>Gish Kaur Dam (DD &amp; CS)</t>
  </si>
  <si>
    <t>KP Hydropower, Renewable Energy Development (PIC)</t>
  </si>
  <si>
    <t>100-Dams Package-IV, (23 Dams)</t>
  </si>
  <si>
    <t>Kachhi Canal-MMP</t>
  </si>
  <si>
    <t>Baz Ali Small Dam, KP</t>
  </si>
  <si>
    <t>Tanda Dam, KP</t>
  </si>
  <si>
    <t>NPIW Phase-II</t>
  </si>
  <si>
    <t>Barani Areas of KP</t>
  </si>
  <si>
    <t>M&amp;D Punjab Irrigation (2020-23)</t>
  </si>
  <si>
    <t>Balochistan Water Resources</t>
  </si>
  <si>
    <t>Garuk Storage Dam</t>
  </si>
  <si>
    <t>100-Dams Package-III (20 Dams)</t>
  </si>
  <si>
    <t>CAREC – RIBS</t>
  </si>
  <si>
    <t>Kotli Sattian and Santh Ni Khuri Dams (FS)</t>
  </si>
  <si>
    <t>Rail Connectivity, 168 Km (Kohat - Kharlachi) - FS</t>
  </si>
  <si>
    <t>Revival of BWR Program - Baseline Survey</t>
  </si>
  <si>
    <t>Punjab Rural Sustainable WS &amp; Sanitation, Central-II</t>
  </si>
  <si>
    <t>KKH (Thakot to Riakot) - Realignment (FS &amp; DD)</t>
  </si>
  <si>
    <t>Bara Dam-KP</t>
  </si>
  <si>
    <t>Small Dam Merged Area Package XII (FS &amp; DD)</t>
  </si>
  <si>
    <t>Punjab Intermediate Cities Improvement</t>
  </si>
  <si>
    <t>Passengers Coaches (PPP) - TA</t>
  </si>
  <si>
    <t>Railways Schools &amp; Colleges (PPP) - TA</t>
  </si>
  <si>
    <t>Kurram Tangi WRD, KP</t>
  </si>
  <si>
    <t>KP Cities Improvement Project</t>
  </si>
  <si>
    <t>Tranda-Muzaffargarh Road, Dualization (PPP)</t>
  </si>
  <si>
    <t>128-TPMEMR-2310</t>
  </si>
  <si>
    <t>127-FPSDKA-2309</t>
  </si>
  <si>
    <t>126-FDWCSQ-2308</t>
  </si>
  <si>
    <t>123-WMQDCS-2305</t>
  </si>
  <si>
    <t>122-EFAPDS-2304</t>
  </si>
  <si>
    <t>121-GLLSP2-2303</t>
  </si>
  <si>
    <t>106-ICPAFP-2211</t>
  </si>
  <si>
    <t>105-FSNSDP-2210</t>
  </si>
  <si>
    <t>98-SSDBKP-2203</t>
  </si>
  <si>
    <t>96-GKSDAM-2201</t>
  </si>
  <si>
    <t>94-KPHPRE-2114</t>
  </si>
  <si>
    <t>86-100DP4-2106</t>
  </si>
  <si>
    <t>85-KCPRWS-2105</t>
  </si>
  <si>
    <t>81-BADMKP-2101</t>
  </si>
  <si>
    <t>78-TSDPKP-2007</t>
  </si>
  <si>
    <t>77-NPIWP2-2006</t>
  </si>
  <si>
    <t>76-WCBAKP-2005</t>
  </si>
  <si>
    <t>74-MNDPID-2003</t>
  </si>
  <si>
    <t>64-BWRDSP-1905</t>
  </si>
  <si>
    <t>55-GARUKD-1803</t>
  </si>
  <si>
    <t>50-100DP3-1706</t>
  </si>
  <si>
    <t>45-CRIBSP-1701</t>
  </si>
  <si>
    <t>125-KSSNKD-2307</t>
  </si>
  <si>
    <t>117-FSRCWA-2222</t>
  </si>
  <si>
    <t>115-BSBWRP-2220</t>
  </si>
  <si>
    <t>114-PRSCII-2219</t>
  </si>
  <si>
    <t>107-FDRKKH-2212</t>
  </si>
  <si>
    <t>100-BDMPKP-2205</t>
  </si>
  <si>
    <t>97-SDMP12-2202</t>
  </si>
  <si>
    <t>92-PICIIP-2112</t>
  </si>
  <si>
    <t>87-TAPCFW-2107</t>
  </si>
  <si>
    <t>83-TAPRSC-2103</t>
  </si>
  <si>
    <t>82-KTWRDP-2102</t>
  </si>
  <si>
    <t>80-KPCIP1-2009</t>
  </si>
  <si>
    <t>79-TMRoad-2008</t>
  </si>
  <si>
    <t>Project Short Name</t>
  </si>
  <si>
    <t xml:space="preserve"> Project Code</t>
  </si>
  <si>
    <t>Project Sponsor</t>
  </si>
  <si>
    <t>132-FSRGNK-2401</t>
  </si>
  <si>
    <t>New Rail Link, Gwadar To Nok-Kundi (FS &amp; TAS)</t>
  </si>
  <si>
    <t>131-SGDDKB-2226</t>
  </si>
  <si>
    <t>Sunni Garh Dam, District Khuzdar Balochistan (DR &amp;CS)</t>
  </si>
  <si>
    <t>130-PSDDPB-2225</t>
  </si>
  <si>
    <t>Panjgur Storage Dam, District Panjgoor Balochistan (DD &amp; CS)</t>
  </si>
  <si>
    <t>129-SDAMGB-2224</t>
  </si>
  <si>
    <t>Shehzanik Dam, Gawadar Balochistan (CS)</t>
  </si>
  <si>
    <t>RHC-HR-EF-04-01</t>
  </si>
  <si>
    <t>APPOINTMENT TYPE / REMUNERATION APPROVAL</t>
  </si>
  <si>
    <t>E-Code:</t>
  </si>
  <si>
    <t>Duty Station</t>
  </si>
  <si>
    <t>Mobile #</t>
  </si>
  <si>
    <t>Step-1</t>
  </si>
  <si>
    <t>Appointment Type and Remuneration Approval</t>
  </si>
  <si>
    <t>Billing Rate:</t>
  </si>
  <si>
    <t>Salary Budget:</t>
  </si>
  <si>
    <t>Special Allowance/Pay:</t>
  </si>
  <si>
    <t>Special Allowance, Justification:</t>
  </si>
  <si>
    <t>Appointment Type:</t>
  </si>
  <si>
    <t xml:space="preserve">Appointment Type </t>
  </si>
  <si>
    <t>A. Project/Contract Based Appointment:</t>
  </si>
  <si>
    <t>Contract Type:</t>
  </si>
  <si>
    <t xml:space="preserve">Normal: </t>
  </si>
  <si>
    <t xml:space="preserve">Short Term/Intermittent: </t>
  </si>
  <si>
    <t xml:space="preserve">Non-tech, Support staff: </t>
  </si>
  <si>
    <t>Gross</t>
  </si>
  <si>
    <t>Payable</t>
  </si>
  <si>
    <t xml:space="preserve">Salary: </t>
  </si>
  <si>
    <t>Medical</t>
  </si>
  <si>
    <t xml:space="preserve">Social Charges: </t>
  </si>
  <si>
    <t>Tick items (out of social charges) to be paid with salary</t>
  </si>
  <si>
    <t>Sick Leave</t>
  </si>
  <si>
    <t>Gratuity</t>
  </si>
  <si>
    <t>Total</t>
  </si>
  <si>
    <t>Earned Leave</t>
  </si>
  <si>
    <t>B. Regular Appointment:</t>
  </si>
  <si>
    <t>Grade:</t>
  </si>
  <si>
    <t>Gross Salary:</t>
  </si>
  <si>
    <t>Benefits:</t>
  </si>
  <si>
    <t>Casual Leave</t>
  </si>
  <si>
    <t>Annual Leave</t>
  </si>
  <si>
    <t>Factor</t>
  </si>
  <si>
    <t xml:space="preserve">Social Security </t>
  </si>
  <si>
    <t xml:space="preserve">Gratuity </t>
  </si>
  <si>
    <t>EOBI</t>
  </si>
  <si>
    <t>Step-2</t>
  </si>
  <si>
    <t>After receipt of Joining Report and attested copies of Transcripts/documents</t>
  </si>
  <si>
    <t>Date of Joining:</t>
  </si>
  <si>
    <t>Educational Transcripts (Attested)</t>
  </si>
  <si>
    <t>National ID Card (CNIC)</t>
  </si>
  <si>
    <t>PEC Verification (Engineers only)</t>
  </si>
  <si>
    <r>
      <rPr>
        <b/>
        <sz val="9"/>
        <color theme="1"/>
        <rFont val="Calibri"/>
        <family val="2"/>
        <scheme val="minor"/>
      </rPr>
      <t>Note:</t>
    </r>
    <r>
      <rPr>
        <sz val="9"/>
        <color theme="1"/>
        <rFont val="Calibri"/>
        <family val="2"/>
        <scheme val="minor"/>
      </rPr>
      <t xml:space="preserve"> All documents must be attested by Government/Gazetted Officer of Grade 17 or above, affixing the stamp clearly showing officer’s name, designation and department/ organization.</t>
    </r>
  </si>
  <si>
    <t>Print Appointment Letter</t>
  </si>
  <si>
    <t>Auditor:</t>
  </si>
  <si>
    <t>RHC-HR-EF-06-01</t>
  </si>
  <si>
    <t>PROCUREMENT OF EXPERT INPUT</t>
  </si>
  <si>
    <t>Breif Description/Remarks:</t>
  </si>
  <si>
    <t>Attachments:</t>
  </si>
  <si>
    <t>1. Assignment Details (i.e., TORs, duration, deliverables, payment schedule etc.)</t>
  </si>
  <si>
    <t>2. Expert CV</t>
  </si>
  <si>
    <t>3. Copy of CNIC</t>
  </si>
  <si>
    <t>Recommended by:</t>
  </si>
  <si>
    <t>Designation:</t>
  </si>
  <si>
    <t>Signature:</t>
  </si>
  <si>
    <t>Budget/Remuneration Approval</t>
  </si>
  <si>
    <t>Estimated Cost:</t>
  </si>
  <si>
    <t>Duration of Assignment:</t>
  </si>
  <si>
    <r>
      <t xml:space="preserve">Notes: </t>
    </r>
    <r>
      <rPr>
        <sz val="10"/>
        <color theme="1"/>
        <rFont val="Calibri"/>
        <family val="2"/>
        <scheme val="minor"/>
      </rPr>
      <t>The amounts shown (salary/Budget) are inclusive of all types of taxes (Income Tax, Sales Tax etc.)</t>
    </r>
  </si>
  <si>
    <t>Option-A: Lump-Sum Payemnt</t>
  </si>
  <si>
    <t>Total Provision (amount)</t>
  </si>
  <si>
    <t>PKR</t>
  </si>
  <si>
    <t>Propsed budget for the Assignment</t>
  </si>
  <si>
    <t>Option-B: Salary (per month or day)</t>
  </si>
  <si>
    <t>Total Amount:</t>
  </si>
  <si>
    <t>for entire duration</t>
  </si>
  <si>
    <t>Issuance of Contract</t>
  </si>
  <si>
    <t>E-CODE:</t>
  </si>
  <si>
    <t>Contract Issue date:</t>
  </si>
  <si>
    <t>HR Department</t>
  </si>
  <si>
    <t>RHC-HR-EF-07-01</t>
  </si>
  <si>
    <t>TRANSFER APPROVAL</t>
  </si>
  <si>
    <t>DOJ:</t>
  </si>
  <si>
    <t>Recommended for Transfer to:</t>
  </si>
  <si>
    <t>Brief Description:</t>
  </si>
  <si>
    <t>Step-3</t>
  </si>
  <si>
    <t>Print Transfer Letter</t>
  </si>
  <si>
    <t>HR Lead
(Qasim Ali)</t>
  </si>
  <si>
    <t>Khansa Munawar</t>
  </si>
  <si>
    <t>Executive Compliance Officer</t>
  </si>
  <si>
    <t>Balochistan - LGRD Sector Plan</t>
  </si>
  <si>
    <t>MA</t>
  </si>
  <si>
    <t>54401-8572981-8</t>
  </si>
  <si>
    <t>0333-7825424</t>
  </si>
  <si>
    <t>Days</t>
  </si>
  <si>
    <t>Chief Executive
(Muhammad Zubair Ahmed)</t>
  </si>
  <si>
    <t>Project Sponsor
Rana Usman Khan</t>
  </si>
  <si>
    <t>RHC Head Office (Design Section)</t>
  </si>
  <si>
    <t>Chairman
(Rana Aamer Khan)</t>
  </si>
  <si>
    <t>Irrigation (Design)</t>
  </si>
  <si>
    <t>Propossed 
Salary:</t>
  </si>
  <si>
    <t>W.e.f:</t>
  </si>
  <si>
    <t>DOJ/W.e.f:</t>
  </si>
  <si>
    <t>Project Office</t>
  </si>
  <si>
    <t>Principal (Engineer/Geologist/ Architect/ Economist etc.)</t>
  </si>
  <si>
    <t>Grade 11</t>
  </si>
  <si>
    <t>Professional Degree from a recognized Institute (16-years education)</t>
  </si>
  <si>
    <t>Bachelor (B.Sc. Engg. or Equivalent)</t>
  </si>
  <si>
    <t>Masters (M.Sc. Engg. or Equivalent)</t>
  </si>
  <si>
    <t>Doctorate (Ph.D. Engg. or Equivalent)</t>
  </si>
  <si>
    <t>Senior (Engineer/Geologist/Architect/Economist etc.)</t>
  </si>
  <si>
    <t>Grade 10</t>
  </si>
  <si>
    <t>BA</t>
  </si>
  <si>
    <t>A</t>
  </si>
  <si>
    <t>AA</t>
  </si>
  <si>
    <t>G</t>
  </si>
  <si>
    <t>EX</t>
  </si>
  <si>
    <t>10. Basic Computer &amp; IT skills</t>
  </si>
  <si>
    <t>9.  Team Work (Interviewee's view of team work)</t>
  </si>
  <si>
    <t>8.  Potential (ability and motivation to grow)</t>
  </si>
  <si>
    <t>7.  Poise and Maturity</t>
  </si>
  <si>
    <t>1.  Appearance and Mannerism</t>
  </si>
  <si>
    <t>2.  Communication (ability to express view point)</t>
  </si>
  <si>
    <t>3.  Reasoning and Judgment</t>
  </si>
  <si>
    <t>4.  Education (relevance of Degree)</t>
  </si>
  <si>
    <t>5.  Experience in relevant field</t>
  </si>
  <si>
    <t>6.  Personality Attitudes and Social Adjustment</t>
  </si>
  <si>
    <t>Strengths:</t>
  </si>
  <si>
    <t>Designation</t>
  </si>
  <si>
    <t>Signature</t>
  </si>
  <si>
    <t>Part-3</t>
  </si>
  <si>
    <t xml:space="preserve">Experience </t>
  </si>
  <si>
    <t>Relevant(yrs):</t>
  </si>
  <si>
    <t xml:space="preserve">Discipline: </t>
  </si>
  <si>
    <t>Skill Gaps/Weak Areas:</t>
  </si>
  <si>
    <t>Filled by: Name:</t>
  </si>
  <si>
    <t>Actual</t>
  </si>
  <si>
    <t>Total (yrs):</t>
  </si>
  <si>
    <t>Last Employer:</t>
  </si>
  <si>
    <t>Last Designation:</t>
  </si>
  <si>
    <t>Candidate Name:</t>
  </si>
  <si>
    <r>
      <rPr>
        <b/>
        <sz val="12"/>
        <color theme="1"/>
        <rFont val="Arial"/>
        <family val="2"/>
      </rPr>
      <t xml:space="preserve">Evaluation Criteria: </t>
    </r>
    <r>
      <rPr>
        <sz val="9"/>
        <color theme="1"/>
        <rFont val="Arial"/>
        <family val="2"/>
      </rPr>
      <t>EX; Excellent,  G; Good, AA; Above Average,  A: Average, BA; Below Average</t>
    </r>
  </si>
  <si>
    <t>Remarks</t>
  </si>
  <si>
    <t xml:space="preserve">Fail: </t>
  </si>
  <si>
    <t xml:space="preserve">Pass: </t>
  </si>
  <si>
    <t xml:space="preserve">Total: </t>
  </si>
  <si>
    <t>Max Marks = 100</t>
  </si>
  <si>
    <t>Panel:</t>
  </si>
  <si>
    <t>To be completed by Interview Panel (all sections are mandatory)</t>
  </si>
  <si>
    <t>Dated</t>
  </si>
  <si>
    <t>Candidate Interview Evaluation Form</t>
  </si>
  <si>
    <t xml:space="preserve">Signatures: </t>
  </si>
  <si>
    <t>GT:</t>
  </si>
  <si>
    <t>Panel Lead:</t>
  </si>
  <si>
    <t>Member-1</t>
  </si>
  <si>
    <t>Member-2</t>
  </si>
  <si>
    <t xml:space="preserve">Member-1: </t>
  </si>
  <si>
    <t xml:space="preserve">Member-2: </t>
  </si>
  <si>
    <t xml:space="preserve">Panel Lead: </t>
  </si>
  <si>
    <t>Appointee:</t>
  </si>
  <si>
    <t>Written Test:</t>
  </si>
  <si>
    <t>Min Marks:</t>
  </si>
  <si>
    <t>Obtained Marks:</t>
  </si>
  <si>
    <t>Total Marks:</t>
  </si>
  <si>
    <t>No</t>
  </si>
  <si>
    <t>Yes</t>
  </si>
  <si>
    <t>Approved:</t>
  </si>
  <si>
    <t>Not Approved:</t>
  </si>
  <si>
    <t>Hire:</t>
  </si>
  <si>
    <t>Hold:</t>
  </si>
  <si>
    <t>Don't Hire:</t>
  </si>
  <si>
    <t>FAMS-HR-IEF-01</t>
  </si>
  <si>
    <t>To be completed by HR Department (from Position JDs &amp; Candidate CV)</t>
  </si>
  <si>
    <t xml:space="preserve">Required </t>
  </si>
  <si>
    <t>To be appointed by VP-Finance/GM/HR</t>
  </si>
  <si>
    <t>Recommendations by GM/BUH/VP Finance for:</t>
  </si>
  <si>
    <t>Name: Approver</t>
  </si>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</sst>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0.0"/>
    <numFmt numFmtId="165" formatCode="00000"/>
    <numFmt numFmtId="166" formatCode="0####\-#######"/>
    <numFmt numFmtId="167" formatCode="[$-409]d/mmm/yyyy;@"/>
    <numFmt numFmtId="168" formatCode="0.0%"/>
    <numFmt numFmtId="169" formatCode="_(* #,##0_);_(* \(#,##0\);_(* &quot;-&quot;??_);_(@_)"/>
    <numFmt numFmtId="170" formatCode="_(* #,##0_);_(* \(#,##0\);_(* &quot;-&quot;?_);_(@_)"/>
    <numFmt numFmtId="171" formatCode="[$]dd\-mmm\-yyyy;@" x16r2:formatCode16="[$-en-PK,1]dd\-mmm\-yyyy;@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sz val="8"/>
      <color rgb="FF000000"/>
      <name val="Segoe UI"/>
      <family val="2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Arial Narrow"/>
      <family val="2"/>
    </font>
    <font>
      <sz val="8"/>
      <color theme="1"/>
      <name val="Arial Narrow"/>
      <family val="2"/>
    </font>
    <font>
      <sz val="10"/>
      <color theme="1"/>
      <name val="Arial Narrow"/>
      <family val="2"/>
    </font>
    <font>
      <sz val="5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5"/>
      <color theme="1"/>
      <name val="Calibri"/>
      <family val="2"/>
      <scheme val="minor"/>
    </font>
    <font>
      <b/>
      <sz val="5"/>
      <color rgb="FFFF0000"/>
      <name val="Calibri"/>
      <family val="2"/>
      <scheme val="minor"/>
    </font>
    <font>
      <b/>
      <sz val="5"/>
      <name val="Calibri"/>
      <family val="2"/>
      <scheme val="minor"/>
    </font>
    <font>
      <b/>
      <sz val="11"/>
      <name val="Calibri"/>
      <family val="2"/>
      <scheme val="minor"/>
    </font>
    <font>
      <b/>
      <sz val="4"/>
      <color theme="1"/>
      <name val="Calibri"/>
      <family val="2"/>
      <scheme val="minor"/>
    </font>
    <font>
      <sz val="4"/>
      <color theme="1"/>
      <name val="Calibri"/>
      <family val="2"/>
      <scheme val="minor"/>
    </font>
    <font>
      <b/>
      <sz val="4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b/>
      <sz val="12"/>
      <color theme="0"/>
      <name val="Arial"/>
      <family val="2"/>
    </font>
    <font>
      <sz val="14"/>
      <color theme="1"/>
      <name val="Arial"/>
      <family val="2"/>
    </font>
    <font>
      <sz val="10"/>
      <name val="Arial"/>
      <family val="2"/>
    </font>
    <font>
      <sz val="16"/>
      <color theme="1"/>
      <name val="Arial"/>
      <family val="2"/>
    </font>
    <font>
      <sz val="2"/>
      <color theme="1"/>
      <name val="Arial"/>
      <family val="2"/>
    </font>
    <font>
      <b/>
      <sz val="2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sz val="2"/>
      <color rgb="FFFF0000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10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0" xfId="0" applyFont="1"/>
    <xf numFmtId="0" fontId="2" fillId="0" borderId="5" xfId="0" applyFont="1" applyBorder="1"/>
    <xf numFmtId="0" fontId="2" fillId="0" borderId="4" xfId="0" applyFont="1" applyBorder="1"/>
    <xf numFmtId="0" fontId="2" fillId="0" borderId="0" xfId="0" applyFont="1" applyAlignment="1">
      <alignment horizontal="centerContinuous"/>
    </xf>
    <xf numFmtId="0" fontId="2" fillId="0" borderId="0" xfId="0" applyFont="1" applyAlignment="1">
      <alignment vertical="center"/>
    </xf>
    <xf numFmtId="0" fontId="6" fillId="0" borderId="6" xfId="1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1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13" fillId="0" borderId="0" xfId="0" applyFont="1"/>
    <xf numFmtId="0" fontId="2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8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centerContinuous" vertical="top"/>
    </xf>
    <xf numFmtId="0" fontId="3" fillId="0" borderId="6" xfId="0" applyFont="1" applyBorder="1" applyAlignment="1">
      <alignment vertical="center"/>
    </xf>
    <xf numFmtId="0" fontId="2" fillId="0" borderId="7" xfId="0" applyFont="1" applyBorder="1"/>
    <xf numFmtId="0" fontId="3" fillId="0" borderId="0" xfId="0" applyFont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0" fillId="0" borderId="4" xfId="0" applyBorder="1" applyAlignment="1">
      <alignment horizontal="centerContinuous"/>
    </xf>
    <xf numFmtId="0" fontId="0" fillId="0" borderId="4" xfId="0" applyBorder="1" applyAlignment="1">
      <alignment horizontal="left"/>
    </xf>
    <xf numFmtId="0" fontId="9" fillId="0" borderId="4" xfId="0" applyFont="1" applyBorder="1" applyAlignment="1">
      <alignment horizontal="centerContinuous" vertical="center"/>
    </xf>
    <xf numFmtId="0" fontId="1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8" fillId="4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19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vertical="center"/>
    </xf>
    <xf numFmtId="0" fontId="16" fillId="0" borderId="20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16" fillId="0" borderId="2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6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2" fillId="0" borderId="1" xfId="0" applyFont="1" applyBorder="1"/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vertical="center"/>
    </xf>
    <xf numFmtId="0" fontId="22" fillId="0" borderId="10" xfId="0" applyFont="1" applyBorder="1" applyAlignment="1">
      <alignment horizontal="centerContinuous" vertical="center"/>
    </xf>
    <xf numFmtId="0" fontId="8" fillId="0" borderId="13" xfId="0" applyFont="1" applyBorder="1" applyAlignment="1">
      <alignment horizontal="centerContinuous"/>
    </xf>
    <xf numFmtId="0" fontId="4" fillId="0" borderId="2" xfId="0" applyFont="1" applyBorder="1" applyAlignment="1">
      <alignment horizontal="centerContinuous"/>
    </xf>
    <xf numFmtId="0" fontId="6" fillId="0" borderId="5" xfId="1" applyNumberFormat="1" applyFont="1" applyFill="1" applyBorder="1" applyAlignment="1" applyProtection="1">
      <alignment horizontal="left" vertical="center"/>
    </xf>
    <xf numFmtId="0" fontId="13" fillId="0" borderId="0" xfId="0" applyFont="1" applyAlignment="1">
      <alignment horizontal="left"/>
    </xf>
    <xf numFmtId="0" fontId="24" fillId="0" borderId="0" xfId="0" applyFont="1"/>
    <xf numFmtId="0" fontId="25" fillId="0" borderId="10" xfId="0" applyFont="1" applyBorder="1" applyAlignment="1">
      <alignment horizontal="centerContinuous"/>
    </xf>
    <xf numFmtId="0" fontId="7" fillId="0" borderId="0" xfId="0" applyFont="1" applyAlignment="1">
      <alignment vertical="center"/>
    </xf>
    <xf numFmtId="0" fontId="26" fillId="0" borderId="0" xfId="1" applyNumberFormat="1" applyFont="1" applyFill="1" applyBorder="1" applyAlignment="1" applyProtection="1">
      <alignment horizontal="left" vertical="center" wrapText="1"/>
    </xf>
    <xf numFmtId="0" fontId="7" fillId="0" borderId="0" xfId="0" applyFont="1"/>
    <xf numFmtId="0" fontId="2" fillId="0" borderId="10" xfId="0" applyFont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8" fillId="0" borderId="10" xfId="0" applyFont="1" applyBorder="1"/>
    <xf numFmtId="0" fontId="22" fillId="0" borderId="0" xfId="0" applyFont="1" applyAlignment="1">
      <alignment vertical="center"/>
    </xf>
    <xf numFmtId="168" fontId="27" fillId="0" borderId="0" xfId="2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8" fillId="0" borderId="13" xfId="0" applyFont="1" applyBorder="1" applyAlignment="1">
      <alignment horizontal="center"/>
    </xf>
    <xf numFmtId="0" fontId="4" fillId="0" borderId="0" xfId="0" applyFont="1" applyAlignment="1">
      <alignment horizontal="right" vertical="center"/>
    </xf>
    <xf numFmtId="169" fontId="5" fillId="5" borderId="1" xfId="1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horizontal="right" vertical="center"/>
    </xf>
    <xf numFmtId="0" fontId="2" fillId="0" borderId="13" xfId="0" applyFont="1" applyBorder="1"/>
    <xf numFmtId="0" fontId="7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69" fontId="5" fillId="0" borderId="0" xfId="1" applyNumberFormat="1" applyFont="1" applyFill="1" applyBorder="1" applyAlignment="1" applyProtection="1">
      <alignment vertical="center"/>
      <protection locked="0"/>
    </xf>
    <xf numFmtId="169" fontId="5" fillId="0" borderId="0" xfId="1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right" vertical="top" wrapText="1"/>
    </xf>
    <xf numFmtId="0" fontId="8" fillId="0" borderId="13" xfId="0" applyFont="1" applyBorder="1"/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8" fillId="0" borderId="0" xfId="0" applyFont="1"/>
    <xf numFmtId="169" fontId="28" fillId="0" borderId="0" xfId="1" applyNumberFormat="1" applyFont="1" applyFill="1" applyBorder="1" applyAlignment="1" applyProtection="1">
      <alignment horizontal="center" vertical="center"/>
    </xf>
    <xf numFmtId="0" fontId="4" fillId="0" borderId="0" xfId="0" applyFont="1" applyAlignment="1">
      <alignment horizontal="right" vertical="center" indent="1"/>
    </xf>
    <xf numFmtId="0" fontId="2" fillId="0" borderId="13" xfId="0" applyFont="1" applyBorder="1" applyAlignment="1">
      <alignment horizontal="right" vertical="center"/>
    </xf>
    <xf numFmtId="0" fontId="2" fillId="5" borderId="0" xfId="0" applyFont="1" applyFill="1" applyAlignment="1" applyProtection="1">
      <alignment horizontal="center" vertical="center"/>
      <protection locked="0"/>
    </xf>
    <xf numFmtId="0" fontId="7" fillId="0" borderId="11" xfId="0" applyFont="1" applyBorder="1"/>
    <xf numFmtId="0" fontId="7" fillId="0" borderId="4" xfId="0" applyFont="1" applyBorder="1" applyAlignment="1">
      <alignment horizontal="right"/>
    </xf>
    <xf numFmtId="43" fontId="7" fillId="0" borderId="4" xfId="1" applyFont="1" applyBorder="1" applyProtection="1"/>
    <xf numFmtId="0" fontId="7" fillId="0" borderId="4" xfId="0" applyFont="1" applyBorder="1"/>
    <xf numFmtId="0" fontId="7" fillId="0" borderId="12" xfId="0" applyFont="1" applyBorder="1"/>
    <xf numFmtId="0" fontId="2" fillId="0" borderId="9" xfId="0" applyFont="1" applyBorder="1"/>
    <xf numFmtId="0" fontId="3" fillId="0" borderId="7" xfId="0" applyFont="1" applyBorder="1" applyAlignment="1">
      <alignment vertical="center"/>
    </xf>
    <xf numFmtId="0" fontId="2" fillId="0" borderId="8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2" fillId="6" borderId="1" xfId="0" applyFont="1" applyFill="1" applyBorder="1"/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10" xfId="0" applyFont="1" applyBorder="1"/>
    <xf numFmtId="0" fontId="25" fillId="0" borderId="0" xfId="0" applyFont="1" applyAlignment="1">
      <alignment horizontal="left" vertical="center" indent="1"/>
    </xf>
    <xf numFmtId="0" fontId="3" fillId="0" borderId="0" xfId="0" applyFont="1" applyAlignment="1">
      <alignment horizontal="centerContinuous"/>
    </xf>
    <xf numFmtId="0" fontId="7" fillId="0" borderId="0" xfId="0" applyFont="1" applyAlignment="1">
      <alignment horizontal="left" vertical="center" indent="1"/>
    </xf>
    <xf numFmtId="0" fontId="25" fillId="0" borderId="0" xfId="0" applyFont="1" applyAlignment="1">
      <alignment horizontal="left"/>
    </xf>
    <xf numFmtId="0" fontId="7" fillId="0" borderId="13" xfId="0" applyFont="1" applyBorder="1"/>
    <xf numFmtId="0" fontId="25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70" fontId="2" fillId="0" borderId="1" xfId="0" applyNumberFormat="1" applyFont="1" applyBorder="1" applyAlignment="1">
      <alignment horizontal="center" vertical="center"/>
    </xf>
    <xf numFmtId="169" fontId="2" fillId="0" borderId="2" xfId="0" applyNumberFormat="1" applyFont="1" applyBorder="1" applyAlignment="1">
      <alignment horizontal="centerContinuous" vertical="center"/>
    </xf>
    <xf numFmtId="0" fontId="7" fillId="0" borderId="5" xfId="0" applyFont="1" applyBorder="1" applyAlignment="1">
      <alignment horizontal="centerContinuous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0" fontId="29" fillId="0" borderId="1" xfId="0" applyNumberFormat="1" applyFont="1" applyBorder="1" applyAlignment="1">
      <alignment horizontal="center" vertical="center"/>
    </xf>
    <xf numFmtId="0" fontId="30" fillId="6" borderId="1" xfId="0" applyFont="1" applyFill="1" applyBorder="1" applyAlignment="1" applyProtection="1">
      <alignment horizontal="center" vertical="center"/>
      <protection locked="0"/>
    </xf>
    <xf numFmtId="0" fontId="25" fillId="0" borderId="0" xfId="0" applyFont="1" applyAlignment="1">
      <alignment horizontal="left" indent="1"/>
    </xf>
    <xf numFmtId="0" fontId="30" fillId="0" borderId="0" xfId="0" applyFont="1" applyAlignment="1">
      <alignment horizontal="right"/>
    </xf>
    <xf numFmtId="0" fontId="7" fillId="0" borderId="1" xfId="0" applyFont="1" applyBorder="1" applyAlignment="1">
      <alignment vertical="center"/>
    </xf>
    <xf numFmtId="0" fontId="3" fillId="0" borderId="0" xfId="0" applyFont="1" applyAlignment="1">
      <alignment horizontal="right" indent="1"/>
    </xf>
    <xf numFmtId="169" fontId="3" fillId="0" borderId="1" xfId="1" applyNumberFormat="1" applyFont="1" applyBorder="1" applyAlignment="1" applyProtection="1">
      <alignment horizontal="center" vertical="center"/>
    </xf>
    <xf numFmtId="169" fontId="3" fillId="0" borderId="2" xfId="0" applyNumberFormat="1" applyFont="1" applyBorder="1" applyAlignment="1">
      <alignment horizontal="centerContinuous" vertical="center"/>
    </xf>
    <xf numFmtId="0" fontId="2" fillId="0" borderId="5" xfId="0" applyFont="1" applyBorder="1" applyAlignment="1">
      <alignment horizontal="centerContinuous" vertical="center"/>
    </xf>
    <xf numFmtId="0" fontId="8" fillId="0" borderId="0" xfId="0" applyFont="1" applyAlignment="1">
      <alignment horizontal="right"/>
    </xf>
    <xf numFmtId="43" fontId="8" fillId="0" borderId="0" xfId="1" applyFont="1" applyBorder="1" applyProtection="1"/>
    <xf numFmtId="0" fontId="8" fillId="0" borderId="12" xfId="0" applyFont="1" applyBorder="1"/>
    <xf numFmtId="0" fontId="8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0" fontId="5" fillId="0" borderId="1" xfId="0" applyFont="1" applyBorder="1"/>
    <xf numFmtId="0" fontId="3" fillId="0" borderId="1" xfId="0" applyFont="1" applyBorder="1" applyAlignment="1">
      <alignment horizontal="right" vertical="center" indent="1"/>
    </xf>
    <xf numFmtId="10" fontId="3" fillId="0" borderId="1" xfId="0" applyNumberFormat="1" applyFont="1" applyBorder="1" applyAlignment="1">
      <alignment vertical="center"/>
    </xf>
    <xf numFmtId="10" fontId="3" fillId="0" borderId="1" xfId="2" applyNumberFormat="1" applyFont="1" applyBorder="1" applyAlignment="1" applyProtection="1">
      <alignment vertical="center"/>
    </xf>
    <xf numFmtId="0" fontId="13" fillId="0" borderId="10" xfId="0" applyFont="1" applyBorder="1"/>
    <xf numFmtId="169" fontId="15" fillId="0" borderId="1" xfId="1" applyNumberFormat="1" applyFont="1" applyBorder="1" applyAlignment="1" applyProtection="1">
      <alignment horizontal="right" vertical="center"/>
    </xf>
    <xf numFmtId="0" fontId="22" fillId="0" borderId="0" xfId="0" applyFont="1" applyAlignment="1">
      <alignment horizontal="left" vertical="center" indent="1"/>
    </xf>
    <xf numFmtId="0" fontId="22" fillId="0" borderId="0" xfId="0" applyFont="1" applyAlignment="1">
      <alignment horizontal="right"/>
    </xf>
    <xf numFmtId="0" fontId="2" fillId="0" borderId="13" xfId="0" applyFont="1" applyBorder="1" applyAlignment="1">
      <alignment horizontal="right"/>
    </xf>
    <xf numFmtId="43" fontId="2" fillId="0" borderId="0" xfId="1" applyFont="1" applyProtection="1"/>
    <xf numFmtId="169" fontId="2" fillId="0" borderId="0" xfId="0" applyNumberFormat="1" applyFont="1" applyAlignment="1">
      <alignment vertical="center"/>
    </xf>
    <xf numFmtId="0" fontId="8" fillId="0" borderId="11" xfId="0" applyFont="1" applyBorder="1"/>
    <xf numFmtId="0" fontId="8" fillId="0" borderId="4" xfId="0" applyFont="1" applyBorder="1"/>
    <xf numFmtId="0" fontId="8" fillId="0" borderId="4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2" fillId="0" borderId="12" xfId="0" applyFont="1" applyBorder="1"/>
    <xf numFmtId="0" fontId="2" fillId="0" borderId="13" xfId="0" applyFont="1" applyBorder="1" applyAlignment="1">
      <alignment horizontal="centerContinuous"/>
    </xf>
    <xf numFmtId="0" fontId="22" fillId="0" borderId="4" xfId="0" applyFont="1" applyBorder="1" applyAlignment="1">
      <alignment horizontal="center" vertical="top"/>
    </xf>
    <xf numFmtId="0" fontId="22" fillId="0" borderId="4" xfId="0" applyFont="1" applyBorder="1" applyAlignment="1">
      <alignment vertical="top"/>
    </xf>
    <xf numFmtId="0" fontId="22" fillId="0" borderId="4" xfId="0" applyFont="1" applyBorder="1" applyAlignment="1">
      <alignment horizontal="centerContinuous" vertical="top"/>
    </xf>
    <xf numFmtId="0" fontId="8" fillId="0" borderId="4" xfId="0" applyFont="1" applyBorder="1" applyAlignment="1">
      <alignment horizontal="centerContinuous"/>
    </xf>
    <xf numFmtId="0" fontId="8" fillId="0" borderId="12" xfId="0" applyFont="1" applyBorder="1" applyAlignment="1">
      <alignment horizontal="centerContinuous"/>
    </xf>
    <xf numFmtId="0" fontId="8" fillId="0" borderId="9" xfId="0" applyFont="1" applyBorder="1"/>
    <xf numFmtId="0" fontId="8" fillId="0" borderId="7" xfId="0" applyFont="1" applyBorder="1"/>
    <xf numFmtId="0" fontId="22" fillId="0" borderId="7" xfId="0" applyFont="1" applyBorder="1" applyAlignment="1">
      <alignment horizontal="centerContinuous"/>
    </xf>
    <xf numFmtId="0" fontId="22" fillId="0" borderId="7" xfId="0" applyFont="1" applyBorder="1"/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3" fillId="0" borderId="2" xfId="0" applyFont="1" applyBorder="1"/>
    <xf numFmtId="0" fontId="3" fillId="0" borderId="5" xfId="0" applyFont="1" applyBorder="1"/>
    <xf numFmtId="0" fontId="3" fillId="0" borderId="13" xfId="0" applyFont="1" applyBorder="1" applyAlignment="1">
      <alignment horizontal="center"/>
    </xf>
    <xf numFmtId="0" fontId="22" fillId="0" borderId="0" xfId="0" applyFont="1"/>
    <xf numFmtId="0" fontId="11" fillId="0" borderId="10" xfId="0" quotePrefix="1" applyFont="1" applyBorder="1" applyAlignment="1">
      <alignment horizontal="right"/>
    </xf>
    <xf numFmtId="0" fontId="8" fillId="0" borderId="10" xfId="0" quotePrefix="1" applyFont="1" applyBorder="1" applyAlignment="1">
      <alignment horizontal="right"/>
    </xf>
    <xf numFmtId="0" fontId="0" fillId="0" borderId="10" xfId="0" applyBorder="1"/>
    <xf numFmtId="0" fontId="10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 indent="1"/>
    </xf>
    <xf numFmtId="0" fontId="0" fillId="0" borderId="7" xfId="0" applyBorder="1" applyAlignment="1">
      <alignment horizontal="centerContinuous"/>
    </xf>
    <xf numFmtId="0" fontId="0" fillId="0" borderId="7" xfId="0" applyBorder="1"/>
    <xf numFmtId="0" fontId="0" fillId="0" borderId="8" xfId="0" applyBorder="1" applyAlignment="1">
      <alignment horizontal="centerContinuous"/>
    </xf>
    <xf numFmtId="0" fontId="13" fillId="0" borderId="0" xfId="0" applyFont="1" applyAlignment="1">
      <alignment horizontal="centerContinuous"/>
    </xf>
    <xf numFmtId="0" fontId="2" fillId="0" borderId="11" xfId="0" applyFont="1" applyBorder="1"/>
    <xf numFmtId="0" fontId="3" fillId="0" borderId="4" xfId="0" applyFont="1" applyBorder="1" applyAlignment="1">
      <alignment horizontal="centerContinuous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0" fillId="0" borderId="4" xfId="0" applyFont="1" applyBorder="1" applyAlignment="1">
      <alignment horizontal="centerContinuous" vertical="center"/>
    </xf>
    <xf numFmtId="0" fontId="22" fillId="0" borderId="9" xfId="0" applyFont="1" applyBorder="1" applyAlignment="1">
      <alignment horizontal="centerContinuous" vertical="center"/>
    </xf>
    <xf numFmtId="164" fontId="5" fillId="8" borderId="1" xfId="0" applyNumberFormat="1" applyFont="1" applyFill="1" applyBorder="1" applyAlignment="1" applyProtection="1">
      <alignment horizontal="center" vertical="center"/>
      <protection locked="0"/>
    </xf>
    <xf numFmtId="164" fontId="5" fillId="0" borderId="5" xfId="0" applyNumberFormat="1" applyFont="1" applyBorder="1" applyAlignment="1" applyProtection="1">
      <alignment horizontal="center" vertical="center"/>
      <protection locked="0"/>
    </xf>
    <xf numFmtId="0" fontId="14" fillId="0" borderId="10" xfId="0" applyFont="1" applyBorder="1"/>
    <xf numFmtId="0" fontId="3" fillId="0" borderId="5" xfId="0" applyFont="1" applyBorder="1" applyAlignment="1">
      <alignment vertical="center"/>
    </xf>
    <xf numFmtId="0" fontId="5" fillId="0" borderId="2" xfId="0" applyFont="1" applyBorder="1" applyAlignment="1" applyProtection="1">
      <alignment horizontal="left" vertical="center"/>
      <protection locked="0"/>
    </xf>
    <xf numFmtId="0" fontId="5" fillId="0" borderId="0" xfId="1" applyNumberFormat="1" applyFont="1" applyFill="1" applyBorder="1" applyAlignment="1" applyProtection="1">
      <alignment horizontal="left" vertical="center" wrapText="1"/>
      <protection locked="0"/>
    </xf>
    <xf numFmtId="166" fontId="5" fillId="0" borderId="0" xfId="0" applyNumberFormat="1" applyFont="1" applyAlignment="1" applyProtection="1">
      <alignment horizontal="center" vertical="center"/>
      <protection locked="0"/>
    </xf>
    <xf numFmtId="166" fontId="5" fillId="0" borderId="13" xfId="0" applyNumberFormat="1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vertical="center"/>
    </xf>
    <xf numFmtId="0" fontId="26" fillId="0" borderId="6" xfId="1" applyNumberFormat="1" applyFont="1" applyFill="1" applyBorder="1" applyAlignment="1" applyProtection="1">
      <alignment horizontal="left" vertical="center" wrapText="1"/>
    </xf>
    <xf numFmtId="0" fontId="7" fillId="0" borderId="6" xfId="0" applyFont="1" applyBorder="1" applyAlignment="1">
      <alignment vertical="center"/>
    </xf>
    <xf numFmtId="167" fontId="26" fillId="0" borderId="6" xfId="0" applyNumberFormat="1" applyFont="1" applyBorder="1" applyAlignment="1">
      <alignment horizontal="center" vertical="center"/>
    </xf>
    <xf numFmtId="167" fontId="26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right"/>
    </xf>
    <xf numFmtId="0" fontId="33" fillId="0" borderId="10" xfId="0" applyFont="1" applyBorder="1"/>
    <xf numFmtId="0" fontId="33" fillId="0" borderId="0" xfId="0" applyFont="1" applyAlignment="1">
      <alignment horizontal="left" indent="1"/>
    </xf>
    <xf numFmtId="0" fontId="33" fillId="0" borderId="0" xfId="0" applyFont="1"/>
    <xf numFmtId="0" fontId="33" fillId="0" borderId="0" xfId="0" applyFont="1" applyAlignment="1">
      <alignment horizontal="right"/>
    </xf>
    <xf numFmtId="0" fontId="33" fillId="0" borderId="13" xfId="0" applyFont="1" applyBorder="1"/>
    <xf numFmtId="167" fontId="26" fillId="0" borderId="0" xfId="0" applyNumberFormat="1" applyFont="1" applyAlignment="1">
      <alignment horizontal="center" vertical="center"/>
    </xf>
    <xf numFmtId="167" fontId="26" fillId="0" borderId="13" xfId="0" applyNumberFormat="1" applyFont="1" applyBorder="1" applyAlignment="1">
      <alignment horizontal="center" vertical="center"/>
    </xf>
    <xf numFmtId="0" fontId="15" fillId="0" borderId="0" xfId="1" applyNumberFormat="1" applyFont="1" applyFill="1" applyBorder="1" applyAlignment="1" applyProtection="1">
      <alignment horizontal="right"/>
    </xf>
    <xf numFmtId="0" fontId="26" fillId="0" borderId="4" xfId="1" applyNumberFormat="1" applyFont="1" applyFill="1" applyBorder="1" applyAlignment="1" applyProtection="1">
      <alignment horizontal="left" vertical="center" wrapText="1"/>
    </xf>
    <xf numFmtId="167" fontId="26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22" fillId="0" borderId="11" xfId="0" applyFont="1" applyBorder="1" applyAlignment="1">
      <alignment horizontal="centerContinuous"/>
    </xf>
    <xf numFmtId="0" fontId="8" fillId="0" borderId="4" xfId="0" applyFont="1" applyBorder="1" applyAlignment="1">
      <alignment vertical="center"/>
    </xf>
    <xf numFmtId="0" fontId="34" fillId="0" borderId="4" xfId="1" applyNumberFormat="1" applyFont="1" applyFill="1" applyBorder="1" applyAlignment="1" applyProtection="1">
      <alignment horizontal="left" vertical="center" wrapText="1"/>
    </xf>
    <xf numFmtId="0" fontId="27" fillId="0" borderId="4" xfId="1" applyNumberFormat="1" applyFont="1" applyFill="1" applyBorder="1" applyAlignment="1" applyProtection="1">
      <alignment horizontal="right"/>
    </xf>
    <xf numFmtId="167" fontId="34" fillId="0" borderId="4" xfId="0" applyNumberFormat="1" applyFont="1" applyBorder="1" applyAlignment="1">
      <alignment horizontal="center" vertical="center"/>
    </xf>
    <xf numFmtId="167" fontId="34" fillId="0" borderId="12" xfId="0" applyNumberFormat="1" applyFont="1" applyBorder="1" applyAlignment="1">
      <alignment horizontal="center" vertical="center"/>
    </xf>
    <xf numFmtId="0" fontId="35" fillId="0" borderId="10" xfId="0" applyFont="1" applyBorder="1" applyAlignment="1">
      <alignment horizontal="centerContinuous"/>
    </xf>
    <xf numFmtId="0" fontId="33" fillId="0" borderId="0" xfId="0" applyFont="1" applyAlignment="1">
      <alignment vertical="center"/>
    </xf>
    <xf numFmtId="0" fontId="36" fillId="0" borderId="0" xfId="1" applyNumberFormat="1" applyFont="1" applyFill="1" applyBorder="1" applyAlignment="1" applyProtection="1">
      <alignment horizontal="left" vertical="center" wrapText="1"/>
    </xf>
    <xf numFmtId="0" fontId="37" fillId="0" borderId="0" xfId="1" applyNumberFormat="1" applyFont="1" applyFill="1" applyBorder="1" applyAlignment="1" applyProtection="1">
      <alignment horizontal="right"/>
    </xf>
    <xf numFmtId="167" fontId="36" fillId="0" borderId="0" xfId="0" applyNumberFormat="1" applyFont="1" applyAlignment="1">
      <alignment horizontal="center" vertical="center"/>
    </xf>
    <xf numFmtId="167" fontId="36" fillId="0" borderId="13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3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169" fontId="5" fillId="7" borderId="1" xfId="1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69" fontId="23" fillId="7" borderId="1" xfId="1" applyNumberFormat="1" applyFont="1" applyFill="1" applyBorder="1" applyAlignment="1" applyProtection="1">
      <alignment vertical="center"/>
      <protection locked="0"/>
    </xf>
    <xf numFmtId="9" fontId="27" fillId="0" borderId="0" xfId="2" applyFont="1" applyFill="1" applyBorder="1" applyAlignment="1" applyProtection="1">
      <alignment horizontal="center" vertical="center"/>
    </xf>
    <xf numFmtId="169" fontId="28" fillId="0" borderId="0" xfId="1" applyNumberFormat="1" applyFont="1" applyFill="1" applyBorder="1" applyAlignment="1" applyProtection="1">
      <alignment horizontal="left" vertical="center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horizontal="centerContinuous" vertical="top"/>
    </xf>
    <xf numFmtId="0" fontId="2" fillId="0" borderId="12" xfId="0" applyFont="1" applyBorder="1" applyAlignment="1">
      <alignment horizontal="centerContinuous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vertical="top"/>
    </xf>
    <xf numFmtId="0" fontId="35" fillId="0" borderId="0" xfId="0" applyFont="1" applyAlignment="1">
      <alignment horizontal="centerContinuous" vertical="top"/>
    </xf>
    <xf numFmtId="0" fontId="33" fillId="0" borderId="13" xfId="0" applyFont="1" applyBorder="1" applyAlignment="1">
      <alignment horizontal="centerContinuous"/>
    </xf>
    <xf numFmtId="0" fontId="8" fillId="0" borderId="7" xfId="0" applyFont="1" applyBorder="1" applyAlignment="1">
      <alignment horizontal="centerContinuous"/>
    </xf>
    <xf numFmtId="0" fontId="8" fillId="0" borderId="8" xfId="0" applyFont="1" applyBorder="1" applyAlignment="1">
      <alignment horizontal="centerContinuous"/>
    </xf>
    <xf numFmtId="0" fontId="39" fillId="0" borderId="9" xfId="0" applyFont="1" applyBorder="1" applyAlignment="1">
      <alignment horizontal="centerContinuous"/>
    </xf>
    <xf numFmtId="0" fontId="40" fillId="0" borderId="7" xfId="0" applyFont="1" applyBorder="1" applyAlignment="1">
      <alignment vertical="center"/>
    </xf>
    <xf numFmtId="0" fontId="41" fillId="0" borderId="7" xfId="1" applyNumberFormat="1" applyFont="1" applyFill="1" applyBorder="1" applyAlignment="1" applyProtection="1">
      <alignment horizontal="left" vertical="center" wrapText="1"/>
      <protection locked="0"/>
    </xf>
    <xf numFmtId="0" fontId="40" fillId="0" borderId="0" xfId="0" applyFont="1" applyAlignment="1">
      <alignment vertical="center"/>
    </xf>
    <xf numFmtId="166" fontId="41" fillId="0" borderId="0" xfId="0" applyNumberFormat="1" applyFont="1" applyAlignment="1" applyProtection="1">
      <alignment horizontal="center" vertical="center"/>
      <protection locked="0"/>
    </xf>
    <xf numFmtId="166" fontId="41" fillId="0" borderId="13" xfId="0" applyNumberFormat="1" applyFont="1" applyBorder="1" applyAlignment="1" applyProtection="1">
      <alignment horizontal="center" vertical="center"/>
      <protection locked="0"/>
    </xf>
    <xf numFmtId="0" fontId="40" fillId="0" borderId="0" xfId="0" applyFont="1"/>
    <xf numFmtId="0" fontId="10" fillId="0" borderId="11" xfId="0" applyFont="1" applyBorder="1" applyAlignment="1">
      <alignment horizontal="centerContinuous"/>
    </xf>
    <xf numFmtId="0" fontId="12" fillId="2" borderId="4" xfId="0" applyFont="1" applyFill="1" applyBorder="1" applyAlignment="1">
      <alignment horizontal="centerContinuous" vertical="center"/>
    </xf>
    <xf numFmtId="0" fontId="5" fillId="0" borderId="6" xfId="1" applyNumberFormat="1" applyFont="1" applyFill="1" applyBorder="1" applyAlignment="1" applyProtection="1">
      <alignment horizontal="left" vertical="center" wrapText="1"/>
      <protection locked="0"/>
    </xf>
    <xf numFmtId="165" fontId="23" fillId="0" borderId="6" xfId="0" quotePrefix="1" applyNumberFormat="1" applyFont="1" applyBorder="1" applyAlignment="1" applyProtection="1">
      <alignment horizontal="center" vertical="center"/>
      <protection locked="0"/>
    </xf>
    <xf numFmtId="165" fontId="23" fillId="0" borderId="5" xfId="0" quotePrefix="1" applyNumberFormat="1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left" vertical="top"/>
    </xf>
    <xf numFmtId="0" fontId="5" fillId="0" borderId="7" xfId="1" applyNumberFormat="1" applyFont="1" applyFill="1" applyBorder="1" applyAlignment="1" applyProtection="1">
      <alignment horizontal="left" vertical="center" wrapText="1"/>
      <protection locked="0"/>
    </xf>
    <xf numFmtId="165" fontId="23" fillId="0" borderId="7" xfId="0" quotePrefix="1" applyNumberFormat="1" applyFont="1" applyBorder="1" applyAlignment="1" applyProtection="1">
      <alignment horizontal="center" vertical="center"/>
      <protection locked="0"/>
    </xf>
    <xf numFmtId="165" fontId="23" fillId="0" borderId="8" xfId="0" quotePrefix="1" applyNumberFormat="1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>
      <alignment horizontal="left" vertical="top"/>
    </xf>
    <xf numFmtId="0" fontId="15" fillId="0" borderId="0" xfId="1" applyNumberFormat="1" applyFont="1" applyFill="1" applyBorder="1" applyAlignment="1" applyProtection="1">
      <alignment horizontal="right" vertical="top"/>
    </xf>
    <xf numFmtId="0" fontId="5" fillId="0" borderId="4" xfId="1" applyNumberFormat="1" applyFont="1" applyFill="1" applyBorder="1" applyAlignment="1" applyProtection="1">
      <alignment horizontal="left" vertical="center" wrapText="1"/>
      <protection locked="0"/>
    </xf>
    <xf numFmtId="0" fontId="5" fillId="0" borderId="0" xfId="1" applyNumberFormat="1" applyFont="1" applyFill="1" applyBorder="1" applyAlignment="1" applyProtection="1">
      <alignment horizontal="left" vertical="top" wrapText="1"/>
      <protection locked="0"/>
    </xf>
    <xf numFmtId="0" fontId="2" fillId="0" borderId="4" xfId="0" applyFont="1" applyBorder="1" applyAlignment="1">
      <alignment vertical="center"/>
    </xf>
    <xf numFmtId="165" fontId="23" fillId="0" borderId="4" xfId="0" quotePrefix="1" applyNumberFormat="1" applyFont="1" applyBorder="1" applyAlignment="1" applyProtection="1">
      <alignment horizontal="center" vertical="center"/>
      <protection locked="0"/>
    </xf>
    <xf numFmtId="165" fontId="23" fillId="0" borderId="12" xfId="0" quotePrefix="1" applyNumberFormat="1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left" vertical="top"/>
    </xf>
    <xf numFmtId="0" fontId="15" fillId="0" borderId="4" xfId="1" applyNumberFormat="1" applyFont="1" applyFill="1" applyBorder="1" applyAlignment="1" applyProtection="1">
      <alignment horizontal="right"/>
    </xf>
    <xf numFmtId="0" fontId="42" fillId="0" borderId="0" xfId="0" applyFont="1"/>
    <xf numFmtId="0" fontId="8" fillId="0" borderId="7" xfId="0" applyFont="1" applyBorder="1" applyAlignment="1">
      <alignment vertical="center"/>
    </xf>
    <xf numFmtId="0" fontId="34" fillId="0" borderId="7" xfId="1" applyNumberFormat="1" applyFont="1" applyFill="1" applyBorder="1" applyAlignment="1" applyProtection="1">
      <alignment horizontal="left" vertical="center" wrapText="1"/>
    </xf>
    <xf numFmtId="0" fontId="27" fillId="0" borderId="7" xfId="1" applyNumberFormat="1" applyFont="1" applyFill="1" applyBorder="1" applyAlignment="1" applyProtection="1">
      <alignment horizontal="right"/>
    </xf>
    <xf numFmtId="167" fontId="34" fillId="0" borderId="7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centerContinuous"/>
    </xf>
    <xf numFmtId="0" fontId="0" fillId="0" borderId="12" xfId="0" applyBorder="1"/>
    <xf numFmtId="0" fontId="3" fillId="0" borderId="0" xfId="0" applyFont="1" applyAlignment="1">
      <alignment vertical="top" wrapText="1"/>
    </xf>
    <xf numFmtId="0" fontId="23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vertical="top"/>
    </xf>
    <xf numFmtId="0" fontId="2" fillId="0" borderId="12" xfId="0" applyFont="1" applyBorder="1" applyAlignment="1">
      <alignment horizontal="center"/>
    </xf>
    <xf numFmtId="0" fontId="47" fillId="0" borderId="0" xfId="0" applyFont="1"/>
    <xf numFmtId="0" fontId="49" fillId="0" borderId="0" xfId="0" applyFont="1"/>
    <xf numFmtId="0" fontId="49" fillId="0" borderId="0" xfId="0" applyFont="1" applyAlignment="1">
      <alignment vertical="center"/>
    </xf>
    <xf numFmtId="0" fontId="49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vertical="center"/>
    </xf>
    <xf numFmtId="0" fontId="49" fillId="0" borderId="2" xfId="0" applyFont="1" applyBorder="1" applyAlignment="1">
      <alignment vertical="center"/>
    </xf>
    <xf numFmtId="0" fontId="52" fillId="0" borderId="4" xfId="0" applyFont="1" applyBorder="1" applyAlignment="1">
      <alignment vertical="center"/>
    </xf>
    <xf numFmtId="0" fontId="53" fillId="0" borderId="4" xfId="0" applyFont="1" applyBorder="1" applyAlignment="1">
      <alignment horizontal="centerContinuous"/>
    </xf>
    <xf numFmtId="0" fontId="54" fillId="0" borderId="4" xfId="0" applyFont="1" applyBorder="1" applyAlignment="1">
      <alignment horizontal="centerContinuous" vertical="center"/>
    </xf>
    <xf numFmtId="0" fontId="53" fillId="0" borderId="4" xfId="0" applyFont="1" applyBorder="1" applyAlignment="1">
      <alignment horizontal="left"/>
    </xf>
    <xf numFmtId="0" fontId="53" fillId="0" borderId="0" xfId="0" applyFont="1" applyAlignment="1">
      <alignment horizontal="left"/>
    </xf>
    <xf numFmtId="0" fontId="53" fillId="0" borderId="0" xfId="0" applyFont="1"/>
    <xf numFmtId="0" fontId="54" fillId="0" borderId="0" xfId="0" applyFont="1" applyAlignment="1">
      <alignment horizontal="centerContinuous"/>
    </xf>
    <xf numFmtId="0" fontId="55" fillId="0" borderId="0" xfId="0" applyFont="1" applyAlignment="1">
      <alignment horizontal="centerContinuous"/>
    </xf>
    <xf numFmtId="0" fontId="55" fillId="0" borderId="0" xfId="0" applyFont="1" applyAlignment="1">
      <alignment horizontal="left"/>
    </xf>
    <xf numFmtId="0" fontId="55" fillId="0" borderId="0" xfId="0" applyFont="1"/>
    <xf numFmtId="0" fontId="56" fillId="2" borderId="0" xfId="0" applyFont="1" applyFill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1" xfId="0" applyFont="1" applyBorder="1"/>
    <xf numFmtId="0" fontId="57" fillId="0" borderId="0" xfId="0" applyFont="1"/>
    <xf numFmtId="0" fontId="59" fillId="0" borderId="0" xfId="0" applyFont="1"/>
    <xf numFmtId="0" fontId="49" fillId="0" borderId="11" xfId="0" applyFont="1" applyBorder="1" applyAlignment="1">
      <alignment vertical="center"/>
    </xf>
    <xf numFmtId="0" fontId="49" fillId="0" borderId="2" xfId="0" applyFont="1" applyBorder="1" applyAlignment="1">
      <alignment horizontal="left" vertical="center" indent="1"/>
    </xf>
    <xf numFmtId="0" fontId="56" fillId="2" borderId="0" xfId="0" applyFont="1" applyFill="1" applyAlignment="1">
      <alignment horizontal="centerContinuous" vertical="center"/>
    </xf>
    <xf numFmtId="0" fontId="49" fillId="0" borderId="0" xfId="0" quotePrefix="1" applyFont="1" applyAlignment="1">
      <alignment horizontal="right"/>
    </xf>
    <xf numFmtId="0" fontId="60" fillId="0" borderId="0" xfId="0" applyFont="1"/>
    <xf numFmtId="0" fontId="60" fillId="0" borderId="13" xfId="0" applyFont="1" applyBorder="1"/>
    <xf numFmtId="0" fontId="49" fillId="0" borderId="5" xfId="0" applyFont="1" applyBorder="1"/>
    <xf numFmtId="0" fontId="49" fillId="0" borderId="6" xfId="0" applyFont="1" applyBorder="1"/>
    <xf numFmtId="0" fontId="49" fillId="0" borderId="6" xfId="0" applyFont="1" applyBorder="1" applyAlignment="1">
      <alignment horizontal="left"/>
    </xf>
    <xf numFmtId="0" fontId="50" fillId="0" borderId="6" xfId="1" applyNumberFormat="1" applyFont="1" applyFill="1" applyBorder="1" applyAlignment="1" applyProtection="1">
      <alignment vertical="center"/>
      <protection locked="0"/>
    </xf>
    <xf numFmtId="0" fontId="48" fillId="0" borderId="9" xfId="0" applyFont="1" applyBorder="1" applyAlignment="1">
      <alignment vertical="top" wrapText="1"/>
    </xf>
    <xf numFmtId="0" fontId="48" fillId="0" borderId="7" xfId="0" applyFont="1" applyBorder="1" applyAlignment="1">
      <alignment vertical="top" wrapText="1"/>
    </xf>
    <xf numFmtId="0" fontId="48" fillId="0" borderId="8" xfId="0" applyFont="1" applyBorder="1" applyAlignment="1">
      <alignment vertical="top" wrapText="1"/>
    </xf>
    <xf numFmtId="0" fontId="48" fillId="0" borderId="10" xfId="0" applyFont="1" applyBorder="1" applyAlignment="1">
      <alignment vertical="top" wrapText="1"/>
    </xf>
    <xf numFmtId="0" fontId="48" fillId="0" borderId="0" xfId="0" applyFont="1" applyAlignment="1">
      <alignment vertical="top" wrapText="1"/>
    </xf>
    <xf numFmtId="0" fontId="48" fillId="0" borderId="13" xfId="0" applyFont="1" applyBorder="1" applyAlignment="1">
      <alignment vertical="top" wrapText="1"/>
    </xf>
    <xf numFmtId="0" fontId="48" fillId="0" borderId="11" xfId="0" applyFont="1" applyBorder="1" applyAlignment="1">
      <alignment vertical="top" wrapText="1"/>
    </xf>
    <xf numFmtId="0" fontId="48" fillId="0" borderId="4" xfId="0" applyFont="1" applyBorder="1" applyAlignment="1">
      <alignment vertical="top" wrapText="1"/>
    </xf>
    <xf numFmtId="0" fontId="48" fillId="0" borderId="12" xfId="0" applyFont="1" applyBorder="1" applyAlignment="1">
      <alignment vertical="top" wrapText="1"/>
    </xf>
    <xf numFmtId="0" fontId="52" fillId="0" borderId="7" xfId="0" applyFont="1" applyBorder="1" applyAlignment="1">
      <alignment vertical="top"/>
    </xf>
    <xf numFmtId="0" fontId="52" fillId="0" borderId="8" xfId="0" applyFont="1" applyBorder="1" applyAlignment="1">
      <alignment vertical="top"/>
    </xf>
    <xf numFmtId="0" fontId="52" fillId="0" borderId="10" xfId="0" applyFont="1" applyBorder="1" applyAlignment="1">
      <alignment vertical="top"/>
    </xf>
    <xf numFmtId="0" fontId="52" fillId="0" borderId="0" xfId="0" applyFont="1" applyAlignment="1">
      <alignment vertical="top"/>
    </xf>
    <xf numFmtId="0" fontId="52" fillId="0" borderId="13" xfId="0" applyFont="1" applyBorder="1" applyAlignment="1">
      <alignment vertical="top"/>
    </xf>
    <xf numFmtId="0" fontId="49" fillId="7" borderId="1" xfId="0" applyFont="1" applyFill="1" applyBorder="1" applyAlignment="1">
      <alignment horizontal="center" vertical="center" wrapText="1"/>
    </xf>
    <xf numFmtId="0" fontId="48" fillId="0" borderId="9" xfId="0" applyFont="1" applyBorder="1" applyAlignment="1">
      <alignment vertical="top"/>
    </xf>
    <xf numFmtId="0" fontId="48" fillId="0" borderId="1" xfId="0" applyFont="1" applyBorder="1" applyAlignment="1">
      <alignment vertical="center"/>
    </xf>
    <xf numFmtId="0" fontId="49" fillId="0" borderId="6" xfId="0" applyFont="1" applyBorder="1" applyAlignment="1">
      <alignment vertical="center"/>
    </xf>
    <xf numFmtId="0" fontId="48" fillId="7" borderId="2" xfId="0" applyFont="1" applyFill="1" applyBorder="1"/>
    <xf numFmtId="0" fontId="48" fillId="7" borderId="6" xfId="0" applyFont="1" applyFill="1" applyBorder="1"/>
    <xf numFmtId="0" fontId="49" fillId="7" borderId="6" xfId="0" applyFont="1" applyFill="1" applyBorder="1"/>
    <xf numFmtId="0" fontId="49" fillId="7" borderId="5" xfId="0" applyFont="1" applyFill="1" applyBorder="1"/>
    <xf numFmtId="0" fontId="48" fillId="0" borderId="6" xfId="0" applyFont="1" applyBorder="1" applyAlignment="1">
      <alignment vertical="center"/>
    </xf>
    <xf numFmtId="0" fontId="49" fillId="7" borderId="5" xfId="0" applyFont="1" applyFill="1" applyBorder="1" applyAlignment="1">
      <alignment vertical="center"/>
    </xf>
    <xf numFmtId="0" fontId="63" fillId="7" borderId="2" xfId="1" applyNumberFormat="1" applyFont="1" applyFill="1" applyBorder="1" applyAlignment="1" applyProtection="1">
      <alignment vertical="center"/>
      <protection locked="0"/>
    </xf>
    <xf numFmtId="0" fontId="53" fillId="0" borderId="6" xfId="0" applyFont="1" applyBorder="1" applyAlignment="1">
      <alignment horizontal="centerContinuous"/>
    </xf>
    <xf numFmtId="0" fontId="53" fillId="0" borderId="5" xfId="0" applyFont="1" applyBorder="1" applyAlignment="1">
      <alignment horizontal="centerContinuous"/>
    </xf>
    <xf numFmtId="0" fontId="61" fillId="0" borderId="0" xfId="0" applyFont="1" applyAlignment="1" applyProtection="1">
      <alignment horizontal="left" vertical="top"/>
      <protection locked="0"/>
    </xf>
    <xf numFmtId="0" fontId="61" fillId="0" borderId="6" xfId="0" applyFont="1" applyBorder="1" applyAlignment="1" applyProtection="1">
      <alignment horizontal="left" vertical="top"/>
      <protection locked="0"/>
    </xf>
    <xf numFmtId="0" fontId="64" fillId="0" borderId="6" xfId="0" applyFont="1" applyBorder="1" applyAlignment="1" applyProtection="1">
      <alignment horizontal="left"/>
      <protection locked="0"/>
    </xf>
    <xf numFmtId="0" fontId="60" fillId="0" borderId="6" xfId="0" applyFont="1" applyBorder="1" applyAlignment="1" applyProtection="1">
      <alignment horizontal="left"/>
      <protection locked="0"/>
    </xf>
    <xf numFmtId="0" fontId="60" fillId="0" borderId="6" xfId="0" applyFont="1" applyBorder="1" applyAlignment="1" applyProtection="1">
      <alignment horizontal="left" vertical="center"/>
      <protection locked="0"/>
    </xf>
    <xf numFmtId="0" fontId="50" fillId="0" borderId="6" xfId="1" applyNumberFormat="1" applyFont="1" applyFill="1" applyBorder="1" applyAlignment="1" applyProtection="1">
      <alignment horizontal="center" vertical="center"/>
      <protection locked="0"/>
    </xf>
    <xf numFmtId="0" fontId="63" fillId="0" borderId="6" xfId="1" applyNumberFormat="1" applyFont="1" applyFill="1" applyBorder="1" applyAlignment="1" applyProtection="1">
      <alignment horizontal="left" vertical="center"/>
      <protection locked="0"/>
    </xf>
    <xf numFmtId="0" fontId="48" fillId="0" borderId="4" xfId="0" applyFont="1" applyBorder="1" applyAlignment="1">
      <alignment vertical="top"/>
    </xf>
    <xf numFmtId="0" fontId="51" fillId="0" borderId="6" xfId="0" applyFont="1" applyBorder="1" applyAlignment="1">
      <alignment vertical="center"/>
    </xf>
    <xf numFmtId="0" fontId="62" fillId="0" borderId="6" xfId="0" applyFont="1" applyBorder="1" applyAlignment="1">
      <alignment vertical="center"/>
    </xf>
    <xf numFmtId="0" fontId="51" fillId="0" borderId="6" xfId="0" applyFont="1" applyBorder="1" applyAlignment="1">
      <alignment horizontal="right" vertical="center"/>
    </xf>
    <xf numFmtId="0" fontId="51" fillId="7" borderId="2" xfId="0" applyFont="1" applyFill="1" applyBorder="1" applyAlignment="1">
      <alignment vertical="center"/>
    </xf>
    <xf numFmtId="0" fontId="51" fillId="7" borderId="6" xfId="0" applyFont="1" applyFill="1" applyBorder="1" applyAlignment="1">
      <alignment vertical="center"/>
    </xf>
    <xf numFmtId="0" fontId="51" fillId="7" borderId="5" xfId="0" applyFont="1" applyFill="1" applyBorder="1" applyAlignment="1">
      <alignment vertical="center"/>
    </xf>
    <xf numFmtId="0" fontId="62" fillId="7" borderId="5" xfId="0" applyFont="1" applyFill="1" applyBorder="1" applyAlignment="1">
      <alignment vertical="center"/>
    </xf>
    <xf numFmtId="0" fontId="51" fillId="0" borderId="1" xfId="0" applyFont="1" applyBorder="1" applyAlignment="1">
      <alignment horizontal="right" vertical="center"/>
    </xf>
    <xf numFmtId="0" fontId="51" fillId="0" borderId="2" xfId="0" applyFont="1" applyBorder="1" applyAlignment="1">
      <alignment horizontal="right" vertical="center"/>
    </xf>
    <xf numFmtId="0" fontId="48" fillId="7" borderId="1" xfId="0" applyFont="1" applyFill="1" applyBorder="1" applyAlignment="1">
      <alignment horizontal="center" vertical="center" wrapText="1"/>
    </xf>
    <xf numFmtId="0" fontId="56" fillId="2" borderId="2" xfId="0" applyFont="1" applyFill="1" applyBorder="1" applyAlignment="1">
      <alignment horizontal="centerContinuous" vertical="center"/>
    </xf>
    <xf numFmtId="0" fontId="49" fillId="0" borderId="6" xfId="0" applyFont="1" applyBorder="1" applyAlignment="1">
      <alignment horizontal="right" indent="1"/>
    </xf>
    <xf numFmtId="0" fontId="48" fillId="0" borderId="2" xfId="0" applyFont="1" applyBorder="1"/>
    <xf numFmtId="0" fontId="48" fillId="0" borderId="6" xfId="0" applyFont="1" applyBorder="1"/>
    <xf numFmtId="0" fontId="48" fillId="0" borderId="6" xfId="0" applyFont="1" applyBorder="1" applyAlignment="1">
      <alignment horizontal="right" vertical="center"/>
    </xf>
    <xf numFmtId="0" fontId="48" fillId="0" borderId="1" xfId="0" applyFont="1" applyBorder="1" applyAlignment="1">
      <alignment horizontal="right" vertical="center"/>
    </xf>
    <xf numFmtId="0" fontId="49" fillId="0" borderId="1" xfId="0" applyFont="1" applyBorder="1" applyAlignment="1">
      <alignment horizontal="right" vertical="center"/>
    </xf>
    <xf numFmtId="0" fontId="62" fillId="0" borderId="1" xfId="0" applyFont="1" applyBorder="1" applyAlignment="1">
      <alignment horizontal="right" vertical="center"/>
    </xf>
    <xf numFmtId="0" fontId="62" fillId="0" borderId="6" xfId="0" applyFont="1" applyBorder="1"/>
    <xf numFmtId="0" fontId="60" fillId="0" borderId="1" xfId="0" applyFont="1" applyBorder="1"/>
    <xf numFmtId="0" fontId="49" fillId="7" borderId="1" xfId="0" applyFont="1" applyFill="1" applyBorder="1" applyAlignment="1">
      <alignment vertical="center"/>
    </xf>
    <xf numFmtId="0" fontId="48" fillId="0" borderId="0" xfId="0" applyFont="1" applyAlignment="1">
      <alignment horizontal="right" vertical="center"/>
    </xf>
    <xf numFmtId="0" fontId="48" fillId="0" borderId="7" xfId="0" applyFont="1" applyBorder="1" applyAlignment="1">
      <alignment vertical="top"/>
    </xf>
    <xf numFmtId="0" fontId="48" fillId="0" borderId="8" xfId="0" applyFont="1" applyBorder="1" applyAlignment="1">
      <alignment vertical="top"/>
    </xf>
    <xf numFmtId="0" fontId="48" fillId="0" borderId="11" xfId="0" applyFont="1" applyBorder="1" applyAlignment="1">
      <alignment vertical="top"/>
    </xf>
    <xf numFmtId="0" fontId="48" fillId="0" borderId="12" xfId="0" applyFont="1" applyBorder="1" applyAlignment="1">
      <alignment vertical="top"/>
    </xf>
    <xf numFmtId="0" fontId="48" fillId="0" borderId="2" xfId="0" applyFont="1" applyBorder="1" applyAlignment="1">
      <alignment horizontal="left" vertical="center" indent="1"/>
    </xf>
    <xf numFmtId="0" fontId="57" fillId="0" borderId="0" xfId="0" quotePrefix="1" applyFont="1" applyAlignment="1">
      <alignment horizontal="right"/>
    </xf>
    <xf numFmtId="0" fontId="63" fillId="7" borderId="6" xfId="1" applyNumberFormat="1" applyFont="1" applyFill="1" applyBorder="1" applyAlignment="1" applyProtection="1">
      <alignment vertical="center" wrapText="1"/>
      <protection locked="0"/>
    </xf>
    <xf numFmtId="0" fontId="63" fillId="7" borderId="2" xfId="1" applyNumberFormat="1" applyFont="1" applyFill="1" applyBorder="1" applyAlignment="1" applyProtection="1">
      <alignment horizontal="centerContinuous" vertical="center"/>
      <protection locked="0"/>
    </xf>
    <xf numFmtId="0" fontId="63" fillId="7" borderId="6" xfId="1" applyNumberFormat="1" applyFont="1" applyFill="1" applyBorder="1" applyAlignment="1" applyProtection="1">
      <alignment horizontal="centerContinuous" vertical="center" wrapText="1"/>
      <protection locked="0"/>
    </xf>
    <xf numFmtId="0" fontId="63" fillId="7" borderId="5" xfId="1" applyNumberFormat="1" applyFont="1" applyFill="1" applyBorder="1" applyAlignment="1" applyProtection="1">
      <alignment horizontal="centerContinuous" vertical="center" wrapText="1"/>
      <protection locked="0"/>
    </xf>
    <xf numFmtId="0" fontId="49" fillId="7" borderId="2" xfId="0" applyFont="1" applyFill="1" applyBorder="1" applyAlignment="1">
      <alignment vertical="center"/>
    </xf>
    <xf numFmtId="0" fontId="56" fillId="2" borderId="2" xfId="0" applyFont="1" applyFill="1" applyBorder="1" applyAlignment="1">
      <alignment horizontal="center" vertical="center"/>
    </xf>
    <xf numFmtId="0" fontId="48" fillId="0" borderId="6" xfId="0" applyFont="1" applyBorder="1" applyAlignment="1">
      <alignment horizontal="left" vertical="center"/>
    </xf>
    <xf numFmtId="0" fontId="52" fillId="0" borderId="6" xfId="0" applyFont="1" applyBorder="1" applyAlignment="1">
      <alignment horizontal="center"/>
    </xf>
    <xf numFmtId="0" fontId="48" fillId="7" borderId="5" xfId="0" applyFont="1" applyFill="1" applyBorder="1" applyAlignment="1">
      <alignment horizontal="left" vertical="center"/>
    </xf>
    <xf numFmtId="0" fontId="48" fillId="0" borderId="6" xfId="0" applyFont="1" applyBorder="1" applyAlignment="1" applyProtection="1">
      <alignment horizontal="left" vertical="center"/>
      <protection locked="0"/>
    </xf>
    <xf numFmtId="0" fontId="58" fillId="0" borderId="1" xfId="1" applyNumberFormat="1" applyFont="1" applyFill="1" applyBorder="1" applyAlignment="1" applyProtection="1">
      <alignment horizontal="right" vertical="center"/>
      <protection locked="0"/>
    </xf>
    <xf numFmtId="0" fontId="49" fillId="0" borderId="0" xfId="0" applyFont="1" applyBorder="1" applyAlignment="1">
      <alignment vertical="center"/>
    </xf>
    <xf numFmtId="0" fontId="49" fillId="0" borderId="0" xfId="0" applyFont="1" applyBorder="1" applyAlignment="1">
      <alignment horizontal="left" vertical="center"/>
    </xf>
    <xf numFmtId="0" fontId="49" fillId="0" borderId="0" xfId="0" applyFont="1" applyBorder="1" applyAlignment="1">
      <alignment horizontal="center" vertical="center"/>
    </xf>
    <xf numFmtId="0" fontId="50" fillId="0" borderId="0" xfId="1" applyNumberFormat="1" applyFont="1" applyFill="1" applyBorder="1" applyAlignment="1" applyProtection="1">
      <alignment horizontal="left" vertical="center"/>
      <protection locked="0"/>
    </xf>
    <xf numFmtId="0" fontId="49" fillId="0" borderId="5" xfId="0" applyFont="1" applyBorder="1" applyAlignment="1">
      <alignment horizontal="left" vertical="center"/>
    </xf>
    <xf numFmtId="0" fontId="49" fillId="0" borderId="6" xfId="0" applyFont="1" applyBorder="1" applyAlignment="1">
      <alignment horizontal="center" vertical="center"/>
    </xf>
    <xf numFmtId="0" fontId="51" fillId="0" borderId="2" xfId="0" applyFont="1" applyBorder="1" applyAlignment="1">
      <alignment horizontal="left" vertical="center"/>
    </xf>
    <xf numFmtId="0" fontId="49" fillId="0" borderId="1" xfId="0" applyFont="1" applyBorder="1" applyAlignment="1">
      <alignment horizontal="left" vertical="center"/>
    </xf>
    <xf numFmtId="0" fontId="50" fillId="0" borderId="1" xfId="1" applyNumberFormat="1" applyFont="1" applyFill="1" applyBorder="1" applyAlignment="1" applyProtection="1">
      <alignment horizontal="right" vertical="center"/>
      <protection locked="0"/>
    </xf>
    <xf numFmtId="0" fontId="48" fillId="0" borderId="1" xfId="0" applyFont="1" applyBorder="1" applyAlignment="1" applyProtection="1">
      <alignment horizontal="left" vertical="center"/>
      <protection locked="0"/>
    </xf>
    <xf numFmtId="0" fontId="52" fillId="0" borderId="0" xfId="0" applyFont="1" applyBorder="1" applyAlignment="1">
      <alignment horizontal="right"/>
    </xf>
    <xf numFmtId="0" fontId="52" fillId="0" borderId="4" xfId="0" applyFont="1" applyBorder="1" applyAlignment="1">
      <alignment horizontal="center"/>
    </xf>
    <xf numFmtId="0" fontId="48" fillId="0" borderId="0" xfId="0" applyFont="1" applyBorder="1" applyAlignment="1">
      <alignment wrapText="1"/>
    </xf>
    <xf numFmtId="0" fontId="48" fillId="0" borderId="2" xfId="0" applyFont="1" applyBorder="1" applyAlignment="1">
      <alignment horizontal="right" vertical="center"/>
    </xf>
    <xf numFmtId="0" fontId="48" fillId="0" borderId="5" xfId="0" applyFont="1" applyBorder="1" applyAlignment="1">
      <alignment horizontal="right" vertical="center"/>
    </xf>
    <xf numFmtId="0" fontId="49" fillId="0" borderId="5" xfId="0" applyFont="1" applyBorder="1" applyAlignment="1">
      <alignment horizontal="right" vertical="center"/>
    </xf>
    <xf numFmtId="0" fontId="48" fillId="0" borderId="2" xfId="0" applyFont="1" applyBorder="1" applyAlignment="1">
      <alignment horizontal="left" vertical="center"/>
    </xf>
    <xf numFmtId="0" fontId="53" fillId="0" borderId="4" xfId="0" applyFont="1" applyBorder="1"/>
    <xf numFmtId="0" fontId="52" fillId="0" borderId="0" xfId="0" applyFont="1" applyBorder="1" applyAlignment="1">
      <alignment horizontal="right"/>
    </xf>
    <xf numFmtId="0" fontId="53" fillId="0" borderId="4" xfId="0" applyFont="1" applyBorder="1" applyAlignment="1">
      <alignment horizontal="center"/>
    </xf>
    <xf numFmtId="0" fontId="49" fillId="0" borderId="2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63" fillId="7" borderId="2" xfId="1" applyNumberFormat="1" applyFont="1" applyFill="1" applyBorder="1" applyAlignment="1" applyProtection="1">
      <alignment horizontal="center" vertical="center" wrapText="1"/>
      <protection locked="0"/>
    </xf>
    <xf numFmtId="0" fontId="63" fillId="7" borderId="5" xfId="1" applyNumberFormat="1" applyFont="1" applyFill="1" applyBorder="1" applyAlignment="1" applyProtection="1">
      <alignment horizontal="center" vertical="center" wrapText="1"/>
      <protection locked="0"/>
    </xf>
    <xf numFmtId="0" fontId="48" fillId="7" borderId="2" xfId="0" applyFont="1" applyFill="1" applyBorder="1" applyAlignment="1">
      <alignment horizontal="right" vertical="center" wrapText="1"/>
    </xf>
    <xf numFmtId="0" fontId="48" fillId="7" borderId="6" xfId="0" applyFont="1" applyFill="1" applyBorder="1" applyAlignment="1">
      <alignment horizontal="right" vertical="center" wrapText="1"/>
    </xf>
    <xf numFmtId="0" fontId="48" fillId="7" borderId="5" xfId="0" applyFont="1" applyFill="1" applyBorder="1" applyAlignment="1">
      <alignment horizontal="right" vertical="center" wrapText="1"/>
    </xf>
    <xf numFmtId="0" fontId="48" fillId="0" borderId="1" xfId="0" applyFont="1" applyBorder="1" applyAlignment="1" applyProtection="1">
      <alignment horizontal="left" vertical="top"/>
      <protection locked="0"/>
    </xf>
    <xf numFmtId="0" fontId="50" fillId="0" borderId="2" xfId="0" applyFont="1" applyBorder="1" applyAlignment="1" applyProtection="1">
      <alignment horizontal="left"/>
      <protection locked="0"/>
    </xf>
    <xf numFmtId="0" fontId="50" fillId="0" borderId="6" xfId="0" applyFont="1" applyBorder="1" applyAlignment="1" applyProtection="1">
      <alignment horizontal="left"/>
      <protection locked="0"/>
    </xf>
    <xf numFmtId="0" fontId="50" fillId="0" borderId="5" xfId="0" applyFont="1" applyBorder="1" applyAlignment="1" applyProtection="1">
      <alignment horizontal="left"/>
      <protection locked="0"/>
    </xf>
    <xf numFmtId="0" fontId="49" fillId="0" borderId="1" xfId="0" applyFont="1" applyBorder="1" applyAlignment="1" applyProtection="1">
      <alignment horizontal="left"/>
      <protection locked="0"/>
    </xf>
    <xf numFmtId="0" fontId="49" fillId="0" borderId="1" xfId="0" applyFont="1" applyBorder="1" applyAlignment="1" applyProtection="1">
      <alignment horizontal="left" vertical="center"/>
      <protection locked="0"/>
    </xf>
    <xf numFmtId="0" fontId="48" fillId="7" borderId="2" xfId="0" applyFont="1" applyFill="1" applyBorder="1" applyAlignment="1" applyProtection="1">
      <alignment horizontal="left" vertical="center"/>
      <protection locked="0"/>
    </xf>
    <xf numFmtId="0" fontId="48" fillId="7" borderId="6" xfId="0" applyFont="1" applyFill="1" applyBorder="1" applyAlignment="1" applyProtection="1">
      <alignment horizontal="left" vertical="center"/>
      <protection locked="0"/>
    </xf>
    <xf numFmtId="0" fontId="48" fillId="7" borderId="5" xfId="0" applyFont="1" applyFill="1" applyBorder="1" applyAlignment="1" applyProtection="1">
      <alignment horizontal="left" vertical="center"/>
      <protection locked="0"/>
    </xf>
    <xf numFmtId="0" fontId="48" fillId="7" borderId="2" xfId="0" applyFont="1" applyFill="1" applyBorder="1" applyAlignment="1" applyProtection="1">
      <alignment horizontal="center" vertical="center"/>
      <protection locked="0"/>
    </xf>
    <xf numFmtId="0" fontId="48" fillId="7" borderId="6" xfId="0" applyFont="1" applyFill="1" applyBorder="1" applyAlignment="1" applyProtection="1">
      <alignment horizontal="center" vertical="center"/>
      <protection locked="0"/>
    </xf>
    <xf numFmtId="0" fontId="48" fillId="7" borderId="5" xfId="0" applyFont="1" applyFill="1" applyBorder="1" applyAlignment="1" applyProtection="1">
      <alignment horizontal="center" vertical="center"/>
      <protection locked="0"/>
    </xf>
    <xf numFmtId="0" fontId="49" fillId="7" borderId="2" xfId="0" applyFont="1" applyFill="1" applyBorder="1" applyAlignment="1" applyProtection="1">
      <alignment horizontal="center" vertical="center"/>
      <protection locked="0"/>
    </xf>
    <xf numFmtId="0" fontId="49" fillId="7" borderId="6" xfId="0" applyFont="1" applyFill="1" applyBorder="1" applyAlignment="1" applyProtection="1">
      <alignment horizontal="center" vertical="center"/>
      <protection locked="0"/>
    </xf>
    <xf numFmtId="0" fontId="49" fillId="7" borderId="5" xfId="0" applyFont="1" applyFill="1" applyBorder="1" applyAlignment="1" applyProtection="1">
      <alignment horizontal="center" vertical="center"/>
      <protection locked="0"/>
    </xf>
    <xf numFmtId="0" fontId="53" fillId="0" borderId="2" xfId="0" applyFont="1" applyBorder="1" applyAlignment="1">
      <alignment horizontal="right"/>
    </xf>
    <xf numFmtId="0" fontId="53" fillId="0" borderId="5" xfId="0" applyFont="1" applyBorder="1" applyAlignment="1">
      <alignment horizontal="right"/>
    </xf>
    <xf numFmtId="0" fontId="50" fillId="7" borderId="2" xfId="1" applyNumberFormat="1" applyFont="1" applyFill="1" applyBorder="1" applyAlignment="1" applyProtection="1">
      <alignment horizontal="center" vertical="center"/>
      <protection locked="0"/>
    </xf>
    <xf numFmtId="0" fontId="50" fillId="7" borderId="6" xfId="1" applyNumberFormat="1" applyFont="1" applyFill="1" applyBorder="1" applyAlignment="1" applyProtection="1">
      <alignment horizontal="center" vertical="center"/>
      <protection locked="0"/>
    </xf>
    <xf numFmtId="0" fontId="50" fillId="7" borderId="5" xfId="1" applyNumberFormat="1" applyFont="1" applyFill="1" applyBorder="1" applyAlignment="1" applyProtection="1">
      <alignment horizontal="center" vertical="center"/>
      <protection locked="0"/>
    </xf>
    <xf numFmtId="0" fontId="49" fillId="0" borderId="2" xfId="0" applyFont="1" applyBorder="1" applyAlignment="1">
      <alignment horizontal="center"/>
    </xf>
    <xf numFmtId="0" fontId="49" fillId="0" borderId="6" xfId="0" applyFont="1" applyBorder="1" applyAlignment="1">
      <alignment horizontal="center"/>
    </xf>
    <xf numFmtId="0" fontId="49" fillId="0" borderId="5" xfId="0" applyFont="1" applyBorder="1" applyAlignment="1">
      <alignment horizontal="center"/>
    </xf>
    <xf numFmtId="0" fontId="49" fillId="0" borderId="6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9" fillId="0" borderId="2" xfId="0" applyFont="1" applyBorder="1" applyAlignment="1" applyProtection="1">
      <alignment horizontal="left" vertical="center"/>
      <protection locked="0"/>
    </xf>
    <xf numFmtId="0" fontId="49" fillId="0" borderId="6" xfId="0" applyFont="1" applyBorder="1" applyAlignment="1" applyProtection="1">
      <alignment horizontal="left" vertical="center"/>
      <protection locked="0"/>
    </xf>
    <xf numFmtId="0" fontId="49" fillId="0" borderId="5" xfId="0" applyFont="1" applyBorder="1" applyAlignment="1" applyProtection="1">
      <alignment horizontal="left" vertical="center"/>
      <protection locked="0"/>
    </xf>
    <xf numFmtId="0" fontId="50" fillId="7" borderId="2" xfId="0" applyFont="1" applyFill="1" applyBorder="1" applyAlignment="1" applyProtection="1">
      <alignment horizontal="center" vertical="center"/>
      <protection locked="0"/>
    </xf>
    <xf numFmtId="0" fontId="50" fillId="7" borderId="6" xfId="0" applyFont="1" applyFill="1" applyBorder="1" applyAlignment="1" applyProtection="1">
      <alignment horizontal="center" vertical="center"/>
      <protection locked="0"/>
    </xf>
    <xf numFmtId="0" fontId="50" fillId="7" borderId="5" xfId="0" applyFont="1" applyFill="1" applyBorder="1" applyAlignment="1" applyProtection="1">
      <alignment horizontal="center" vertical="center"/>
      <protection locked="0"/>
    </xf>
    <xf numFmtId="0" fontId="58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58" fillId="0" borderId="6" xfId="1" applyNumberFormat="1" applyFont="1" applyFill="1" applyBorder="1" applyAlignment="1" applyProtection="1">
      <alignment horizontal="center" vertical="center" wrapText="1"/>
      <protection locked="0"/>
    </xf>
    <xf numFmtId="0" fontId="58" fillId="0" borderId="5" xfId="1" applyNumberFormat="1" applyFont="1" applyFill="1" applyBorder="1" applyAlignment="1" applyProtection="1">
      <alignment horizontal="center" vertical="center" wrapText="1"/>
      <protection locked="0"/>
    </xf>
    <xf numFmtId="0" fontId="58" fillId="0" borderId="2" xfId="0" applyFont="1" applyBorder="1" applyAlignment="1">
      <alignment horizontal="left" vertical="center"/>
    </xf>
    <xf numFmtId="0" fontId="58" fillId="0" borderId="6" xfId="0" applyFont="1" applyBorder="1" applyAlignment="1">
      <alignment horizontal="left" vertical="center"/>
    </xf>
    <xf numFmtId="0" fontId="58" fillId="0" borderId="5" xfId="0" applyFont="1" applyBorder="1" applyAlignment="1">
      <alignment horizontal="left" vertical="center"/>
    </xf>
    <xf numFmtId="3" fontId="45" fillId="0" borderId="10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3" fontId="45" fillId="0" borderId="13" xfId="0" applyNumberFormat="1" applyFont="1" applyBorder="1" applyAlignment="1">
      <alignment horizontal="center" vertical="center"/>
    </xf>
    <xf numFmtId="3" fontId="44" fillId="9" borderId="1" xfId="0" applyNumberFormat="1" applyFont="1" applyFill="1" applyBorder="1" applyAlignment="1">
      <alignment horizontal="center" vertical="center"/>
    </xf>
    <xf numFmtId="3" fontId="46" fillId="0" borderId="1" xfId="0" applyNumberFormat="1" applyFont="1" applyBorder="1" applyAlignment="1">
      <alignment horizontal="center" vertical="center"/>
    </xf>
    <xf numFmtId="3" fontId="46" fillId="0" borderId="2" xfId="0" applyNumberFormat="1" applyFont="1" applyBorder="1" applyAlignment="1">
      <alignment horizontal="center" vertical="center"/>
    </xf>
    <xf numFmtId="3" fontId="46" fillId="0" borderId="5" xfId="0" applyNumberFormat="1" applyFont="1" applyBorder="1" applyAlignment="1">
      <alignment horizontal="center" vertical="center"/>
    </xf>
    <xf numFmtId="0" fontId="43" fillId="9" borderId="1" xfId="0" applyFont="1" applyFill="1" applyBorder="1" applyAlignment="1">
      <alignment horizontal="left" vertical="center" wrapText="1"/>
    </xf>
    <xf numFmtId="3" fontId="45" fillId="0" borderId="1" xfId="0" applyNumberFormat="1" applyFont="1" applyBorder="1" applyAlignment="1">
      <alignment horizontal="left" vertical="center"/>
    </xf>
    <xf numFmtId="167" fontId="26" fillId="0" borderId="2" xfId="0" applyNumberFormat="1" applyFont="1" applyBorder="1" applyAlignment="1">
      <alignment horizontal="center" vertical="center"/>
    </xf>
    <xf numFmtId="167" fontId="26" fillId="0" borderId="6" xfId="0" applyNumberFormat="1" applyFont="1" applyBorder="1" applyAlignment="1">
      <alignment horizontal="center" vertical="center"/>
    </xf>
    <xf numFmtId="167" fontId="26" fillId="0" borderId="5" xfId="0" applyNumberFormat="1" applyFont="1" applyBorder="1" applyAlignment="1">
      <alignment horizontal="center" vertical="center"/>
    </xf>
    <xf numFmtId="169" fontId="5" fillId="5" borderId="2" xfId="1" applyNumberFormat="1" applyFont="1" applyFill="1" applyBorder="1" applyAlignment="1" applyProtection="1">
      <alignment horizontal="center" vertical="center"/>
      <protection locked="0"/>
    </xf>
    <xf numFmtId="169" fontId="5" fillId="5" borderId="5" xfId="1" applyNumberFormat="1" applyFont="1" applyFill="1" applyBorder="1" applyAlignment="1" applyProtection="1">
      <alignment horizontal="center" vertical="center"/>
      <protection locked="0"/>
    </xf>
    <xf numFmtId="0" fontId="28" fillId="0" borderId="2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7" fillId="7" borderId="0" xfId="0" applyFont="1" applyFill="1" applyAlignment="1">
      <alignment horizontal="left" wrapText="1"/>
    </xf>
    <xf numFmtId="0" fontId="7" fillId="7" borderId="13" xfId="0" applyFont="1" applyFill="1" applyBorder="1" applyAlignment="1">
      <alignment horizontal="left" wrapText="1"/>
    </xf>
    <xf numFmtId="0" fontId="25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169" fontId="5" fillId="5" borderId="1" xfId="1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right" vertical="top" wrapText="1"/>
    </xf>
    <xf numFmtId="0" fontId="22" fillId="0" borderId="4" xfId="0" applyFont="1" applyBorder="1" applyAlignment="1">
      <alignment horizontal="right" vertical="top" wrapText="1"/>
    </xf>
    <xf numFmtId="0" fontId="8" fillId="0" borderId="0" xfId="0" applyFont="1" applyAlignment="1">
      <alignment horizontal="right" vertical="top" wrapText="1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2" xfId="1" applyNumberFormat="1" applyFont="1" applyFill="1" applyBorder="1" applyAlignment="1" applyProtection="1">
      <alignment horizontal="left" vertical="center" wrapText="1"/>
      <protection locked="0"/>
    </xf>
    <xf numFmtId="0" fontId="5" fillId="0" borderId="6" xfId="1" applyNumberFormat="1" applyFont="1" applyFill="1" applyBorder="1" applyAlignment="1" applyProtection="1">
      <alignment horizontal="left" vertical="center" wrapText="1"/>
      <protection locked="0"/>
    </xf>
    <xf numFmtId="0" fontId="5" fillId="0" borderId="5" xfId="1" applyNumberFormat="1" applyFont="1" applyFill="1" applyBorder="1" applyAlignment="1" applyProtection="1">
      <alignment horizontal="left" vertical="center" wrapText="1"/>
      <protection locked="0"/>
    </xf>
    <xf numFmtId="166" fontId="5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6" xfId="0" applyNumberFormat="1" applyFont="1" applyBorder="1" applyAlignment="1" applyProtection="1">
      <alignment horizontal="center" vertical="center"/>
      <protection locked="0"/>
    </xf>
    <xf numFmtId="166" fontId="5" fillId="0" borderId="5" xfId="0" applyNumberFormat="1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>
      <alignment horizontal="center" vertical="center"/>
    </xf>
    <xf numFmtId="0" fontId="15" fillId="0" borderId="2" xfId="1" applyNumberFormat="1" applyFont="1" applyFill="1" applyBorder="1" applyAlignment="1" applyProtection="1">
      <alignment horizontal="left" vertical="center" wrapText="1"/>
      <protection locked="0"/>
    </xf>
    <xf numFmtId="0" fontId="15" fillId="0" borderId="6" xfId="1" applyNumberFormat="1" applyFont="1" applyFill="1" applyBorder="1" applyAlignment="1" applyProtection="1">
      <alignment horizontal="left" vertical="center" wrapText="1"/>
      <protection locked="0"/>
    </xf>
    <xf numFmtId="0" fontId="15" fillId="0" borderId="5" xfId="1" applyNumberFormat="1" applyFont="1" applyFill="1" applyBorder="1" applyAlignment="1" applyProtection="1">
      <alignment horizontal="left" vertical="center" wrapText="1"/>
      <protection locked="0"/>
    </xf>
    <xf numFmtId="165" fontId="23" fillId="0" borderId="2" xfId="0" quotePrefix="1" applyNumberFormat="1" applyFont="1" applyBorder="1" applyAlignment="1" applyProtection="1">
      <alignment horizontal="center" vertical="center"/>
      <protection locked="0"/>
    </xf>
    <xf numFmtId="165" fontId="23" fillId="0" borderId="6" xfId="0" applyNumberFormat="1" applyFont="1" applyBorder="1" applyAlignment="1" applyProtection="1">
      <alignment horizontal="center" vertical="center"/>
      <protection locked="0"/>
    </xf>
    <xf numFmtId="165" fontId="23" fillId="0" borderId="5" xfId="0" applyNumberFormat="1" applyFont="1" applyBorder="1" applyAlignment="1" applyProtection="1">
      <alignment horizontal="center" vertical="center"/>
      <protection locked="0"/>
    </xf>
    <xf numFmtId="0" fontId="20" fillId="0" borderId="1" xfId="1" applyNumberFormat="1" applyFont="1" applyFill="1" applyBorder="1" applyAlignment="1" applyProtection="1">
      <alignment horizontal="left" vertical="center" wrapText="1"/>
      <protection locked="0"/>
    </xf>
    <xf numFmtId="169" fontId="38" fillId="7" borderId="2" xfId="1" applyNumberFormat="1" applyFont="1" applyFill="1" applyBorder="1" applyAlignment="1" applyProtection="1">
      <alignment horizontal="center" vertical="center"/>
      <protection locked="0"/>
    </xf>
    <xf numFmtId="169" fontId="38" fillId="7" borderId="5" xfId="1" applyNumberFormat="1" applyFont="1" applyFill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171" fontId="26" fillId="0" borderId="2" xfId="0" applyNumberFormat="1" applyFont="1" applyBorder="1" applyAlignment="1" applyProtection="1">
      <alignment horizontal="center" vertical="center"/>
      <protection locked="0"/>
    </xf>
    <xf numFmtId="171" fontId="26" fillId="0" borderId="6" xfId="0" applyNumberFormat="1" applyFont="1" applyBorder="1" applyAlignment="1" applyProtection="1">
      <alignment horizontal="center" vertical="center"/>
      <protection locked="0"/>
    </xf>
    <xf numFmtId="171" fontId="26" fillId="0" borderId="5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14" fontId="26" fillId="0" borderId="2" xfId="0" applyNumberFormat="1" applyFont="1" applyBorder="1" applyAlignment="1" applyProtection="1">
      <alignment horizontal="center" vertical="center"/>
      <protection locked="0"/>
    </xf>
    <xf numFmtId="14" fontId="26" fillId="0" borderId="6" xfId="0" applyNumberFormat="1" applyFont="1" applyBorder="1" applyAlignment="1" applyProtection="1">
      <alignment horizontal="center" vertical="center"/>
      <protection locked="0"/>
    </xf>
    <xf numFmtId="14" fontId="26" fillId="0" borderId="5" xfId="0" applyNumberFormat="1" applyFont="1" applyBorder="1" applyAlignment="1" applyProtection="1">
      <alignment horizontal="center" vertical="center"/>
      <protection locked="0"/>
    </xf>
  </cellXfs>
  <cellStyles count="4">
    <cellStyle name="Comma" xfId="1" builtinId="3"/>
    <cellStyle name="Normal" xfId="0" builtinId="0"/>
    <cellStyle name="Normal 5" xfId="3"/>
    <cellStyle name="Percent" xfId="2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-0.24994659260841701"/>
        </left>
        <right/>
        <top style="thin">
          <color theme="4" tint="-0.2499465926084170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 tint="-0.24994659260841701"/>
        </right>
        <top style="thin">
          <color theme="4" tint="-0.24994659260841701"/>
        </top>
        <bottom/>
        <vertical/>
        <horizontal/>
      </border>
    </dxf>
    <dxf>
      <border outline="0">
        <top style="thin">
          <color theme="4" tint="-0.24994659260841701"/>
        </top>
      </border>
    </dxf>
    <dxf>
      <border outline="0">
        <right style="thin">
          <color theme="4" tint="-0.24994659260841701"/>
        </right>
      </border>
    </dxf>
    <dxf>
      <border outline="0">
        <bottom style="thin">
          <color theme="4" tint="-0.2499465926084170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fmlaLink="$S$18" lockText="1" noThreeD="1"/>
</file>

<file path=xl/ctrlProps/ctrlProp2.xml><?xml version="1.0" encoding="utf-8"?>
<formControlPr xmlns="http://schemas.microsoft.com/office/spreadsheetml/2009/9/main" objectType="CheckBox" checked="Checked" fmlaLink="$S$19" lockText="1" noThreeD="1"/>
</file>

<file path=xl/ctrlProps/ctrlProp3.xml><?xml version="1.0" encoding="utf-8"?>
<formControlPr xmlns="http://schemas.microsoft.com/office/spreadsheetml/2009/9/main" objectType="CheckBox" checked="Checked" fmlaLink="$S$20" lockText="1" noThreeD="1"/>
</file>

<file path=xl/ctrlProps/ctrlProp4.xml><?xml version="1.0" encoding="utf-8"?>
<formControlPr xmlns="http://schemas.microsoft.com/office/spreadsheetml/2009/9/main" objectType="CheckBox" checked="Checked" fmlaLink="$S$21" lockText="1" noThreeD="1"/>
</file>

<file path=xl/ctrlProps/ctrlProp5.xml><?xml version="1.0" encoding="utf-8"?>
<formControlPr xmlns="http://schemas.microsoft.com/office/spreadsheetml/2009/9/main" objectType="Radio" checked="Checked" firstButton="1" fmlaLink="$R$13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CheckBox" checked="Checked" fmlaLink="$S$21" lockText="1" noThreeD="1"/>
</file>

<file path=xl/ctrlProps/ctrlProp8.xml><?xml version="1.0" encoding="utf-8"?>
<formControlPr xmlns="http://schemas.microsoft.com/office/spreadsheetml/2009/9/main" objectType="CheckBox" checked="Checked" fmlaLink="$S$22" lockText="1" noThreeD="1"/>
</file>

<file path=xl/ctrlProps/ctrlProp9.xml><?xml version="1.0" encoding="utf-8"?>
<formControlPr xmlns="http://schemas.microsoft.com/office/spreadsheetml/2009/9/main" objectType="CheckBox" checked="Checked" fmlaLink="$S$23" lockText="1" noThreeD="1"/>
</file>

<file path=xl/ctrlProps/ctrlProp10.xml><?xml version="1.0" encoding="utf-8"?>
<formControlPr xmlns="http://schemas.microsoft.com/office/spreadsheetml/2009/9/main" objectType="CheckBox" checked="Checked" fmlaLink="$S$24" lockText="1" noThreeD="1"/>
</file>

<file path=xl/ctrlProps/ctrlProp11.xml><?xml version="1.0" encoding="utf-8"?>
<formControlPr xmlns="http://schemas.microsoft.com/office/spreadsheetml/2009/9/main" objectType="Radio" checked="Checked" firstButton="1" fmlaLink="$R$16" lockText="1" noThreeD="1"/>
</file>

<file path=xl/ctrlProps/ctrlProp12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311150</xdr:colOff>
      <xdr:row>0</xdr:row>
      <xdr:rowOff>63500</xdr:rowOff>
    </xdr:from>
    <xdr:to>
      <xdr:col>14</xdr:col>
      <xdr:colOff>42103</xdr:colOff>
      <xdr:row>2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3550" y="63500"/>
          <a:ext cx="1293053" cy="603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18</xdr:row>
          <xdr:rowOff>203200</xdr:rowOff>
        </xdr:from>
        <xdr:to>
          <xdr:col>9</xdr:col>
          <xdr:colOff>222250</xdr:colOff>
          <xdr:row>19</xdr:row>
          <xdr:rowOff>228600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2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Medical (3.56%)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20</xdr:row>
          <xdr:rowOff>12700</xdr:rowOff>
        </xdr:from>
        <xdr:to>
          <xdr:col>9</xdr:col>
          <xdr:colOff>222250</xdr:colOff>
          <xdr:row>21</xdr:row>
          <xdr:rowOff>38100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2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Sick Leave (2.78%)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190500</xdr:colOff>
          <xdr:row>18</xdr:row>
          <xdr:rowOff>203200</xdr:rowOff>
        </xdr:from>
        <xdr:to>
          <xdr:col>12</xdr:col>
          <xdr:colOff>190500</xdr:colOff>
          <xdr:row>19</xdr:row>
          <xdr:rowOff>228600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2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Gratuity (5.33%)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190500</xdr:colOff>
          <xdr:row>20</xdr:row>
          <xdr:rowOff>12700</xdr:rowOff>
        </xdr:from>
        <xdr:to>
          <xdr:col>13</xdr:col>
          <xdr:colOff>50800</xdr:colOff>
          <xdr:row>21</xdr:row>
          <xdr:rowOff>38100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2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Earned Leave (8.33%)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50800</xdr:rowOff>
        </xdr:from>
        <xdr:to>
          <xdr:col>7</xdr:col>
          <xdr:colOff>285750</xdr:colOff>
          <xdr:row>13</xdr:row>
          <xdr:rowOff>12700</xdr:rowOff>
        </xdr:to>
        <xdr:sp macro="" textlink="">
          <xdr:nvSpPr>
            <xdr:cNvPr id="11269" name="Option Button 5" descr="Project/Contract based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2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Project/Contract Based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323850</xdr:colOff>
          <xdr:row>12</xdr:row>
          <xdr:rowOff>50800</xdr:rowOff>
        </xdr:from>
        <xdr:to>
          <xdr:col>13</xdr:col>
          <xdr:colOff>266700</xdr:colOff>
          <xdr:row>13</xdr:row>
          <xdr:rowOff>12700</xdr:rowOff>
        </xdr:to>
        <xdr:sp macro="" textlink="">
          <xdr:nvSpPr>
            <xdr:cNvPr id="11270" name="Option Button 6" descr="Project/Contract based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2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Regular</a:t>
              </a:r>
            </a:p>
          </xdr:txBody>
        </xdr:sp>
        <xdr:clientData/>
      </xdr:twoCellAnchor>
    </mc:Choice>
    <mc:Fallback/>
  </mc:AlternateContent>
  <xdr:twoCellAnchor editAs="oneCell">
    <xdr:from>
      <xdr:col>12</xdr:col>
      <xdr:colOff>228600</xdr:colOff>
      <xdr:row>0</xdr:row>
      <xdr:rowOff>19050</xdr:rowOff>
    </xdr:from>
    <xdr:to>
      <xdr:col>14</xdr:col>
      <xdr:colOff>379299</xdr:colOff>
      <xdr:row>0</xdr:row>
      <xdr:rowOff>371475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9050"/>
          <a:ext cx="893649" cy="352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314325</xdr:colOff>
      <xdr:row>0</xdr:row>
      <xdr:rowOff>38100</xdr:rowOff>
    </xdr:from>
    <xdr:to>
      <xdr:col>14</xdr:col>
      <xdr:colOff>12246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38100"/>
          <a:ext cx="869496" cy="342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25</xdr:row>
          <xdr:rowOff>203200</xdr:rowOff>
        </xdr:from>
        <xdr:to>
          <xdr:col>9</xdr:col>
          <xdr:colOff>19050</xdr:colOff>
          <xdr:row>27</xdr:row>
          <xdr:rowOff>69850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4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Medical (3.56%)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27</xdr:row>
          <xdr:rowOff>12700</xdr:rowOff>
        </xdr:from>
        <xdr:to>
          <xdr:col>9</xdr:col>
          <xdr:colOff>19050</xdr:colOff>
          <xdr:row>28</xdr:row>
          <xdr:rowOff>76200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4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Sick Leave (2.78%)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190500</xdr:colOff>
          <xdr:row>25</xdr:row>
          <xdr:rowOff>203200</xdr:rowOff>
        </xdr:from>
        <xdr:to>
          <xdr:col>12</xdr:col>
          <xdr:colOff>146050</xdr:colOff>
          <xdr:row>27</xdr:row>
          <xdr:rowOff>69850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4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Gratuity (5.33%)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190500</xdr:colOff>
          <xdr:row>27</xdr:row>
          <xdr:rowOff>12700</xdr:rowOff>
        </xdr:from>
        <xdr:to>
          <xdr:col>12</xdr:col>
          <xdr:colOff>361950</xdr:colOff>
          <xdr:row>28</xdr:row>
          <xdr:rowOff>76200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4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Earned Leave (8.33%)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19</xdr:row>
          <xdr:rowOff>50800</xdr:rowOff>
        </xdr:from>
        <xdr:to>
          <xdr:col>7</xdr:col>
          <xdr:colOff>241300</xdr:colOff>
          <xdr:row>20</xdr:row>
          <xdr:rowOff>57150</xdr:rowOff>
        </xdr:to>
        <xdr:sp macro="" textlink="">
          <xdr:nvSpPr>
            <xdr:cNvPr id="13317" name="Option Button 5" descr="Project/Contract based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4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Project/Contract Based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323850</xdr:colOff>
          <xdr:row>19</xdr:row>
          <xdr:rowOff>50800</xdr:rowOff>
        </xdr:from>
        <xdr:to>
          <xdr:col>13</xdr:col>
          <xdr:colOff>190500</xdr:colOff>
          <xdr:row>20</xdr:row>
          <xdr:rowOff>57150</xdr:rowOff>
        </xdr:to>
        <xdr:sp macro="" textlink="">
          <xdr:nvSpPr>
            <xdr:cNvPr id="13318" name="Option Button 6" descr="Project/Contract based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4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Regular</a:t>
              </a:r>
            </a:p>
          </xdr:txBody>
        </xdr:sp>
        <xdr:clientData/>
      </xdr:twoCellAnchor>
    </mc:Choice>
    <mc:Fallback/>
  </mc:AlternateContent>
  <xdr:twoCellAnchor editAs="oneCell">
    <xdr:from>
      <xdr:col>13</xdr:col>
      <xdr:colOff>57150</xdr:colOff>
      <xdr:row>0</xdr:row>
      <xdr:rowOff>38100</xdr:rowOff>
    </xdr:from>
    <xdr:to>
      <xdr:col>14</xdr:col>
      <xdr:colOff>523875</xdr:colOff>
      <xdr:row>0</xdr:row>
      <xdr:rowOff>372414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8100"/>
          <a:ext cx="847725" cy="3343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4:C46" totalsRowShown="0" headerRowBorderDxfId="5" tableBorderDxfId="4" totalsRowBorderDxfId="3">
  <autoFilter ref="A4:C46"/>
  <tableColumns count="3">
    <tableColumn id="1" name="Nr." dataDxfId="2"/>
    <tableColumn id="2" name=" Project Code" dataDxfId="1"/>
    <tableColumn id="3" name="Project Shor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showGridLines="0" tabSelected="1" view="pageBreakPreview" zoomScaleNormal="100" zoomScaleSheetLayoutView="100" workbookViewId="0">
      <pane xSplit="14" ySplit="2" topLeftCell="O3" activePane="bottomRight" state="frozen"/>
      <selection pane="topRight" activeCell="O1" sqref="O1"/>
      <selection pane="bottomLeft" activeCell="A4" sqref="A4"/>
      <selection pane="bottomRight" activeCell="Q12" sqref="Q12"/>
    </sheetView>
  </sheetViews>
  <sheetFormatPr defaultColWidth="9.1796875" defaultRowHeight="14" x14ac:dyDescent="0.3"/>
  <cols>
    <col min="1" max="1" width="1.26953125" style="293" customWidth="1"/>
    <col min="2" max="2" width="14.7265625" style="293" customWidth="1"/>
    <col min="3" max="3" width="11.1796875" style="293" customWidth="1"/>
    <col min="4" max="4" width="4.81640625" style="293" customWidth="1"/>
    <col min="5" max="7" width="6.1796875" style="293" customWidth="1"/>
    <col min="8" max="8" width="7.7265625" style="293" customWidth="1"/>
    <col min="9" max="13" width="5.54296875" style="293" customWidth="1"/>
    <col min="14" max="14" width="11.26953125" style="293" customWidth="1"/>
    <col min="15" max="15" width="1.26953125" style="293" customWidth="1"/>
    <col min="16" max="16" width="10" style="293" bestFit="1" customWidth="1"/>
    <col min="17" max="16384" width="9.1796875" style="293"/>
  </cols>
  <sheetData>
    <row r="1" spans="1:15" ht="30.75" customHeight="1" x14ac:dyDescent="0.3">
      <c r="A1" s="288" t="s">
        <v>260</v>
      </c>
      <c r="B1" s="289"/>
      <c r="C1" s="290" t="s">
        <v>239</v>
      </c>
      <c r="D1" s="289"/>
      <c r="E1" s="289"/>
      <c r="F1" s="289"/>
      <c r="G1" s="289"/>
      <c r="H1" s="289"/>
      <c r="I1" s="289"/>
      <c r="J1" s="289"/>
      <c r="K1" s="289"/>
      <c r="L1" s="289"/>
      <c r="M1" s="291"/>
      <c r="N1" s="289"/>
      <c r="O1" s="289"/>
    </row>
    <row r="2" spans="1:15" s="297" customFormat="1" ht="22" customHeight="1" x14ac:dyDescent="0.4">
      <c r="A2" s="294"/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6"/>
    </row>
    <row r="3" spans="1:15" ht="17.5" x14ac:dyDescent="0.35">
      <c r="A3" s="301"/>
      <c r="B3" s="381" t="s">
        <v>9</v>
      </c>
      <c r="C3" s="382" t="s">
        <v>261</v>
      </c>
      <c r="D3" s="338"/>
      <c r="E3" s="338"/>
      <c r="F3" s="338"/>
      <c r="G3" s="338"/>
      <c r="H3" s="338"/>
      <c r="I3" s="338"/>
      <c r="J3" s="338"/>
      <c r="K3" s="338"/>
      <c r="L3" s="338"/>
      <c r="M3" s="383"/>
      <c r="N3" s="309"/>
      <c r="O3" s="301"/>
    </row>
    <row r="4" spans="1:15" s="283" customFormat="1" ht="20.5" customHeight="1" x14ac:dyDescent="0.4">
      <c r="A4" s="302"/>
      <c r="B4" s="363" t="s">
        <v>2</v>
      </c>
      <c r="C4" s="442"/>
      <c r="D4" s="443"/>
      <c r="E4" s="443"/>
      <c r="F4" s="443"/>
      <c r="G4" s="444"/>
      <c r="H4" s="337" t="s">
        <v>220</v>
      </c>
      <c r="I4" s="376"/>
      <c r="J4" s="377" t="s">
        <v>262</v>
      </c>
      <c r="K4" s="378"/>
      <c r="L4" s="379"/>
      <c r="M4" s="409" t="s">
        <v>225</v>
      </c>
      <c r="N4" s="410"/>
      <c r="O4" s="302"/>
    </row>
    <row r="5" spans="1:15" s="283" customFormat="1" ht="20" x14ac:dyDescent="0.4">
      <c r="A5" s="302"/>
      <c r="B5" s="365" t="s">
        <v>5</v>
      </c>
      <c r="C5" s="445"/>
      <c r="D5" s="446"/>
      <c r="E5" s="446"/>
      <c r="F5" s="446"/>
      <c r="G5" s="447"/>
      <c r="H5" s="286" t="s">
        <v>226</v>
      </c>
      <c r="I5" s="287"/>
      <c r="J5" s="434"/>
      <c r="K5" s="435"/>
      <c r="L5" s="436"/>
      <c r="M5" s="407"/>
      <c r="N5" s="408"/>
      <c r="O5" s="302"/>
    </row>
    <row r="6" spans="1:15" s="283" customFormat="1" ht="20" x14ac:dyDescent="0.4">
      <c r="A6" s="302"/>
      <c r="B6" s="355" t="s">
        <v>229</v>
      </c>
      <c r="C6" s="442"/>
      <c r="D6" s="443"/>
      <c r="E6" s="443"/>
      <c r="F6" s="443"/>
      <c r="G6" s="444"/>
      <c r="H6" s="303" t="s">
        <v>221</v>
      </c>
      <c r="I6" s="284"/>
      <c r="J6" s="434"/>
      <c r="K6" s="435"/>
      <c r="L6" s="436"/>
      <c r="M6" s="407"/>
      <c r="N6" s="408"/>
      <c r="O6" s="302"/>
    </row>
    <row r="7" spans="1:15" s="283" customFormat="1" ht="20" x14ac:dyDescent="0.4">
      <c r="A7" s="302"/>
      <c r="B7" s="365" t="s">
        <v>227</v>
      </c>
      <c r="C7" s="407"/>
      <c r="D7" s="437"/>
      <c r="E7" s="437"/>
      <c r="F7" s="437"/>
      <c r="G7" s="408"/>
      <c r="H7" s="286" t="s">
        <v>1</v>
      </c>
      <c r="I7" s="287"/>
      <c r="J7" s="407"/>
      <c r="K7" s="437"/>
      <c r="L7" s="408"/>
      <c r="M7" s="438"/>
      <c r="N7" s="438"/>
      <c r="O7" s="302"/>
    </row>
    <row r="8" spans="1:15" s="283" customFormat="1" ht="20" x14ac:dyDescent="0.4">
      <c r="A8" s="302"/>
      <c r="B8" s="365" t="s">
        <v>228</v>
      </c>
      <c r="C8" s="407"/>
      <c r="D8" s="437"/>
      <c r="E8" s="437"/>
      <c r="F8" s="437"/>
      <c r="G8" s="408"/>
      <c r="H8" s="287" t="s">
        <v>222</v>
      </c>
      <c r="I8" s="330"/>
      <c r="J8" s="407"/>
      <c r="K8" s="437"/>
      <c r="L8" s="408"/>
      <c r="M8" s="438"/>
      <c r="N8" s="438"/>
      <c r="O8" s="302"/>
    </row>
    <row r="9" spans="1:15" s="283" customFormat="1" ht="20" x14ac:dyDescent="0.4">
      <c r="A9" s="302"/>
      <c r="B9" s="364" t="s">
        <v>249</v>
      </c>
      <c r="C9" s="392" t="s">
        <v>254</v>
      </c>
      <c r="D9" s="438" t="s">
        <v>253</v>
      </c>
      <c r="E9" s="438"/>
      <c r="F9" s="394"/>
      <c r="G9" s="395" t="s">
        <v>252</v>
      </c>
      <c r="H9" s="310"/>
      <c r="I9" s="330"/>
      <c r="J9" s="300"/>
      <c r="K9" s="286"/>
      <c r="L9" s="364" t="s">
        <v>251</v>
      </c>
      <c r="M9" s="438"/>
      <c r="N9" s="438"/>
      <c r="O9" s="302"/>
    </row>
    <row r="10" spans="1:15" s="283" customFormat="1" ht="3.75" customHeight="1" x14ac:dyDescent="0.4">
      <c r="B10" s="387"/>
      <c r="C10" s="389"/>
      <c r="D10" s="389"/>
      <c r="E10" s="388"/>
      <c r="F10" s="388"/>
      <c r="G10" s="390"/>
      <c r="H10" s="387"/>
      <c r="I10" s="387"/>
      <c r="J10" s="284"/>
      <c r="K10" s="284"/>
      <c r="L10" s="284"/>
      <c r="M10" s="284"/>
      <c r="N10" s="284"/>
      <c r="O10" s="302"/>
    </row>
    <row r="11" spans="1:15" s="283" customFormat="1" ht="17.5" x14ac:dyDescent="0.35">
      <c r="B11" s="298" t="s">
        <v>236</v>
      </c>
      <c r="C11" s="385" t="s">
        <v>263</v>
      </c>
      <c r="D11" s="312"/>
      <c r="E11" s="312"/>
      <c r="F11" s="312"/>
      <c r="G11" s="345"/>
      <c r="H11" s="345"/>
      <c r="I11" s="345"/>
      <c r="J11" s="287" t="s">
        <v>248</v>
      </c>
      <c r="K11" s="391"/>
      <c r="L11" s="407"/>
      <c r="M11" s="437"/>
      <c r="N11" s="408"/>
      <c r="O11" s="301"/>
    </row>
    <row r="12" spans="1:15" s="283" customFormat="1" ht="20" x14ac:dyDescent="0.4">
      <c r="A12" s="302"/>
      <c r="B12" s="396" t="s">
        <v>242</v>
      </c>
      <c r="C12" s="439"/>
      <c r="D12" s="440"/>
      <c r="E12" s="440"/>
      <c r="F12" s="440"/>
      <c r="G12" s="441"/>
      <c r="H12" s="346" t="s">
        <v>217</v>
      </c>
      <c r="I12" s="310"/>
      <c r="J12" s="448"/>
      <c r="K12" s="449"/>
      <c r="L12" s="449"/>
      <c r="M12" s="449"/>
      <c r="N12" s="450"/>
      <c r="O12" s="302"/>
    </row>
    <row r="13" spans="1:15" s="283" customFormat="1" ht="20" x14ac:dyDescent="0.4">
      <c r="A13" s="302"/>
      <c r="B13" s="396" t="s">
        <v>243</v>
      </c>
      <c r="C13" s="439"/>
      <c r="D13" s="440"/>
      <c r="E13" s="440"/>
      <c r="F13" s="440"/>
      <c r="G13" s="441"/>
      <c r="H13" s="346" t="s">
        <v>217</v>
      </c>
      <c r="I13" s="366"/>
      <c r="J13" s="448"/>
      <c r="K13" s="449"/>
      <c r="L13" s="449"/>
      <c r="M13" s="449"/>
      <c r="N13" s="450"/>
      <c r="O13" s="282"/>
    </row>
    <row r="14" spans="1:15" s="283" customFormat="1" ht="20" x14ac:dyDescent="0.4">
      <c r="A14" s="302"/>
      <c r="B14" s="396" t="s">
        <v>244</v>
      </c>
      <c r="C14" s="439"/>
      <c r="D14" s="440"/>
      <c r="E14" s="440"/>
      <c r="F14" s="440"/>
      <c r="G14" s="441"/>
      <c r="H14" s="346" t="s">
        <v>217</v>
      </c>
      <c r="I14" s="366"/>
      <c r="J14" s="448"/>
      <c r="K14" s="449"/>
      <c r="L14" s="449"/>
      <c r="M14" s="449"/>
      <c r="N14" s="450"/>
      <c r="O14" s="282"/>
    </row>
    <row r="15" spans="1:15" s="307" customFormat="1" ht="4" x14ac:dyDescent="0.15">
      <c r="B15" s="340"/>
      <c r="C15" s="341"/>
      <c r="D15" s="341"/>
      <c r="E15" s="342"/>
      <c r="F15" s="342"/>
      <c r="G15" s="342"/>
      <c r="H15" s="342"/>
      <c r="I15" s="342"/>
      <c r="J15" s="343"/>
      <c r="K15" s="343"/>
      <c r="L15" s="343"/>
      <c r="M15" s="344"/>
      <c r="N15" s="344"/>
    </row>
    <row r="16" spans="1:15" s="283" customFormat="1" ht="20" x14ac:dyDescent="0.4">
      <c r="B16" s="286" t="s">
        <v>224</v>
      </c>
      <c r="C16" s="426"/>
      <c r="D16" s="427"/>
      <c r="E16" s="428"/>
      <c r="F16" s="286"/>
      <c r="G16" s="386" t="s">
        <v>152</v>
      </c>
      <c r="H16" s="431"/>
      <c r="I16" s="432"/>
      <c r="J16" s="433"/>
      <c r="K16" s="286"/>
      <c r="L16" s="364" t="s">
        <v>153</v>
      </c>
      <c r="M16" s="380"/>
      <c r="N16" s="336"/>
      <c r="O16" s="302"/>
    </row>
    <row r="17" spans="1:15" s="307" customFormat="1" ht="4" x14ac:dyDescent="0.15">
      <c r="B17" s="340"/>
      <c r="C17" s="341"/>
      <c r="D17" s="341"/>
      <c r="E17" s="342"/>
      <c r="F17" s="342"/>
      <c r="G17" s="342"/>
      <c r="H17" s="342"/>
      <c r="I17" s="342"/>
      <c r="J17" s="343"/>
      <c r="K17" s="343"/>
      <c r="L17" s="343"/>
      <c r="M17" s="344"/>
      <c r="N17" s="344"/>
    </row>
    <row r="18" spans="1:15" s="283" customFormat="1" ht="17.5" x14ac:dyDescent="0.35">
      <c r="A18" s="301"/>
      <c r="B18" s="305" t="s">
        <v>10</v>
      </c>
      <c r="C18" s="393" t="s">
        <v>237</v>
      </c>
      <c r="D18" s="338"/>
      <c r="E18" s="338"/>
      <c r="F18" s="338"/>
      <c r="G18" s="338"/>
      <c r="H18" s="338"/>
      <c r="I18" s="338"/>
      <c r="J18" s="338"/>
      <c r="K18" s="338"/>
      <c r="L18" s="429" t="s">
        <v>250</v>
      </c>
      <c r="M18" s="430"/>
      <c r="N18" s="339"/>
      <c r="O18" s="282"/>
    </row>
    <row r="19" spans="1:15" s="283" customFormat="1" ht="27.65" customHeight="1" x14ac:dyDescent="0.4">
      <c r="B19" s="411" t="s">
        <v>230</v>
      </c>
      <c r="C19" s="412"/>
      <c r="D19" s="412"/>
      <c r="E19" s="412"/>
      <c r="F19" s="412"/>
      <c r="G19" s="412"/>
      <c r="H19" s="413"/>
      <c r="I19" s="357" t="s">
        <v>201</v>
      </c>
      <c r="J19" s="357" t="s">
        <v>202</v>
      </c>
      <c r="K19" s="357" t="s">
        <v>203</v>
      </c>
      <c r="L19" s="357" t="s">
        <v>204</v>
      </c>
      <c r="M19" s="357" t="s">
        <v>205</v>
      </c>
      <c r="N19" s="357" t="s">
        <v>231</v>
      </c>
      <c r="O19" s="302"/>
    </row>
    <row r="20" spans="1:15" s="283" customFormat="1" ht="15" customHeight="1" x14ac:dyDescent="0.4">
      <c r="B20" s="304" t="s">
        <v>210</v>
      </c>
      <c r="C20" s="330"/>
      <c r="D20" s="330"/>
      <c r="E20" s="330"/>
      <c r="F20" s="330"/>
      <c r="G20" s="330"/>
      <c r="H20" s="330"/>
      <c r="I20" s="285">
        <v>2</v>
      </c>
      <c r="J20" s="285">
        <v>4</v>
      </c>
      <c r="K20" s="285">
        <v>6</v>
      </c>
      <c r="L20" s="285">
        <v>8</v>
      </c>
      <c r="M20" s="285">
        <v>10</v>
      </c>
      <c r="N20" s="300"/>
      <c r="O20" s="302"/>
    </row>
    <row r="21" spans="1:15" s="283" customFormat="1" ht="15" customHeight="1" x14ac:dyDescent="0.4">
      <c r="B21" s="304" t="s">
        <v>211</v>
      </c>
      <c r="C21" s="330"/>
      <c r="D21" s="330"/>
      <c r="E21" s="330"/>
      <c r="F21" s="330"/>
      <c r="G21" s="330"/>
      <c r="H21" s="330"/>
      <c r="I21" s="285">
        <v>2</v>
      </c>
      <c r="J21" s="285">
        <v>4</v>
      </c>
      <c r="K21" s="285">
        <v>6</v>
      </c>
      <c r="L21" s="285">
        <v>8</v>
      </c>
      <c r="M21" s="285">
        <v>10</v>
      </c>
      <c r="N21" s="300"/>
      <c r="O21" s="302"/>
    </row>
    <row r="22" spans="1:15" s="283" customFormat="1" ht="15" customHeight="1" x14ac:dyDescent="0.35">
      <c r="B22" s="304" t="s">
        <v>212</v>
      </c>
      <c r="C22" s="330"/>
      <c r="D22" s="330"/>
      <c r="E22" s="330"/>
      <c r="F22" s="330"/>
      <c r="G22" s="330"/>
      <c r="H22" s="330"/>
      <c r="I22" s="285">
        <v>2</v>
      </c>
      <c r="J22" s="285">
        <v>4</v>
      </c>
      <c r="K22" s="285">
        <v>6</v>
      </c>
      <c r="L22" s="285">
        <v>8</v>
      </c>
      <c r="M22" s="285">
        <v>10</v>
      </c>
      <c r="N22" s="300"/>
      <c r="O22" s="282"/>
    </row>
    <row r="23" spans="1:15" s="283" customFormat="1" ht="15" customHeight="1" x14ac:dyDescent="0.25">
      <c r="A23" s="306"/>
      <c r="B23" s="304" t="s">
        <v>213</v>
      </c>
      <c r="C23" s="330"/>
      <c r="D23" s="330"/>
      <c r="E23" s="330"/>
      <c r="F23" s="330"/>
      <c r="G23" s="330"/>
      <c r="H23" s="330"/>
      <c r="I23" s="285">
        <v>2</v>
      </c>
      <c r="J23" s="285">
        <v>4</v>
      </c>
      <c r="K23" s="285">
        <v>6</v>
      </c>
      <c r="L23" s="285">
        <v>8</v>
      </c>
      <c r="M23" s="285">
        <v>10</v>
      </c>
      <c r="N23" s="300"/>
    </row>
    <row r="24" spans="1:15" s="283" customFormat="1" ht="15" customHeight="1" x14ac:dyDescent="0.25">
      <c r="A24" s="306"/>
      <c r="B24" s="304" t="s">
        <v>214</v>
      </c>
      <c r="C24" s="330"/>
      <c r="D24" s="330"/>
      <c r="E24" s="330"/>
      <c r="F24" s="330"/>
      <c r="G24" s="330"/>
      <c r="H24" s="330"/>
      <c r="I24" s="285">
        <v>2</v>
      </c>
      <c r="J24" s="285">
        <v>4</v>
      </c>
      <c r="K24" s="285">
        <v>6</v>
      </c>
      <c r="L24" s="285">
        <v>8</v>
      </c>
      <c r="M24" s="285">
        <v>10</v>
      </c>
      <c r="N24" s="300"/>
    </row>
    <row r="25" spans="1:15" s="283" customFormat="1" ht="15" customHeight="1" x14ac:dyDescent="0.25">
      <c r="A25" s="306"/>
      <c r="B25" s="304" t="s">
        <v>215</v>
      </c>
      <c r="C25" s="330"/>
      <c r="D25" s="330"/>
      <c r="E25" s="330"/>
      <c r="F25" s="330"/>
      <c r="G25" s="330"/>
      <c r="H25" s="330"/>
      <c r="I25" s="285">
        <v>2</v>
      </c>
      <c r="J25" s="285">
        <v>4</v>
      </c>
      <c r="K25" s="285">
        <v>6</v>
      </c>
      <c r="L25" s="285">
        <v>8</v>
      </c>
      <c r="M25" s="285">
        <v>10</v>
      </c>
      <c r="N25" s="300"/>
    </row>
    <row r="26" spans="1:15" s="307" customFormat="1" ht="15" customHeight="1" x14ac:dyDescent="0.15">
      <c r="B26" s="304" t="s">
        <v>209</v>
      </c>
      <c r="C26" s="330"/>
      <c r="D26" s="330"/>
      <c r="E26" s="330"/>
      <c r="F26" s="330"/>
      <c r="G26" s="330"/>
      <c r="H26" s="330"/>
      <c r="I26" s="285">
        <v>2</v>
      </c>
      <c r="J26" s="285">
        <v>4</v>
      </c>
      <c r="K26" s="285">
        <v>6</v>
      </c>
      <c r="L26" s="285">
        <v>8</v>
      </c>
      <c r="M26" s="285">
        <v>10</v>
      </c>
      <c r="N26" s="367"/>
    </row>
    <row r="27" spans="1:15" s="283" customFormat="1" ht="15" customHeight="1" x14ac:dyDescent="0.35">
      <c r="A27" s="306"/>
      <c r="B27" s="304" t="s">
        <v>208</v>
      </c>
      <c r="C27" s="330"/>
      <c r="D27" s="330"/>
      <c r="E27" s="330"/>
      <c r="F27" s="330"/>
      <c r="G27" s="330"/>
      <c r="H27" s="330"/>
      <c r="I27" s="285">
        <v>2</v>
      </c>
      <c r="J27" s="285">
        <v>4</v>
      </c>
      <c r="K27" s="285">
        <v>6</v>
      </c>
      <c r="L27" s="285">
        <v>8</v>
      </c>
      <c r="M27" s="285">
        <v>10</v>
      </c>
      <c r="N27" s="300"/>
      <c r="O27" s="282"/>
    </row>
    <row r="28" spans="1:15" s="283" customFormat="1" ht="15" customHeight="1" x14ac:dyDescent="0.35">
      <c r="A28" s="306"/>
      <c r="B28" s="304" t="s">
        <v>207</v>
      </c>
      <c r="C28" s="330"/>
      <c r="D28" s="330"/>
      <c r="E28" s="330"/>
      <c r="F28" s="330"/>
      <c r="G28" s="330"/>
      <c r="H28" s="330"/>
      <c r="I28" s="285">
        <v>2</v>
      </c>
      <c r="J28" s="285">
        <v>4</v>
      </c>
      <c r="K28" s="285">
        <v>6</v>
      </c>
      <c r="L28" s="285">
        <v>8</v>
      </c>
      <c r="M28" s="285">
        <v>10</v>
      </c>
      <c r="N28" s="300"/>
      <c r="O28" s="282"/>
    </row>
    <row r="29" spans="1:15" s="283" customFormat="1" ht="15" customHeight="1" x14ac:dyDescent="0.35">
      <c r="A29" s="306"/>
      <c r="B29" s="304" t="s">
        <v>206</v>
      </c>
      <c r="C29" s="330"/>
      <c r="D29" s="330"/>
      <c r="E29" s="330"/>
      <c r="F29" s="330"/>
      <c r="G29" s="330"/>
      <c r="H29" s="330"/>
      <c r="I29" s="285">
        <v>2</v>
      </c>
      <c r="J29" s="285">
        <v>4</v>
      </c>
      <c r="K29" s="285">
        <v>6</v>
      </c>
      <c r="L29" s="285">
        <v>8</v>
      </c>
      <c r="M29" s="285">
        <v>10</v>
      </c>
      <c r="N29" s="300"/>
      <c r="O29" s="282"/>
    </row>
    <row r="30" spans="1:15" s="283" customFormat="1" ht="17.5" x14ac:dyDescent="0.35">
      <c r="A30" s="375"/>
      <c r="B30" s="374" t="s">
        <v>235</v>
      </c>
      <c r="C30" s="330"/>
      <c r="D30" s="362" t="s">
        <v>233</v>
      </c>
      <c r="E30" s="368"/>
      <c r="F30" s="362" t="s">
        <v>232</v>
      </c>
      <c r="G30" s="368"/>
      <c r="H30" s="369" t="s">
        <v>234</v>
      </c>
      <c r="I30" s="327"/>
      <c r="J30" s="327"/>
      <c r="K30" s="327"/>
      <c r="L30" s="327"/>
      <c r="M30" s="327"/>
      <c r="N30" s="384" t="s">
        <v>241</v>
      </c>
      <c r="O30" s="282"/>
    </row>
    <row r="31" spans="1:15" s="283" customFormat="1" ht="15" customHeight="1" x14ac:dyDescent="0.25">
      <c r="B31" s="313" t="s">
        <v>216</v>
      </c>
      <c r="C31" s="314"/>
      <c r="D31" s="314"/>
      <c r="E31" s="314"/>
      <c r="F31" s="314"/>
      <c r="G31" s="315"/>
      <c r="H31" s="328" t="s">
        <v>223</v>
      </c>
      <c r="I31" s="314"/>
      <c r="J31" s="314"/>
      <c r="K31" s="314"/>
      <c r="L31" s="314"/>
      <c r="M31" s="314"/>
      <c r="N31" s="315"/>
    </row>
    <row r="32" spans="1:15" s="283" customFormat="1" ht="15" customHeight="1" x14ac:dyDescent="0.25">
      <c r="B32" s="316"/>
      <c r="C32" s="317"/>
      <c r="D32" s="317"/>
      <c r="E32" s="317"/>
      <c r="F32" s="317"/>
      <c r="G32" s="318"/>
      <c r="H32" s="316"/>
      <c r="I32" s="317"/>
      <c r="J32" s="317"/>
      <c r="K32" s="317"/>
      <c r="L32" s="317"/>
      <c r="M32" s="317"/>
      <c r="N32" s="318"/>
    </row>
    <row r="33" spans="1:15" s="283" customFormat="1" ht="15.75" customHeight="1" x14ac:dyDescent="0.35">
      <c r="B33" s="316"/>
      <c r="C33" s="317"/>
      <c r="D33" s="317"/>
      <c r="E33" s="317"/>
      <c r="F33" s="317"/>
      <c r="G33" s="318"/>
      <c r="H33" s="316"/>
      <c r="I33" s="317"/>
      <c r="J33" s="317"/>
      <c r="K33" s="317"/>
      <c r="L33" s="317"/>
      <c r="M33" s="317"/>
      <c r="N33" s="318"/>
      <c r="O33" s="282"/>
    </row>
    <row r="34" spans="1:15" s="307" customFormat="1" ht="25.5" customHeight="1" x14ac:dyDescent="0.15">
      <c r="A34" s="308"/>
      <c r="B34" s="316"/>
      <c r="C34" s="317"/>
      <c r="D34" s="317"/>
      <c r="E34" s="317"/>
      <c r="F34" s="317"/>
      <c r="G34" s="318"/>
      <c r="H34" s="316"/>
      <c r="I34" s="317"/>
      <c r="J34" s="317"/>
      <c r="K34" s="317"/>
      <c r="L34" s="317"/>
      <c r="M34" s="317"/>
      <c r="N34" s="318"/>
    </row>
    <row r="35" spans="1:15" ht="23.25" customHeight="1" x14ac:dyDescent="0.35">
      <c r="B35" s="319"/>
      <c r="C35" s="320"/>
      <c r="D35" s="320"/>
      <c r="E35" s="320"/>
      <c r="F35" s="320"/>
      <c r="G35" s="321"/>
      <c r="H35" s="319"/>
      <c r="I35" s="320"/>
      <c r="J35" s="320"/>
      <c r="K35" s="320"/>
      <c r="L35" s="320"/>
      <c r="M35" s="320"/>
      <c r="N35" s="321"/>
      <c r="O35" s="301"/>
    </row>
    <row r="36" spans="1:15" s="283" customFormat="1" x14ac:dyDescent="0.3">
      <c r="B36" s="328" t="s">
        <v>8</v>
      </c>
      <c r="C36" s="322"/>
      <c r="D36" s="322"/>
      <c r="E36" s="322"/>
      <c r="F36" s="322"/>
      <c r="G36" s="322"/>
      <c r="H36" s="322"/>
      <c r="I36" s="322"/>
      <c r="J36" s="322"/>
      <c r="K36" s="322"/>
      <c r="L36" s="322"/>
      <c r="M36" s="322"/>
      <c r="N36" s="323"/>
      <c r="O36" s="293"/>
    </row>
    <row r="37" spans="1:15" s="283" customFormat="1" ht="30.65" customHeight="1" x14ac:dyDescent="0.4">
      <c r="B37" s="324"/>
      <c r="C37" s="325"/>
      <c r="D37" s="325"/>
      <c r="E37" s="325"/>
      <c r="F37" s="325"/>
      <c r="G37" s="325"/>
      <c r="H37" s="325"/>
      <c r="I37" s="325"/>
      <c r="J37" s="325"/>
      <c r="K37" s="325"/>
      <c r="L37" s="325"/>
      <c r="M37" s="325"/>
      <c r="N37" s="326"/>
      <c r="O37" s="302"/>
    </row>
    <row r="38" spans="1:15" s="283" customFormat="1" ht="19.5" customHeight="1" x14ac:dyDescent="0.25">
      <c r="B38" s="324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6"/>
    </row>
    <row r="39" spans="1:15" s="283" customFormat="1" ht="18.75" customHeight="1" x14ac:dyDescent="0.25">
      <c r="B39" s="324"/>
      <c r="C39" s="325"/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6"/>
    </row>
    <row r="40" spans="1:15" s="283" customFormat="1" ht="15" customHeight="1" x14ac:dyDescent="0.25">
      <c r="B40" s="400"/>
      <c r="C40" s="401" t="s">
        <v>257</v>
      </c>
      <c r="D40" s="362"/>
      <c r="E40" s="362"/>
      <c r="F40" s="402"/>
      <c r="G40" s="362"/>
      <c r="H40" s="401" t="s">
        <v>258</v>
      </c>
      <c r="I40" s="362"/>
      <c r="J40" s="362"/>
      <c r="K40" s="403"/>
      <c r="L40" s="363" t="s">
        <v>259</v>
      </c>
      <c r="M40" s="362"/>
      <c r="N40" s="401"/>
    </row>
    <row r="41" spans="1:15" s="283" customFormat="1" ht="18" customHeight="1" x14ac:dyDescent="0.35">
      <c r="B41" s="356" t="s">
        <v>240</v>
      </c>
      <c r="C41" s="355" t="s">
        <v>247</v>
      </c>
      <c r="D41" s="351"/>
      <c r="E41" s="352"/>
      <c r="F41" s="353"/>
      <c r="G41" s="349"/>
      <c r="H41" s="350" t="s">
        <v>245</v>
      </c>
      <c r="I41" s="351"/>
      <c r="J41" s="354"/>
      <c r="K41" s="348"/>
      <c r="L41" s="350" t="s">
        <v>246</v>
      </c>
      <c r="M41" s="351"/>
      <c r="N41" s="353"/>
      <c r="O41" s="282"/>
    </row>
    <row r="42" spans="1:15" s="283" customFormat="1" ht="4.5" customHeight="1" x14ac:dyDescent="0.25">
      <c r="B42" s="284"/>
    </row>
    <row r="43" spans="1:15" s="283" customFormat="1" ht="17.5" x14ac:dyDescent="0.35">
      <c r="A43" s="301"/>
      <c r="B43" s="358" t="s">
        <v>219</v>
      </c>
      <c r="C43" s="335" t="s">
        <v>264</v>
      </c>
      <c r="D43" s="310"/>
      <c r="E43" s="359"/>
      <c r="F43" s="311"/>
      <c r="G43" s="311"/>
      <c r="H43" s="311"/>
      <c r="I43" s="310"/>
      <c r="J43" s="311"/>
      <c r="K43" s="359"/>
      <c r="L43" s="310"/>
      <c r="M43" s="311"/>
      <c r="N43" s="309"/>
    </row>
    <row r="44" spans="1:15" s="283" customFormat="1" ht="20" x14ac:dyDescent="0.4">
      <c r="A44" s="302"/>
      <c r="B44" s="329" t="s">
        <v>2</v>
      </c>
      <c r="C44" s="331"/>
      <c r="D44" s="332"/>
      <c r="E44" s="332"/>
      <c r="F44" s="332"/>
      <c r="G44" s="332"/>
      <c r="H44" s="332"/>
      <c r="I44" s="333"/>
      <c r="J44" s="333"/>
      <c r="K44" s="333"/>
      <c r="L44" s="333"/>
      <c r="M44" s="333"/>
      <c r="N44" s="334"/>
    </row>
    <row r="45" spans="1:15" s="283" customFormat="1" ht="20" x14ac:dyDescent="0.4">
      <c r="A45" s="302"/>
      <c r="B45" s="329" t="s">
        <v>5</v>
      </c>
      <c r="C45" s="360"/>
      <c r="D45" s="361"/>
      <c r="E45" s="361"/>
      <c r="F45" s="361"/>
      <c r="G45" s="361"/>
      <c r="H45" s="361"/>
      <c r="I45" s="310"/>
      <c r="J45" s="310"/>
      <c r="K45" s="310"/>
      <c r="L45" s="310"/>
      <c r="M45" s="310"/>
      <c r="N45" s="309"/>
    </row>
    <row r="46" spans="1:15" s="283" customFormat="1" ht="13" x14ac:dyDescent="0.25">
      <c r="B46" s="328" t="s">
        <v>7</v>
      </c>
      <c r="C46" s="370"/>
      <c r="D46" s="370"/>
      <c r="E46" s="370"/>
      <c r="F46" s="370"/>
      <c r="G46" s="370"/>
      <c r="H46" s="370"/>
      <c r="I46" s="370"/>
      <c r="J46" s="370"/>
      <c r="K46" s="370"/>
      <c r="L46" s="370"/>
      <c r="M46" s="370"/>
      <c r="N46" s="371"/>
    </row>
    <row r="47" spans="1:15" s="283" customFormat="1" ht="42" customHeight="1" x14ac:dyDescent="0.25">
      <c r="B47" s="372"/>
      <c r="C47" s="347"/>
      <c r="D47" s="347"/>
      <c r="E47" s="347"/>
      <c r="F47" s="347"/>
      <c r="G47" s="347"/>
      <c r="H47" s="347"/>
      <c r="I47" s="347"/>
      <c r="J47" s="347"/>
      <c r="K47" s="347"/>
      <c r="L47" s="347"/>
      <c r="M47" s="347"/>
      <c r="N47" s="373"/>
      <c r="O47" s="299"/>
    </row>
    <row r="48" spans="1:15" ht="17.5" x14ac:dyDescent="0.35">
      <c r="A48" s="301"/>
      <c r="B48" s="420" t="s">
        <v>265</v>
      </c>
      <c r="C48" s="421"/>
      <c r="D48" s="422"/>
      <c r="E48" s="423" t="s">
        <v>217</v>
      </c>
      <c r="F48" s="424"/>
      <c r="G48" s="424"/>
      <c r="H48" s="424"/>
      <c r="I48" s="425"/>
      <c r="J48" s="423" t="s">
        <v>218</v>
      </c>
      <c r="K48" s="424"/>
      <c r="L48" s="425"/>
      <c r="M48" s="423" t="s">
        <v>238</v>
      </c>
      <c r="N48" s="425"/>
      <c r="O48" s="292"/>
    </row>
    <row r="49" spans="2:14" ht="18" customHeight="1" x14ac:dyDescent="0.3">
      <c r="B49" s="414"/>
      <c r="C49" s="414"/>
      <c r="D49" s="414"/>
      <c r="E49" s="415"/>
      <c r="F49" s="416"/>
      <c r="G49" s="416"/>
      <c r="H49" s="416"/>
      <c r="I49" s="417"/>
      <c r="J49" s="418"/>
      <c r="K49" s="418"/>
      <c r="L49" s="418"/>
      <c r="M49" s="419"/>
      <c r="N49" s="419"/>
    </row>
    <row r="50" spans="2:14" ht="3" customHeight="1" x14ac:dyDescent="0.3"/>
    <row r="51" spans="2:14" ht="19.5" customHeight="1" x14ac:dyDescent="0.3"/>
    <row r="52" spans="2:14" x14ac:dyDescent="0.3">
      <c r="B52" s="397" t="s">
        <v>255</v>
      </c>
      <c r="C52" s="398"/>
      <c r="D52" s="405" t="s">
        <v>256</v>
      </c>
      <c r="E52" s="405"/>
      <c r="F52" s="405"/>
      <c r="G52" s="406"/>
      <c r="H52" s="406"/>
      <c r="K52" s="404"/>
      <c r="L52" s="404"/>
      <c r="M52" s="404"/>
    </row>
    <row r="53" spans="2:14" ht="14.25" customHeight="1" x14ac:dyDescent="0.3">
      <c r="K53" s="399"/>
      <c r="L53" s="399" t="s">
        <v>266</v>
      </c>
      <c r="M53" s="399"/>
      <c r="N53" s="399"/>
    </row>
    <row r="54" spans="2:14" ht="0.75" customHeight="1" x14ac:dyDescent="0.3">
      <c r="J54" s="399"/>
      <c r="K54" s="399"/>
      <c r="L54" s="399"/>
      <c r="M54" s="399"/>
      <c r="N54" s="399"/>
    </row>
  </sheetData>
  <sheetProtection formatCells="0" formatColumns="0" formatRows="0" insertColumns="0" insertRows="0" insertHyperlinks="0" deleteColumns="0" deleteRows="0" sort="0"/>
  <dataConsolidate/>
  <mergeCells count="37">
    <mergeCell ref="C13:G13"/>
    <mergeCell ref="C12:G12"/>
    <mergeCell ref="C14:G14"/>
    <mergeCell ref="M9:N9"/>
    <mergeCell ref="C4:G4"/>
    <mergeCell ref="C5:G5"/>
    <mergeCell ref="C6:G6"/>
    <mergeCell ref="C8:G8"/>
    <mergeCell ref="C7:G7"/>
    <mergeCell ref="D9:E9"/>
    <mergeCell ref="L11:N11"/>
    <mergeCell ref="J12:N12"/>
    <mergeCell ref="J13:N13"/>
    <mergeCell ref="J14:N14"/>
    <mergeCell ref="H16:J16"/>
    <mergeCell ref="J5:L5"/>
    <mergeCell ref="J6:L6"/>
    <mergeCell ref="J7:L7"/>
    <mergeCell ref="M7:N7"/>
    <mergeCell ref="J8:L8"/>
    <mergeCell ref="M8:N8"/>
    <mergeCell ref="D52:F52"/>
    <mergeCell ref="G52:H52"/>
    <mergeCell ref="M5:N5"/>
    <mergeCell ref="M6:N6"/>
    <mergeCell ref="M4:N4"/>
    <mergeCell ref="B19:H19"/>
    <mergeCell ref="B49:D49"/>
    <mergeCell ref="E49:I49"/>
    <mergeCell ref="J49:L49"/>
    <mergeCell ref="M49:N49"/>
    <mergeCell ref="B48:D48"/>
    <mergeCell ref="E48:I48"/>
    <mergeCell ref="J48:L48"/>
    <mergeCell ref="M48:N48"/>
    <mergeCell ref="C16:E16"/>
    <mergeCell ref="L18:M18"/>
  </mergeCells>
  <phoneticPr fontId="65" type="noConversion"/>
  <dataValidations count="1">
    <dataValidation type="list" allowBlank="1" showInputMessage="1" showErrorMessage="1" sqref="C15 C17">
      <formula1>"Driving Licence, PEC Registration"</formula1>
    </dataValidation>
  </dataValidations>
  <printOptions horizontalCentered="1" verticalCentered="1"/>
  <pageMargins left="0.19685039370078741" right="0.19685039370078741" top="0.11811023622047245" bottom="0.11811023622047245" header="0.31496062992125984" footer="0.31496062992125984"/>
  <pageSetup paperSize="9" scale="90" orientation="portrait" r:id="rId1"/>
  <headerFooter>
    <oddFooter>&amp;LRev. #: 1.0 (Feb-2025)&amp;RSheet: 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63"/>
  <sheetViews>
    <sheetView showGridLines="0" view="pageBreakPreview" zoomScale="115" zoomScaleNormal="100" zoomScaleSheetLayoutView="115" workbookViewId="0">
      <pane xSplit="15" ySplit="4" topLeftCell="P31" activePane="bottomRight" state="frozen"/>
      <selection pane="topRight" activeCell="P1" sqref="P1"/>
      <selection pane="bottomLeft" activeCell="A6" sqref="A6"/>
      <selection pane="bottomRight" activeCell="V51" sqref="V51"/>
    </sheetView>
  </sheetViews>
  <sheetFormatPr defaultColWidth="8.7265625" defaultRowHeight="14.5" x14ac:dyDescent="0.35"/>
  <cols>
    <col min="1" max="1" width="1.7265625" customWidth="1"/>
    <col min="2" max="2" width="13.1796875" customWidth="1"/>
    <col min="3" max="3" width="12.453125" customWidth="1"/>
    <col min="4" max="4" width="7.26953125" customWidth="1"/>
    <col min="5" max="5" width="5.26953125" customWidth="1"/>
    <col min="6" max="6" width="1.453125" customWidth="1"/>
    <col min="7" max="7" width="2.54296875" customWidth="1"/>
    <col min="8" max="8" width="6.453125" customWidth="1"/>
    <col min="9" max="9" width="3.81640625" customWidth="1"/>
    <col min="10" max="10" width="5.26953125" customWidth="1"/>
    <col min="11" max="11" width="3.81640625" customWidth="1"/>
    <col min="12" max="12" width="5.54296875" customWidth="1"/>
    <col min="13" max="13" width="5.453125" customWidth="1"/>
    <col min="14" max="14" width="5.7265625" customWidth="1"/>
    <col min="15" max="15" width="10.26953125" customWidth="1"/>
    <col min="17" max="17" width="11.453125" hidden="1" customWidth="1"/>
    <col min="18" max="18" width="8.7265625" hidden="1" customWidth="1"/>
    <col min="19" max="19" width="9.26953125" hidden="1" customWidth="1"/>
    <col min="20" max="20" width="9.26953125" customWidth="1"/>
    <col min="21" max="21" width="11.26953125" bestFit="1" customWidth="1"/>
    <col min="22" max="22" width="6.81640625" bestFit="1" customWidth="1"/>
  </cols>
  <sheetData>
    <row r="1" spans="1:18" ht="30.75" customHeight="1" x14ac:dyDescent="0.35">
      <c r="A1" s="58" t="s">
        <v>97</v>
      </c>
      <c r="B1" s="36"/>
      <c r="C1" s="485" t="s">
        <v>98</v>
      </c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37"/>
      <c r="O1" s="36"/>
      <c r="P1" s="11"/>
    </row>
    <row r="2" spans="1:18" s="24" customFormat="1" ht="10.5" x14ac:dyDescent="0.25">
      <c r="A2" s="59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60"/>
      <c r="P2" s="27"/>
    </row>
    <row r="3" spans="1:18" ht="25.5" customHeight="1" x14ac:dyDescent="0.45">
      <c r="A3" s="61"/>
      <c r="B3" s="16" t="s">
        <v>3</v>
      </c>
      <c r="C3" s="486" t="str">
        <f>'Interview Evaluation From Draft'!B19</f>
        <v>Evaluation Criteria: EX; Excellent,  G; Good, AA; Above Average,  A: Average, BA; Below Average</v>
      </c>
      <c r="D3" s="487"/>
      <c r="E3" s="487"/>
      <c r="F3" s="487"/>
      <c r="G3" s="487"/>
      <c r="H3" s="487"/>
      <c r="I3" s="18" t="s">
        <v>2</v>
      </c>
      <c r="J3" s="62"/>
      <c r="K3" s="486">
        <f>'Interview Evaluation From Draft'!C6</f>
        <v>0</v>
      </c>
      <c r="L3" s="487"/>
      <c r="M3" s="487"/>
      <c r="N3" s="487"/>
      <c r="O3" s="488"/>
      <c r="P3" s="63"/>
      <c r="R3" s="9"/>
    </row>
    <row r="4" spans="1:18" s="1" customFormat="1" ht="19.5" customHeight="1" x14ac:dyDescent="0.55000000000000004">
      <c r="A4" s="61"/>
      <c r="B4" s="16" t="s">
        <v>5</v>
      </c>
      <c r="C4" s="479" t="s">
        <v>25</v>
      </c>
      <c r="D4" s="480"/>
      <c r="E4" s="480"/>
      <c r="F4" s="480"/>
      <c r="G4" s="480"/>
      <c r="H4" s="480"/>
      <c r="I4" s="480"/>
      <c r="J4" s="481"/>
      <c r="K4" s="14" t="s">
        <v>99</v>
      </c>
      <c r="L4" s="14"/>
      <c r="M4" s="489"/>
      <c r="N4" s="490"/>
      <c r="O4" s="491"/>
      <c r="P4" s="64"/>
    </row>
    <row r="5" spans="1:18" s="1" customFormat="1" ht="18" customHeight="1" x14ac:dyDescent="0.55000000000000004">
      <c r="A5" s="61"/>
      <c r="B5" s="16" t="s">
        <v>100</v>
      </c>
      <c r="C5" s="479" t="s">
        <v>192</v>
      </c>
      <c r="D5" s="480"/>
      <c r="E5" s="480"/>
      <c r="F5" s="480"/>
      <c r="G5" s="480"/>
      <c r="H5" s="480"/>
      <c r="I5" s="480"/>
      <c r="J5" s="481"/>
      <c r="K5" s="14" t="s">
        <v>101</v>
      </c>
      <c r="L5" s="14"/>
      <c r="M5" s="482"/>
      <c r="N5" s="483"/>
      <c r="O5" s="484"/>
      <c r="P5" s="64"/>
    </row>
    <row r="6" spans="1:18" s="68" customFormat="1" ht="18" customHeight="1" x14ac:dyDescent="0.55000000000000004">
      <c r="A6" s="65"/>
      <c r="B6" s="66"/>
      <c r="C6" s="67"/>
      <c r="D6" s="67"/>
      <c r="E6" s="67"/>
      <c r="F6" s="67"/>
      <c r="G6" s="67"/>
      <c r="H6" s="67"/>
      <c r="I6" s="67"/>
      <c r="J6" s="67"/>
      <c r="K6" s="477" t="s">
        <v>191</v>
      </c>
      <c r="L6" s="478"/>
      <c r="M6" s="460"/>
      <c r="N6" s="461"/>
      <c r="O6" s="462"/>
      <c r="P6" s="64"/>
    </row>
    <row r="7" spans="1:18" s="1" customFormat="1" ht="15" customHeight="1" x14ac:dyDescent="0.45">
      <c r="A7" s="69"/>
      <c r="B7" s="19" t="s">
        <v>102</v>
      </c>
      <c r="C7" s="70" t="s">
        <v>103</v>
      </c>
      <c r="K7" s="71"/>
      <c r="N7" s="13"/>
      <c r="O7" s="72"/>
      <c r="P7" s="20"/>
    </row>
    <row r="8" spans="1:18" s="24" customFormat="1" ht="10.5" x14ac:dyDescent="0.25">
      <c r="A8" s="73"/>
      <c r="B8" s="74"/>
      <c r="C8" s="74"/>
      <c r="H8" s="75">
        <f>IF(C9&gt;0,G9/C9,"")</f>
        <v>0.437</v>
      </c>
      <c r="K8" s="76"/>
      <c r="L8" s="75">
        <f>IF(C9&gt;0,K9/C9,"")</f>
        <v>0.437</v>
      </c>
      <c r="N8" s="77"/>
      <c r="O8" s="88"/>
    </row>
    <row r="9" spans="1:18" s="1" customFormat="1" ht="18.5" x14ac:dyDescent="0.45">
      <c r="A9" s="69"/>
      <c r="B9" s="79" t="s">
        <v>104</v>
      </c>
      <c r="C9" s="80">
        <v>274410</v>
      </c>
      <c r="D9" s="471" t="s">
        <v>105</v>
      </c>
      <c r="E9" s="471"/>
      <c r="F9" s="471"/>
      <c r="G9" s="463">
        <f>C9*0.437</f>
        <v>119917.17</v>
      </c>
      <c r="H9" s="464"/>
      <c r="I9" s="471" t="s">
        <v>189</v>
      </c>
      <c r="J9" s="471"/>
      <c r="K9" s="473">
        <f>G9</f>
        <v>119917.17</v>
      </c>
      <c r="L9" s="473"/>
      <c r="M9" s="474" t="s">
        <v>106</v>
      </c>
      <c r="N9" s="474"/>
      <c r="O9" s="80">
        <f>160000-K9</f>
        <v>40082.83</v>
      </c>
      <c r="P9" s="20"/>
      <c r="Q9" s="83"/>
      <c r="R9" s="84"/>
    </row>
    <row r="10" spans="1:18" s="1" customFormat="1" ht="7.5" customHeight="1" x14ac:dyDescent="0.45">
      <c r="A10" s="69"/>
      <c r="B10" s="79"/>
      <c r="C10" s="85"/>
      <c r="D10" s="472"/>
      <c r="E10" s="472"/>
      <c r="F10" s="472"/>
      <c r="G10" s="86"/>
      <c r="H10" s="86"/>
      <c r="I10" s="472"/>
      <c r="J10" s="472"/>
      <c r="L10" s="81"/>
      <c r="M10" s="475"/>
      <c r="N10" s="475"/>
      <c r="O10" s="101"/>
      <c r="P10" s="20"/>
      <c r="Q10" s="83"/>
      <c r="R10" s="84"/>
    </row>
    <row r="11" spans="1:18" s="24" customFormat="1" ht="38.25" customHeight="1" x14ac:dyDescent="0.25">
      <c r="A11" s="73"/>
      <c r="B11" s="87" t="s">
        <v>107</v>
      </c>
      <c r="C11" s="465"/>
      <c r="D11" s="466"/>
      <c r="E11" s="466"/>
      <c r="F11" s="466"/>
      <c r="G11" s="466"/>
      <c r="H11" s="466"/>
      <c r="I11" s="466"/>
      <c r="J11" s="466"/>
      <c r="K11" s="466"/>
      <c r="L11" s="466"/>
      <c r="M11" s="466"/>
      <c r="N11" s="467"/>
      <c r="O11" s="88"/>
      <c r="Q11" s="89"/>
      <c r="R11" s="90"/>
    </row>
    <row r="12" spans="1:18" s="24" customFormat="1" ht="2.25" customHeight="1" x14ac:dyDescent="0.25">
      <c r="A12" s="73"/>
      <c r="B12" s="91"/>
      <c r="C12" s="92"/>
      <c r="F12" s="91"/>
      <c r="G12" s="93"/>
      <c r="H12" s="75"/>
      <c r="L12" s="91"/>
      <c r="M12" s="93"/>
      <c r="N12" s="93"/>
      <c r="O12" s="88"/>
      <c r="Q12" s="89"/>
      <c r="R12" s="90"/>
    </row>
    <row r="13" spans="1:18" s="1" customFormat="1" ht="18.5" x14ac:dyDescent="0.45">
      <c r="A13" s="69"/>
      <c r="C13" s="94" t="s">
        <v>108</v>
      </c>
      <c r="O13" s="95"/>
      <c r="P13" s="20"/>
      <c r="Q13" s="83" t="s">
        <v>109</v>
      </c>
      <c r="R13" s="96">
        <v>1</v>
      </c>
    </row>
    <row r="14" spans="1:18" s="68" customFormat="1" ht="4.5" customHeight="1" x14ac:dyDescent="0.3">
      <c r="A14" s="97"/>
      <c r="B14" s="98"/>
      <c r="C14" s="99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1"/>
      <c r="R14" s="66"/>
    </row>
    <row r="15" spans="1:18" s="1" customFormat="1" ht="18.5" x14ac:dyDescent="0.45">
      <c r="A15" s="102"/>
      <c r="B15" s="103" t="s">
        <v>110</v>
      </c>
      <c r="C15" s="103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104"/>
      <c r="P15" s="20"/>
      <c r="Q15" s="105"/>
    </row>
    <row r="16" spans="1:18" s="1" customFormat="1" ht="15.75" customHeight="1" x14ac:dyDescent="0.35">
      <c r="A16" s="69"/>
      <c r="B16" s="81" t="s">
        <v>111</v>
      </c>
      <c r="C16" s="106" t="s">
        <v>112</v>
      </c>
      <c r="D16" s="107"/>
      <c r="F16" s="476" t="s">
        <v>113</v>
      </c>
      <c r="G16" s="476"/>
      <c r="H16" s="476"/>
      <c r="I16" s="476"/>
      <c r="J16" s="109"/>
      <c r="N16" s="106" t="s">
        <v>114</v>
      </c>
      <c r="O16" s="109"/>
      <c r="P16" s="10"/>
    </row>
    <row r="17" spans="1:25" s="68" customFormat="1" ht="15.5" x14ac:dyDescent="0.35">
      <c r="A17" s="110"/>
      <c r="B17" s="111"/>
      <c r="C17" s="13" t="s">
        <v>115</v>
      </c>
      <c r="D17" s="112" t="s">
        <v>116</v>
      </c>
      <c r="E17" s="6"/>
      <c r="F17" s="476"/>
      <c r="G17" s="476"/>
      <c r="H17" s="476"/>
      <c r="I17" s="476"/>
      <c r="J17" s="108"/>
      <c r="M17" s="114"/>
      <c r="O17" s="115"/>
      <c r="S17" s="116" t="s">
        <v>116</v>
      </c>
      <c r="W17" s="1"/>
      <c r="X17" s="1"/>
      <c r="Y17" s="1"/>
    </row>
    <row r="18" spans="1:25" s="1" customFormat="1" ht="18.5" x14ac:dyDescent="0.45">
      <c r="A18" s="110"/>
      <c r="B18" s="117" t="s">
        <v>117</v>
      </c>
      <c r="C18" s="118">
        <f>IF(AptType=1,ROUND(K9/1.2,0),"")</f>
        <v>99931</v>
      </c>
      <c r="D18" s="119">
        <f>C18</f>
        <v>99931</v>
      </c>
      <c r="E18" s="120"/>
      <c r="F18" s="121"/>
      <c r="O18" s="82"/>
      <c r="P18" s="20"/>
      <c r="Q18" s="122" t="s">
        <v>118</v>
      </c>
      <c r="R18" s="123">
        <v>3.56E-2</v>
      </c>
      <c r="S18" s="124" t="b">
        <v>1</v>
      </c>
      <c r="V18" s="81"/>
    </row>
    <row r="19" spans="1:25" s="1" customFormat="1" ht="18.5" x14ac:dyDescent="0.45">
      <c r="A19" s="110"/>
      <c r="B19" s="117" t="s">
        <v>119</v>
      </c>
      <c r="C19" s="118">
        <f>IF(AptType=1,K9-C18,"")</f>
        <v>19986.169999999998</v>
      </c>
      <c r="D19" s="119">
        <f>IFERROR(ROUND(S23*5*C19,0),"")</f>
        <v>19986</v>
      </c>
      <c r="E19" s="120"/>
      <c r="F19" s="121"/>
      <c r="G19" s="125" t="s">
        <v>120</v>
      </c>
      <c r="O19" s="82"/>
      <c r="P19" s="20"/>
      <c r="Q19" s="122" t="s">
        <v>121</v>
      </c>
      <c r="R19" s="123">
        <v>2.7799999999999998E-2</v>
      </c>
      <c r="S19" s="124" t="b">
        <v>1</v>
      </c>
    </row>
    <row r="20" spans="1:25" s="1" customFormat="1" ht="18.5" x14ac:dyDescent="0.45">
      <c r="A20" s="110"/>
      <c r="B20" s="126">
        <f>IF(M9&gt;0,L9,"")</f>
        <v>0</v>
      </c>
      <c r="C20" s="118">
        <f>IF(AptType=1,O9,"")</f>
        <v>40082.83</v>
      </c>
      <c r="D20" s="119">
        <f>C20</f>
        <v>40082.83</v>
      </c>
      <c r="E20" s="120"/>
      <c r="F20" s="121"/>
      <c r="O20" s="82"/>
      <c r="P20" s="20"/>
      <c r="Q20" s="127" t="s">
        <v>122</v>
      </c>
      <c r="R20" s="123">
        <v>5.33E-2</v>
      </c>
      <c r="S20" s="124" t="b">
        <v>1</v>
      </c>
    </row>
    <row r="21" spans="1:25" s="1" customFormat="1" ht="18.5" x14ac:dyDescent="0.45">
      <c r="A21" s="110"/>
      <c r="B21" s="128" t="s">
        <v>123</v>
      </c>
      <c r="C21" s="129">
        <f>SUM(C18:C20)</f>
        <v>160000</v>
      </c>
      <c r="D21" s="130">
        <f>SUM(D18:D20)</f>
        <v>159999.83000000002</v>
      </c>
      <c r="E21" s="131"/>
      <c r="F21" s="121"/>
      <c r="O21" s="82"/>
      <c r="P21" s="20"/>
      <c r="Q21" s="127" t="s">
        <v>124</v>
      </c>
      <c r="R21" s="123">
        <v>8.3299999999999999E-2</v>
      </c>
      <c r="S21" s="124" t="b">
        <v>1</v>
      </c>
    </row>
    <row r="22" spans="1:25" s="24" customFormat="1" ht="10.5" x14ac:dyDescent="0.25">
      <c r="A22" s="73"/>
      <c r="B22" s="132"/>
      <c r="C22" s="133"/>
      <c r="O22" s="134"/>
      <c r="R22" s="135"/>
    </row>
    <row r="23" spans="1:25" s="1" customFormat="1" ht="15.5" x14ac:dyDescent="0.35">
      <c r="A23" s="110"/>
      <c r="B23" s="136" t="s">
        <v>125</v>
      </c>
      <c r="I23" s="137"/>
      <c r="J23" s="137"/>
      <c r="K23" s="137"/>
      <c r="L23" s="137"/>
      <c r="M23" s="137"/>
      <c r="N23" s="106" t="s">
        <v>126</v>
      </c>
      <c r="O23" s="278">
        <v>6</v>
      </c>
      <c r="P23" s="10"/>
      <c r="Q23" s="139" t="s">
        <v>123</v>
      </c>
      <c r="R23" s="140">
        <f>SUM(R18:R22)</f>
        <v>0.2</v>
      </c>
      <c r="S23" s="141">
        <f>SUMIFS(R18:R21,S18:S21,TRUE)</f>
        <v>0.2</v>
      </c>
    </row>
    <row r="24" spans="1:25" s="1" customFormat="1" ht="18.5" x14ac:dyDescent="0.45">
      <c r="A24" s="142"/>
      <c r="B24" s="33" t="s">
        <v>127</v>
      </c>
      <c r="C24" s="143" t="str">
        <f>IF(AptType=2,FLOOR(G9*12/13.7,50),"")</f>
        <v/>
      </c>
      <c r="G24" s="105"/>
      <c r="H24" s="105"/>
      <c r="J24" s="105"/>
      <c r="K24" s="137"/>
      <c r="O24" s="82"/>
      <c r="R24" s="7"/>
    </row>
    <row r="25" spans="1:25" s="24" customFormat="1" ht="10.5" x14ac:dyDescent="0.25">
      <c r="A25" s="73"/>
      <c r="B25" s="144"/>
      <c r="C25" s="145"/>
      <c r="G25" s="132"/>
      <c r="H25" s="132"/>
      <c r="J25" s="132"/>
      <c r="K25" s="145"/>
      <c r="O25" s="88"/>
      <c r="R25" s="135"/>
    </row>
    <row r="26" spans="1:25" s="1" customFormat="1" ht="13" x14ac:dyDescent="0.3">
      <c r="A26" s="69"/>
      <c r="C26" s="128" t="s">
        <v>128</v>
      </c>
      <c r="D26" s="55"/>
      <c r="E26" s="1" t="s">
        <v>129</v>
      </c>
      <c r="I26" s="55"/>
      <c r="J26" s="7" t="s">
        <v>130</v>
      </c>
      <c r="K26" s="105"/>
      <c r="L26" s="137"/>
      <c r="M26" s="55"/>
      <c r="N26" s="1" t="s">
        <v>121</v>
      </c>
      <c r="O26" s="146"/>
      <c r="Q26" s="106" t="s">
        <v>131</v>
      </c>
      <c r="R26" s="147">
        <f>12+1+1/1.8+0.14</f>
        <v>13.695555555555556</v>
      </c>
      <c r="S26" s="148"/>
    </row>
    <row r="27" spans="1:25" s="1" customFormat="1" ht="13" x14ac:dyDescent="0.3">
      <c r="A27" s="69"/>
      <c r="D27" s="55"/>
      <c r="E27" s="9" t="s">
        <v>132</v>
      </c>
      <c r="F27" s="9"/>
      <c r="I27" s="55"/>
      <c r="J27" s="7" t="s">
        <v>133</v>
      </c>
      <c r="K27" s="105"/>
      <c r="L27" s="137"/>
      <c r="M27" s="55"/>
      <c r="N27" s="25" t="s">
        <v>134</v>
      </c>
      <c r="O27" s="95"/>
      <c r="X27" s="126"/>
    </row>
    <row r="28" spans="1:25" s="24" customFormat="1" ht="10.5" x14ac:dyDescent="0.25">
      <c r="A28" s="149"/>
      <c r="B28" s="150"/>
      <c r="C28" s="150"/>
      <c r="D28" s="151"/>
      <c r="E28" s="151"/>
      <c r="F28" s="151"/>
      <c r="G28" s="151"/>
      <c r="H28" s="151"/>
      <c r="I28" s="151"/>
      <c r="J28" s="151"/>
      <c r="K28" s="150"/>
      <c r="L28" s="151"/>
      <c r="M28" s="151"/>
      <c r="N28" s="151"/>
      <c r="O28" s="134"/>
      <c r="X28" s="152"/>
    </row>
    <row r="29" spans="1:25" s="1" customFormat="1" ht="13" x14ac:dyDescent="0.3">
      <c r="A29" s="69"/>
      <c r="D29" s="105"/>
      <c r="E29" s="105"/>
      <c r="F29" s="105"/>
      <c r="G29" s="105"/>
      <c r="H29" s="105"/>
      <c r="I29" s="105"/>
      <c r="J29" s="105"/>
      <c r="L29" s="105"/>
      <c r="M29" s="105"/>
      <c r="N29" s="105"/>
      <c r="O29" s="82"/>
    </row>
    <row r="30" spans="1:25" s="1" customFormat="1" ht="7.5" customHeight="1" x14ac:dyDescent="0.3">
      <c r="A30" s="69"/>
      <c r="D30" s="105"/>
      <c r="E30" s="105"/>
      <c r="F30" s="105"/>
      <c r="G30" s="105"/>
      <c r="H30" s="105"/>
      <c r="I30" s="105"/>
      <c r="J30" s="105"/>
      <c r="L30" s="105"/>
      <c r="M30" s="105"/>
      <c r="N30" s="105"/>
      <c r="O30" s="82"/>
    </row>
    <row r="31" spans="1:25" s="1" customFormat="1" ht="9.75" customHeight="1" x14ac:dyDescent="0.3">
      <c r="A31" s="69"/>
      <c r="D31" s="105"/>
      <c r="E31" s="105"/>
      <c r="F31" s="105"/>
      <c r="G31" s="105"/>
      <c r="H31" s="105"/>
      <c r="I31" s="105"/>
      <c r="J31" s="105"/>
      <c r="L31" s="105"/>
      <c r="M31" s="105"/>
      <c r="N31" s="105"/>
      <c r="O31" s="82"/>
    </row>
    <row r="32" spans="1:25" s="1" customFormat="1" ht="7.5" customHeight="1" x14ac:dyDescent="0.3">
      <c r="A32" s="69"/>
      <c r="C32" s="5"/>
      <c r="G32" s="5"/>
      <c r="H32" s="5"/>
      <c r="I32" s="5"/>
      <c r="J32" s="5"/>
      <c r="M32" s="5"/>
      <c r="N32" s="5"/>
      <c r="O32" s="153"/>
    </row>
    <row r="33" spans="1:16" s="1" customFormat="1" ht="25.5" customHeight="1" x14ac:dyDescent="0.3">
      <c r="A33" s="69"/>
      <c r="C33" s="279" t="s">
        <v>176</v>
      </c>
      <c r="D33" s="280"/>
      <c r="E33" s="280"/>
      <c r="F33" s="280"/>
      <c r="G33" s="470" t="s">
        <v>187</v>
      </c>
      <c r="H33" s="470"/>
      <c r="I33" s="470"/>
      <c r="J33" s="470"/>
      <c r="K33" s="68"/>
      <c r="L33" s="470" t="s">
        <v>184</v>
      </c>
      <c r="M33" s="470"/>
      <c r="N33" s="470"/>
      <c r="O33" s="470"/>
    </row>
    <row r="34" spans="1:16" s="24" customFormat="1" ht="10.5" x14ac:dyDescent="0.25">
      <c r="A34" s="149"/>
      <c r="B34" s="150"/>
      <c r="C34" s="155"/>
      <c r="D34" s="156"/>
      <c r="E34" s="156"/>
      <c r="F34" s="156"/>
      <c r="G34" s="157"/>
      <c r="H34" s="157"/>
      <c r="I34" s="158"/>
      <c r="J34" s="150"/>
      <c r="K34" s="150"/>
      <c r="L34" s="156"/>
      <c r="M34" s="157"/>
      <c r="N34" s="157"/>
      <c r="O34" s="159"/>
    </row>
    <row r="35" spans="1:16" s="24" customFormat="1" ht="10.5" x14ac:dyDescent="0.25">
      <c r="A35" s="160"/>
      <c r="B35" s="161"/>
      <c r="C35" s="162"/>
      <c r="D35" s="163"/>
      <c r="E35" s="163"/>
      <c r="F35" s="163"/>
      <c r="G35" s="163"/>
      <c r="H35" s="163"/>
      <c r="I35" s="163"/>
      <c r="J35" s="163"/>
      <c r="K35" s="164"/>
      <c r="L35" s="163"/>
      <c r="M35" s="163"/>
      <c r="N35" s="163"/>
      <c r="O35" s="165"/>
    </row>
    <row r="36" spans="1:16" s="1" customFormat="1" ht="18.5" x14ac:dyDescent="0.45">
      <c r="A36" s="69"/>
      <c r="B36" s="19" t="s">
        <v>135</v>
      </c>
      <c r="C36" s="70" t="s">
        <v>136</v>
      </c>
      <c r="K36" s="71"/>
      <c r="N36" s="13"/>
      <c r="O36" s="72"/>
      <c r="P36" s="20"/>
    </row>
    <row r="37" spans="1:16" s="1" customFormat="1" ht="17.5" customHeight="1" x14ac:dyDescent="0.3">
      <c r="A37" s="69"/>
      <c r="C37" s="112"/>
      <c r="D37" s="3"/>
      <c r="E37" s="3"/>
      <c r="F37" s="3"/>
      <c r="G37" s="3"/>
      <c r="H37" s="3"/>
      <c r="I37" s="3"/>
      <c r="J37" s="3"/>
      <c r="K37" s="13"/>
      <c r="L37" s="81" t="s">
        <v>137</v>
      </c>
      <c r="M37" s="166"/>
      <c r="N37" s="167"/>
      <c r="O37" s="168"/>
    </row>
    <row r="38" spans="1:16" s="24" customFormat="1" ht="10.5" x14ac:dyDescent="0.25">
      <c r="A38" s="73"/>
      <c r="B38" s="169"/>
      <c r="O38" s="88"/>
    </row>
    <row r="39" spans="1:16" s="1" customFormat="1" ht="15.5" x14ac:dyDescent="0.35">
      <c r="A39" s="170"/>
      <c r="C39" s="1" t="s">
        <v>138</v>
      </c>
      <c r="H39" s="55"/>
      <c r="I39" s="29" t="s">
        <v>139</v>
      </c>
      <c r="N39" s="55"/>
      <c r="O39" s="82"/>
    </row>
    <row r="40" spans="1:16" s="1" customFormat="1" ht="15.5" x14ac:dyDescent="0.35">
      <c r="A40" s="170"/>
      <c r="C40" s="9" t="s">
        <v>140</v>
      </c>
      <c r="D40" s="9"/>
      <c r="E40" s="9"/>
      <c r="F40" s="9"/>
      <c r="G40" s="9"/>
      <c r="H40" s="55"/>
      <c r="I40" s="12"/>
      <c r="J40" s="9"/>
      <c r="N40" s="55"/>
      <c r="O40" s="82"/>
    </row>
    <row r="41" spans="1:16" s="24" customFormat="1" ht="10.5" x14ac:dyDescent="0.25">
      <c r="A41" s="171"/>
      <c r="O41" s="88"/>
    </row>
    <row r="42" spans="1:16" s="1" customFormat="1" ht="13" x14ac:dyDescent="0.3">
      <c r="A42" s="69"/>
      <c r="B42" s="468" t="s">
        <v>141</v>
      </c>
      <c r="C42" s="468"/>
      <c r="D42" s="468"/>
      <c r="E42" s="468"/>
      <c r="F42" s="468"/>
      <c r="G42" s="468"/>
      <c r="H42" s="468"/>
      <c r="I42" s="468"/>
      <c r="J42" s="468"/>
      <c r="K42" s="468"/>
      <c r="L42" s="468"/>
      <c r="M42" s="468"/>
      <c r="N42" s="468"/>
      <c r="O42" s="469"/>
    </row>
    <row r="43" spans="1:16" s="1" customFormat="1" ht="13" x14ac:dyDescent="0.3">
      <c r="A43" s="69"/>
      <c r="B43" s="468"/>
      <c r="C43" s="468"/>
      <c r="D43" s="468"/>
      <c r="E43" s="468"/>
      <c r="F43" s="468"/>
      <c r="G43" s="468"/>
      <c r="H43" s="468"/>
      <c r="I43" s="468"/>
      <c r="J43" s="468"/>
      <c r="K43" s="468"/>
      <c r="L43" s="468"/>
      <c r="M43" s="468"/>
      <c r="N43" s="468"/>
      <c r="O43" s="469"/>
    </row>
    <row r="44" spans="1:16" s="1" customFormat="1" ht="13" x14ac:dyDescent="0.3">
      <c r="A44" s="69"/>
      <c r="O44" s="82"/>
    </row>
    <row r="45" spans="1:16" s="1" customFormat="1" ht="13" x14ac:dyDescent="0.3">
      <c r="A45" s="69"/>
      <c r="O45" s="82"/>
    </row>
    <row r="46" spans="1:16" ht="18.5" x14ac:dyDescent="0.45">
      <c r="A46" s="172"/>
      <c r="B46" s="17" t="s">
        <v>4</v>
      </c>
      <c r="C46" s="33" t="s">
        <v>142</v>
      </c>
      <c r="D46" s="2"/>
      <c r="E46" s="2"/>
      <c r="F46" s="2"/>
      <c r="G46" s="2"/>
      <c r="H46" s="2"/>
      <c r="I46" s="2"/>
      <c r="J46" s="2"/>
      <c r="K46" s="71"/>
      <c r="L46" s="137" t="s">
        <v>143</v>
      </c>
      <c r="N46" s="6"/>
      <c r="O46" s="154"/>
      <c r="P46" s="63"/>
    </row>
    <row r="47" spans="1:16" ht="18.5" x14ac:dyDescent="0.45">
      <c r="A47" s="172"/>
      <c r="B47" s="173"/>
      <c r="C47" s="33"/>
      <c r="D47" s="2"/>
      <c r="E47" s="2"/>
      <c r="F47" s="2"/>
      <c r="G47" s="2"/>
      <c r="H47" s="2"/>
      <c r="I47" s="2"/>
      <c r="J47" s="2"/>
      <c r="K47" s="2"/>
      <c r="L47" s="174"/>
      <c r="M47" s="175"/>
      <c r="N47" s="176"/>
      <c r="O47" s="177"/>
      <c r="P47" s="178"/>
    </row>
    <row r="48" spans="1:16" s="1" customFormat="1" ht="13" x14ac:dyDescent="0.3">
      <c r="A48" s="179"/>
      <c r="B48" s="5"/>
      <c r="C48" s="180"/>
      <c r="D48" s="181"/>
      <c r="E48" s="181"/>
      <c r="F48" s="181"/>
      <c r="G48" s="181"/>
      <c r="H48" s="181"/>
      <c r="I48" s="181"/>
      <c r="J48" s="181"/>
      <c r="K48" s="182"/>
      <c r="L48" s="181"/>
      <c r="M48" s="181"/>
      <c r="N48" s="181"/>
      <c r="O48" s="183"/>
    </row>
    <row r="49" spans="3:15" s="1" customFormat="1" ht="13" x14ac:dyDescent="0.3">
      <c r="C49" s="112"/>
      <c r="D49" s="3"/>
      <c r="E49" s="3"/>
      <c r="F49" s="3"/>
      <c r="G49" s="3"/>
      <c r="H49" s="3"/>
      <c r="I49" s="3"/>
      <c r="J49" s="3"/>
      <c r="K49" s="13"/>
      <c r="L49" s="3"/>
      <c r="M49" s="3"/>
      <c r="N49" s="3"/>
      <c r="O49" s="13"/>
    </row>
    <row r="50" spans="3:15" s="1" customFormat="1" ht="13" x14ac:dyDescent="0.3"/>
    <row r="53" spans="3:15" ht="32.25" customHeight="1" x14ac:dyDescent="0.35">
      <c r="C53" s="458" t="s">
        <v>193</v>
      </c>
      <c r="D53" s="458"/>
      <c r="E53" s="458"/>
      <c r="F53" s="458"/>
      <c r="G53" s="458"/>
      <c r="H53" s="458"/>
      <c r="I53" s="458"/>
      <c r="J53" s="458"/>
      <c r="K53" s="458"/>
      <c r="L53" s="458"/>
      <c r="M53" s="454" t="s">
        <v>194</v>
      </c>
      <c r="N53" s="454"/>
    </row>
    <row r="54" spans="3:15" x14ac:dyDescent="0.35">
      <c r="C54" s="459" t="s">
        <v>195</v>
      </c>
      <c r="D54" s="459"/>
      <c r="E54" s="459"/>
      <c r="F54" s="459"/>
      <c r="G54" s="459"/>
      <c r="H54" s="459"/>
      <c r="I54" s="459"/>
      <c r="J54" s="459"/>
      <c r="K54" s="459"/>
      <c r="L54" s="459"/>
      <c r="M54" s="456"/>
      <c r="N54" s="457"/>
    </row>
    <row r="55" spans="3:15" x14ac:dyDescent="0.35">
      <c r="C55" s="459" t="s">
        <v>196</v>
      </c>
      <c r="D55" s="459"/>
      <c r="E55" s="459"/>
      <c r="F55" s="459"/>
      <c r="G55" s="459"/>
      <c r="H55" s="459"/>
      <c r="I55" s="459"/>
      <c r="J55" s="459"/>
      <c r="K55" s="459"/>
      <c r="L55" s="459"/>
      <c r="M55" s="455">
        <v>12</v>
      </c>
      <c r="N55" s="455"/>
    </row>
    <row r="56" spans="3:15" x14ac:dyDescent="0.35">
      <c r="C56" s="459" t="s">
        <v>197</v>
      </c>
      <c r="D56" s="459"/>
      <c r="E56" s="459"/>
      <c r="F56" s="459"/>
      <c r="G56" s="459"/>
      <c r="H56" s="459"/>
      <c r="I56" s="459"/>
      <c r="J56" s="459"/>
      <c r="K56" s="459"/>
      <c r="L56" s="459"/>
      <c r="M56" s="455">
        <v>11</v>
      </c>
      <c r="N56" s="455"/>
    </row>
    <row r="57" spans="3:15" x14ac:dyDescent="0.35">
      <c r="C57" s="459" t="s">
        <v>198</v>
      </c>
      <c r="D57" s="459"/>
      <c r="E57" s="459"/>
      <c r="F57" s="459"/>
      <c r="G57" s="459"/>
      <c r="H57" s="459"/>
      <c r="I57" s="459"/>
      <c r="J57" s="459"/>
      <c r="K57" s="459"/>
      <c r="L57" s="459"/>
      <c r="M57" s="455">
        <v>8</v>
      </c>
      <c r="N57" s="455"/>
    </row>
    <row r="58" spans="3:15" ht="15.5" x14ac:dyDescent="0.35">
      <c r="C58" s="458" t="s">
        <v>199</v>
      </c>
      <c r="D58" s="458"/>
      <c r="E58" s="458"/>
      <c r="F58" s="458"/>
      <c r="G58" s="458"/>
      <c r="H58" s="458"/>
      <c r="I58" s="458"/>
      <c r="J58" s="458"/>
      <c r="K58" s="458"/>
      <c r="L58" s="458"/>
      <c r="M58" s="454" t="s">
        <v>200</v>
      </c>
      <c r="N58" s="454"/>
    </row>
    <row r="59" spans="3:15" x14ac:dyDescent="0.35">
      <c r="C59" s="459" t="s">
        <v>195</v>
      </c>
      <c r="D59" s="459"/>
      <c r="E59" s="459"/>
      <c r="F59" s="459"/>
      <c r="G59" s="459"/>
      <c r="H59" s="459"/>
      <c r="I59" s="459"/>
      <c r="J59" s="459"/>
      <c r="K59" s="459"/>
      <c r="L59" s="459"/>
      <c r="M59" s="455"/>
      <c r="N59" s="455"/>
    </row>
    <row r="60" spans="3:15" x14ac:dyDescent="0.35">
      <c r="C60" s="459" t="s">
        <v>196</v>
      </c>
      <c r="D60" s="459"/>
      <c r="E60" s="459"/>
      <c r="F60" s="459"/>
      <c r="G60" s="459"/>
      <c r="H60" s="459"/>
      <c r="I60" s="459"/>
      <c r="J60" s="459"/>
      <c r="K60" s="459"/>
      <c r="L60" s="459"/>
      <c r="M60" s="455">
        <v>8</v>
      </c>
      <c r="N60" s="455"/>
    </row>
    <row r="61" spans="3:15" x14ac:dyDescent="0.35">
      <c r="C61" s="459" t="s">
        <v>197</v>
      </c>
      <c r="D61" s="459"/>
      <c r="E61" s="459"/>
      <c r="F61" s="459"/>
      <c r="G61" s="459"/>
      <c r="H61" s="459"/>
      <c r="I61" s="459"/>
      <c r="J61" s="459"/>
      <c r="K61" s="459"/>
      <c r="L61" s="459"/>
      <c r="M61" s="455">
        <v>7</v>
      </c>
      <c r="N61" s="455"/>
    </row>
    <row r="62" spans="3:15" x14ac:dyDescent="0.35">
      <c r="C62" s="459" t="s">
        <v>198</v>
      </c>
      <c r="D62" s="459"/>
      <c r="E62" s="459"/>
      <c r="F62" s="459"/>
      <c r="G62" s="459"/>
      <c r="H62" s="459"/>
      <c r="I62" s="459"/>
      <c r="J62" s="459"/>
      <c r="K62" s="459"/>
      <c r="L62" s="459"/>
      <c r="M62" s="455">
        <v>4</v>
      </c>
      <c r="N62" s="455"/>
    </row>
    <row r="63" spans="3:15" x14ac:dyDescent="0.35">
      <c r="C63" s="451"/>
      <c r="D63" s="452"/>
      <c r="E63" s="452"/>
      <c r="F63" s="452"/>
      <c r="G63" s="452"/>
      <c r="H63" s="452"/>
      <c r="I63" s="452"/>
      <c r="J63" s="452"/>
      <c r="K63" s="452"/>
      <c r="L63" s="453"/>
    </row>
  </sheetData>
  <sheetProtection selectLockedCells="1"/>
  <mergeCells count="40">
    <mergeCell ref="C5:J5"/>
    <mergeCell ref="M5:O5"/>
    <mergeCell ref="C1:M1"/>
    <mergeCell ref="C3:H3"/>
    <mergeCell ref="K3:O3"/>
    <mergeCell ref="C4:J4"/>
    <mergeCell ref="M4:O4"/>
    <mergeCell ref="M6:O6"/>
    <mergeCell ref="G9:H9"/>
    <mergeCell ref="C11:N11"/>
    <mergeCell ref="B42:O43"/>
    <mergeCell ref="G33:J33"/>
    <mergeCell ref="L33:O33"/>
    <mergeCell ref="D9:F10"/>
    <mergeCell ref="I9:J10"/>
    <mergeCell ref="K9:L9"/>
    <mergeCell ref="M9:N10"/>
    <mergeCell ref="F16:I17"/>
    <mergeCell ref="K6:L6"/>
    <mergeCell ref="C53:L53"/>
    <mergeCell ref="C54:L54"/>
    <mergeCell ref="C55:L55"/>
    <mergeCell ref="C56:L56"/>
    <mergeCell ref="C57:L57"/>
    <mergeCell ref="C63:L63"/>
    <mergeCell ref="M53:N53"/>
    <mergeCell ref="M55:N55"/>
    <mergeCell ref="M56:N56"/>
    <mergeCell ref="M57:N57"/>
    <mergeCell ref="M60:N60"/>
    <mergeCell ref="M59:N59"/>
    <mergeCell ref="M61:N61"/>
    <mergeCell ref="M62:N62"/>
    <mergeCell ref="M58:N58"/>
    <mergeCell ref="M54:N54"/>
    <mergeCell ref="C58:L58"/>
    <mergeCell ref="C59:L59"/>
    <mergeCell ref="C60:L60"/>
    <mergeCell ref="C61:L61"/>
    <mergeCell ref="C62:L62"/>
  </mergeCells>
  <dataValidations count="1">
    <dataValidation type="whole" allowBlank="1" showInputMessage="1" showErrorMessage="1" errorTitle="E-CODE" error="Enter number only" sqref="M4:O4">
      <formula1>1</formula1>
      <formula2>10000</formula2>
    </dataValidation>
  </dataValidations>
  <printOptions horizontalCentered="1"/>
  <pageMargins left="0.6" right="0.5" top="0.5" bottom="0.5" header="0.3" footer="0.3"/>
  <pageSetup paperSize="9" scale="94" orientation="portrait" r:id="rId1"/>
  <headerFooter>
    <oddFooter>&amp;LRev. #: 1.0&amp;RSheet: &amp;P/&amp;N</oddFooter>
  </headerFooter>
  <rowBreaks count="1" manualBreakCount="1">
    <brk id="48" max="14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>
                  <from>
                    <xdr:col>6</xdr:col>
                    <xdr:colOff>95250</xdr:colOff>
                    <xdr:row>18</xdr:row>
                    <xdr:rowOff>203200</xdr:rowOff>
                  </from>
                  <to>
                    <xdr:col>9</xdr:col>
                    <xdr:colOff>222250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>
                  <from>
                    <xdr:col>6</xdr:col>
                    <xdr:colOff>95250</xdr:colOff>
                    <xdr:row>20</xdr:row>
                    <xdr:rowOff>12700</xdr:rowOff>
                  </from>
                  <to>
                    <xdr:col>9</xdr:col>
                    <xdr:colOff>222250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>
                <anchor moveWithCells="1">
                  <from>
                    <xdr:col>9</xdr:col>
                    <xdr:colOff>190500</xdr:colOff>
                    <xdr:row>18</xdr:row>
                    <xdr:rowOff>203200</xdr:rowOff>
                  </from>
                  <to>
                    <xdr:col>12</xdr:col>
                    <xdr:colOff>190500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>
                <anchor moveWithCells="1">
                  <from>
                    <xdr:col>9</xdr:col>
                    <xdr:colOff>190500</xdr:colOff>
                    <xdr:row>20</xdr:row>
                    <xdr:rowOff>12700</xdr:rowOff>
                  </from>
                  <to>
                    <xdr:col>13</xdr:col>
                    <xdr:colOff>50800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Option Button 5">
              <controlPr defaultSize="0" autoFill="0" autoLine="0" autoPict="0" altText="Project/Contract based">
                <anchor moveWithCells="1">
                  <from>
                    <xdr:col>3</xdr:col>
                    <xdr:colOff>114300</xdr:colOff>
                    <xdr:row>12</xdr:row>
                    <xdr:rowOff>50800</xdr:rowOff>
                  </from>
                  <to>
                    <xdr:col>7</xdr:col>
                    <xdr:colOff>285750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Option Button 6">
              <controlPr defaultSize="0" autoFill="0" autoLine="0" autoPict="0" altText="Project/Contract based">
                <anchor moveWithCells="1">
                  <from>
                    <xdr:col>9</xdr:col>
                    <xdr:colOff>323850</xdr:colOff>
                    <xdr:row>12</xdr:row>
                    <xdr:rowOff>50800</xdr:rowOff>
                  </from>
                  <to>
                    <xdr:col>13</xdr:col>
                    <xdr:colOff>266700</xdr:colOff>
                    <xdr:row>13</xdr:row>
                    <xdr:rowOff>12700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Projects!$C$5:$C$46</xm:f>
          </x14:formula1>
          <xm:sqref>C4:J4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1"/>
  <sheetViews>
    <sheetView showGridLines="0" topLeftCell="A22" workbookViewId="0">
      <selection activeCell="H34" sqref="H34"/>
    </sheetView>
  </sheetViews>
  <sheetFormatPr defaultColWidth="8.7265625" defaultRowHeight="14.5" x14ac:dyDescent="0.35"/>
  <cols>
    <col min="1" max="1" width="0.7265625" customWidth="1"/>
    <col min="2" max="2" width="1.7265625" customWidth="1"/>
    <col min="3" max="3" width="13.1796875" customWidth="1"/>
    <col min="4" max="4" width="12.453125" customWidth="1"/>
    <col min="5" max="6" width="5.26953125" customWidth="1"/>
    <col min="7" max="7" width="1.453125" customWidth="1"/>
    <col min="8" max="8" width="5.26953125" customWidth="1"/>
    <col min="9" max="9" width="11.81640625" customWidth="1"/>
    <col min="10" max="10" width="5.26953125" customWidth="1"/>
    <col min="11" max="11" width="11" customWidth="1"/>
    <col min="12" max="13" width="5.7265625" customWidth="1"/>
    <col min="14" max="14" width="6.1796875" customWidth="1"/>
    <col min="15" max="15" width="11.26953125" bestFit="1" customWidth="1"/>
    <col min="16" max="16" width="8.453125" bestFit="1" customWidth="1"/>
  </cols>
  <sheetData>
    <row r="1" spans="2:14" ht="30.75" customHeight="1" x14ac:dyDescent="0.35">
      <c r="B1" s="58" t="s">
        <v>144</v>
      </c>
      <c r="C1" s="36"/>
      <c r="D1" s="184" t="s">
        <v>145</v>
      </c>
      <c r="E1" s="36"/>
      <c r="F1" s="36"/>
      <c r="G1" s="36"/>
      <c r="H1" s="36"/>
      <c r="I1" s="36"/>
      <c r="J1" s="36"/>
      <c r="K1" s="36"/>
      <c r="L1" s="36"/>
      <c r="M1" s="37"/>
      <c r="N1" s="36"/>
    </row>
    <row r="2" spans="2:14" s="24" customFormat="1" ht="10.5" x14ac:dyDescent="0.25">
      <c r="B2" s="185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60"/>
    </row>
    <row r="3" spans="2:14" s="1" customFormat="1" ht="22" customHeight="1" x14ac:dyDescent="0.3">
      <c r="B3" s="69"/>
      <c r="C3" s="15" t="s">
        <v>5</v>
      </c>
      <c r="D3" s="492" t="s">
        <v>179</v>
      </c>
      <c r="E3" s="492"/>
      <c r="F3" s="492"/>
      <c r="G3" s="492"/>
      <c r="H3" s="492"/>
      <c r="I3" s="492"/>
      <c r="J3" s="492"/>
      <c r="K3" s="492"/>
      <c r="L3" s="492"/>
      <c r="M3" s="492"/>
      <c r="N3" s="492"/>
    </row>
    <row r="4" spans="2:14" s="1" customFormat="1" ht="22" customHeight="1" x14ac:dyDescent="0.3">
      <c r="B4" s="69"/>
      <c r="C4" s="14" t="s">
        <v>3</v>
      </c>
      <c r="D4" s="53" t="s">
        <v>177</v>
      </c>
      <c r="E4" s="52"/>
      <c r="F4" s="52"/>
      <c r="G4" s="52"/>
      <c r="H4" s="52"/>
      <c r="I4" s="8"/>
      <c r="J4" s="8"/>
      <c r="K4" s="18" t="s">
        <v>12</v>
      </c>
      <c r="L4" s="23"/>
      <c r="M4" s="35"/>
      <c r="N4" s="186">
        <v>12</v>
      </c>
    </row>
    <row r="5" spans="2:14" s="1" customFormat="1" ht="22" customHeight="1" x14ac:dyDescent="0.3">
      <c r="B5" s="69"/>
      <c r="C5" s="14" t="s">
        <v>1</v>
      </c>
      <c r="D5" s="54" t="s">
        <v>180</v>
      </c>
      <c r="E5" s="52"/>
      <c r="F5" s="52"/>
      <c r="G5" s="52"/>
      <c r="H5" s="52"/>
      <c r="I5" s="22"/>
      <c r="J5" s="22"/>
      <c r="K5" s="18" t="s">
        <v>11</v>
      </c>
      <c r="L5" s="23"/>
      <c r="M5" s="35"/>
      <c r="N5" s="186">
        <v>12</v>
      </c>
    </row>
    <row r="6" spans="2:14" s="1" customFormat="1" ht="22" customHeight="1" x14ac:dyDescent="0.3">
      <c r="B6" s="69"/>
      <c r="C6" s="14" t="s">
        <v>2</v>
      </c>
      <c r="D6" s="54" t="s">
        <v>178</v>
      </c>
      <c r="E6" s="52"/>
      <c r="F6" s="52"/>
      <c r="G6" s="52"/>
      <c r="H6" s="52"/>
      <c r="I6" s="52"/>
      <c r="J6" s="52"/>
      <c r="K6" s="52"/>
      <c r="L6" s="23"/>
      <c r="M6" s="34"/>
      <c r="N6" s="187"/>
    </row>
    <row r="7" spans="2:14" s="1" customFormat="1" ht="22" customHeight="1" x14ac:dyDescent="0.5">
      <c r="B7" s="188"/>
      <c r="C7" s="14" t="s">
        <v>0</v>
      </c>
      <c r="D7" s="53" t="s">
        <v>181</v>
      </c>
      <c r="E7" s="51"/>
      <c r="F7" s="14" t="s">
        <v>101</v>
      </c>
      <c r="G7" s="31"/>
      <c r="H7" s="189"/>
      <c r="I7" s="31" t="s">
        <v>182</v>
      </c>
      <c r="J7" s="31"/>
      <c r="K7" s="18" t="s">
        <v>6</v>
      </c>
      <c r="L7" s="190"/>
      <c r="M7" s="56"/>
      <c r="N7" s="57"/>
    </row>
    <row r="8" spans="2:14" s="1" customFormat="1" ht="21.75" customHeight="1" x14ac:dyDescent="0.3">
      <c r="B8" s="69"/>
      <c r="C8" s="3" t="s">
        <v>146</v>
      </c>
      <c r="D8" s="191"/>
      <c r="E8" s="191"/>
      <c r="F8" s="191"/>
      <c r="G8" s="191"/>
      <c r="H8" s="191"/>
      <c r="I8" s="191"/>
      <c r="J8" s="191"/>
      <c r="K8" s="7"/>
      <c r="L8" s="192"/>
      <c r="M8" s="192"/>
      <c r="N8" s="193"/>
    </row>
    <row r="9" spans="2:14" s="68" customFormat="1" ht="48" customHeight="1" x14ac:dyDescent="0.3">
      <c r="B9" s="65"/>
      <c r="C9" s="194"/>
      <c r="D9" s="195"/>
      <c r="E9" s="195"/>
      <c r="F9" s="195"/>
      <c r="G9" s="195"/>
      <c r="H9" s="195"/>
      <c r="I9" s="195"/>
      <c r="J9" s="195"/>
      <c r="K9" s="196"/>
      <c r="L9" s="197"/>
      <c r="M9" s="197"/>
      <c r="N9" s="198"/>
    </row>
    <row r="10" spans="2:14" s="1" customFormat="1" ht="13" x14ac:dyDescent="0.3">
      <c r="B10" s="69"/>
      <c r="C10" s="3" t="s">
        <v>147</v>
      </c>
      <c r="E10" s="105"/>
      <c r="F10" s="105"/>
      <c r="G10" s="105"/>
      <c r="H10" s="105"/>
      <c r="I10" s="105"/>
      <c r="J10" s="105"/>
      <c r="L10" s="105"/>
      <c r="M10" s="105"/>
      <c r="N10" s="82"/>
    </row>
    <row r="11" spans="2:14" s="1" customFormat="1" ht="15.5" x14ac:dyDescent="0.35">
      <c r="B11" s="69"/>
      <c r="C11" s="12" t="s">
        <v>148</v>
      </c>
      <c r="E11" s="105"/>
      <c r="F11" s="105"/>
      <c r="G11" s="105"/>
      <c r="H11" s="105"/>
      <c r="I11" s="105"/>
      <c r="J11" s="105"/>
      <c r="L11" s="199"/>
      <c r="M11" s="105"/>
      <c r="N11" s="82"/>
    </row>
    <row r="12" spans="2:14" s="1" customFormat="1" ht="15.5" x14ac:dyDescent="0.35">
      <c r="B12" s="69"/>
      <c r="C12" s="12" t="s">
        <v>149</v>
      </c>
      <c r="E12" s="105"/>
      <c r="F12" s="105"/>
      <c r="G12" s="105"/>
      <c r="H12" s="105"/>
      <c r="I12" s="105"/>
      <c r="J12" s="105"/>
      <c r="L12" s="199"/>
      <c r="M12" s="105"/>
      <c r="N12" s="82"/>
    </row>
    <row r="13" spans="2:14" s="1" customFormat="1" ht="15.5" x14ac:dyDescent="0.35">
      <c r="B13" s="69"/>
      <c r="C13" s="12" t="s">
        <v>150</v>
      </c>
      <c r="E13" s="105"/>
      <c r="F13" s="105"/>
      <c r="G13" s="105"/>
      <c r="H13" s="105"/>
      <c r="I13" s="105"/>
      <c r="J13" s="105"/>
      <c r="L13" s="199"/>
      <c r="M13" s="105"/>
      <c r="N13" s="82"/>
    </row>
    <row r="14" spans="2:14" s="202" customFormat="1" ht="6.5" x14ac:dyDescent="0.15">
      <c r="B14" s="200"/>
      <c r="C14" s="201"/>
      <c r="E14" s="203"/>
      <c r="F14" s="203"/>
      <c r="G14" s="203"/>
      <c r="H14" s="203"/>
      <c r="I14" s="203"/>
      <c r="J14" s="203"/>
      <c r="L14" s="203"/>
      <c r="M14" s="203"/>
      <c r="N14" s="204"/>
    </row>
    <row r="15" spans="2:14" s="68" customFormat="1" ht="14.25" customHeight="1" x14ac:dyDescent="0.3">
      <c r="B15" s="65"/>
      <c r="C15" s="3" t="s">
        <v>151</v>
      </c>
      <c r="D15" s="67"/>
      <c r="E15" s="67"/>
      <c r="F15" s="67"/>
      <c r="G15" s="67"/>
      <c r="H15" s="67"/>
      <c r="I15" s="67"/>
      <c r="J15" s="67"/>
      <c r="K15" s="66"/>
      <c r="L15" s="205"/>
      <c r="M15" s="205"/>
      <c r="N15" s="206"/>
    </row>
    <row r="16" spans="2:14" s="68" customFormat="1" ht="18.75" customHeight="1" x14ac:dyDescent="0.3">
      <c r="B16" s="65"/>
      <c r="C16" s="207" t="s">
        <v>3</v>
      </c>
      <c r="D16" s="208"/>
      <c r="E16" s="208"/>
      <c r="F16" s="208"/>
      <c r="G16" s="208"/>
      <c r="H16" s="208"/>
      <c r="N16" s="206"/>
    </row>
    <row r="17" spans="2:14" s="68" customFormat="1" ht="20.25" customHeight="1" x14ac:dyDescent="0.3">
      <c r="B17" s="65"/>
      <c r="C17" s="207" t="s">
        <v>152</v>
      </c>
      <c r="D17" s="100"/>
      <c r="E17" s="100"/>
      <c r="F17" s="100"/>
      <c r="G17" s="209"/>
      <c r="H17" s="209"/>
      <c r="J17" s="207" t="s">
        <v>153</v>
      </c>
      <c r="K17" s="208"/>
      <c r="L17" s="210"/>
      <c r="M17" s="209"/>
      <c r="N17" s="206"/>
    </row>
    <row r="18" spans="2:14" s="24" customFormat="1" ht="10.5" x14ac:dyDescent="0.25">
      <c r="B18" s="211"/>
      <c r="C18" s="212"/>
      <c r="D18" s="213"/>
      <c r="E18" s="213"/>
      <c r="F18" s="213"/>
      <c r="G18" s="213"/>
      <c r="H18" s="213"/>
      <c r="I18" s="214"/>
      <c r="J18" s="213"/>
      <c r="K18" s="212"/>
      <c r="L18" s="215"/>
      <c r="M18" s="215"/>
      <c r="N18" s="216"/>
    </row>
    <row r="19" spans="2:14" s="202" customFormat="1" ht="6.5" x14ac:dyDescent="0.15">
      <c r="B19" s="217"/>
      <c r="C19" s="218"/>
      <c r="D19" s="219"/>
      <c r="E19" s="219"/>
      <c r="F19" s="219"/>
      <c r="G19" s="219"/>
      <c r="H19" s="219"/>
      <c r="I19" s="220"/>
      <c r="J19" s="219"/>
      <c r="K19" s="218"/>
      <c r="L19" s="221"/>
      <c r="M19" s="221"/>
      <c r="N19" s="222"/>
    </row>
    <row r="20" spans="2:14" s="1" customFormat="1" ht="18.5" x14ac:dyDescent="0.45">
      <c r="B20" s="142"/>
      <c r="C20" s="19" t="s">
        <v>102</v>
      </c>
      <c r="D20" s="223" t="s">
        <v>154</v>
      </c>
      <c r="K20" s="71"/>
      <c r="M20" s="13"/>
      <c r="N20" s="72"/>
    </row>
    <row r="21" spans="2:14" s="24" customFormat="1" ht="10.5" x14ac:dyDescent="0.25">
      <c r="B21" s="73"/>
      <c r="C21" s="74"/>
      <c r="D21" s="74"/>
      <c r="K21" s="76"/>
      <c r="M21" s="77"/>
      <c r="N21" s="78"/>
    </row>
    <row r="22" spans="2:14" s="24" customFormat="1" ht="18.5" x14ac:dyDescent="0.45">
      <c r="B22" s="142"/>
      <c r="C22" s="224" t="s">
        <v>155</v>
      </c>
      <c r="K22" s="79" t="s">
        <v>156</v>
      </c>
      <c r="L22" s="225">
        <v>60</v>
      </c>
      <c r="M22" s="66" t="s">
        <v>183</v>
      </c>
      <c r="N22" s="78"/>
    </row>
    <row r="23" spans="2:14" s="1" customFormat="1" x14ac:dyDescent="0.3">
      <c r="B23" s="69"/>
      <c r="C23" s="70" t="s">
        <v>157</v>
      </c>
      <c r="D23" s="94"/>
      <c r="N23" s="95"/>
    </row>
    <row r="24" spans="2:14" s="24" customFormat="1" ht="18.5" x14ac:dyDescent="0.45">
      <c r="B24" s="142"/>
      <c r="C24" s="226" t="s">
        <v>158</v>
      </c>
      <c r="E24" s="66"/>
      <c r="M24" s="77"/>
      <c r="N24" s="78"/>
    </row>
    <row r="25" spans="2:14" s="24" customFormat="1" ht="18.5" x14ac:dyDescent="0.45">
      <c r="B25" s="142"/>
      <c r="C25" s="79"/>
      <c r="D25" s="227" t="s">
        <v>159</v>
      </c>
      <c r="E25" s="66"/>
      <c r="K25" s="228">
        <v>1000000</v>
      </c>
      <c r="L25" s="135" t="s">
        <v>160</v>
      </c>
      <c r="M25" s="77"/>
      <c r="N25" s="78"/>
    </row>
    <row r="26" spans="2:14" s="24" customFormat="1" ht="18.5" x14ac:dyDescent="0.45">
      <c r="B26" s="142"/>
      <c r="C26" s="79"/>
      <c r="D26" s="227" t="s">
        <v>161</v>
      </c>
      <c r="E26" s="66"/>
      <c r="K26" s="228">
        <v>1000000</v>
      </c>
      <c r="L26" s="135" t="s">
        <v>160</v>
      </c>
      <c r="M26" s="77"/>
      <c r="N26" s="78"/>
    </row>
    <row r="27" spans="2:14" s="24" customFormat="1" ht="10.5" x14ac:dyDescent="0.25">
      <c r="B27" s="73"/>
      <c r="E27" s="135"/>
      <c r="K27" s="76"/>
      <c r="M27" s="77"/>
      <c r="N27" s="78"/>
    </row>
    <row r="28" spans="2:14" s="24" customFormat="1" x14ac:dyDescent="0.25">
      <c r="B28" s="73"/>
      <c r="C28" s="226" t="s">
        <v>162</v>
      </c>
      <c r="D28" s="229"/>
      <c r="E28" s="66"/>
      <c r="K28" s="76"/>
      <c r="M28" s="77"/>
      <c r="N28" s="78"/>
    </row>
    <row r="29" spans="2:14" s="24" customFormat="1" ht="10.5" x14ac:dyDescent="0.25">
      <c r="B29" s="73"/>
      <c r="C29" s="144"/>
      <c r="D29" s="230"/>
      <c r="E29" s="135"/>
      <c r="K29" s="76"/>
      <c r="M29" s="77"/>
      <c r="N29" s="78"/>
    </row>
    <row r="30" spans="2:14" s="1" customFormat="1" ht="18.5" x14ac:dyDescent="0.45">
      <c r="B30" s="142"/>
      <c r="C30" s="79" t="s">
        <v>104</v>
      </c>
      <c r="D30" s="231"/>
      <c r="H30" s="79" t="s">
        <v>105</v>
      </c>
      <c r="I30" s="231"/>
      <c r="K30" s="81" t="s">
        <v>163</v>
      </c>
      <c r="L30" s="493"/>
      <c r="M30" s="494"/>
      <c r="N30" s="82"/>
    </row>
    <row r="31" spans="2:14" s="24" customFormat="1" ht="10.5" x14ac:dyDescent="0.25">
      <c r="B31" s="73"/>
      <c r="C31" s="91"/>
      <c r="D31" s="92"/>
      <c r="G31" s="91"/>
      <c r="H31" s="93"/>
      <c r="I31" s="232" t="str">
        <f>IF(D30&gt;0,I30/D30,"")</f>
        <v/>
      </c>
      <c r="L31" s="233" t="s">
        <v>164</v>
      </c>
      <c r="M31" s="93"/>
      <c r="N31" s="88"/>
    </row>
    <row r="32" spans="2:14" s="1" customFormat="1" ht="51.75" customHeight="1" x14ac:dyDescent="0.3">
      <c r="B32" s="69"/>
      <c r="C32" s="5"/>
      <c r="D32" s="5"/>
      <c r="H32" s="5"/>
      <c r="I32" s="5"/>
      <c r="K32" s="5"/>
      <c r="L32" s="5"/>
      <c r="M32" s="5"/>
      <c r="N32" s="153"/>
    </row>
    <row r="33" spans="2:14" s="1" customFormat="1" ht="25.5" customHeight="1" x14ac:dyDescent="0.3">
      <c r="B33" s="69"/>
      <c r="C33" s="499" t="s">
        <v>185</v>
      </c>
      <c r="D33" s="499"/>
      <c r="E33" s="28"/>
      <c r="F33" s="28"/>
      <c r="G33" s="28"/>
      <c r="H33" s="495" t="s">
        <v>187</v>
      </c>
      <c r="I33" s="496"/>
      <c r="J33" s="277"/>
      <c r="K33" s="497" t="s">
        <v>184</v>
      </c>
      <c r="L33" s="497"/>
      <c r="M33" s="497"/>
      <c r="N33" s="498"/>
    </row>
    <row r="34" spans="2:14" s="1" customFormat="1" ht="13" x14ac:dyDescent="0.3">
      <c r="B34" s="179"/>
      <c r="C34" s="5"/>
      <c r="D34" s="182"/>
      <c r="E34" s="234"/>
      <c r="F34" s="234"/>
      <c r="G34" s="234"/>
      <c r="H34" s="235"/>
      <c r="I34" s="235"/>
      <c r="J34" s="5"/>
      <c r="K34" s="5"/>
      <c r="L34" s="235"/>
      <c r="M34" s="235"/>
      <c r="N34" s="236"/>
    </row>
    <row r="35" spans="2:14" s="202" customFormat="1" ht="6.5" x14ac:dyDescent="0.15">
      <c r="B35" s="200"/>
      <c r="D35" s="237"/>
      <c r="E35" s="238"/>
      <c r="F35" s="238"/>
      <c r="G35" s="238"/>
      <c r="H35" s="239"/>
      <c r="I35" s="239"/>
      <c r="L35" s="239"/>
      <c r="M35" s="239"/>
      <c r="N35" s="240"/>
    </row>
    <row r="36" spans="2:14" s="1" customFormat="1" ht="15.5" x14ac:dyDescent="0.3">
      <c r="B36" s="69"/>
      <c r="C36" s="19" t="s">
        <v>135</v>
      </c>
      <c r="D36" s="223" t="s">
        <v>165</v>
      </c>
      <c r="E36" s="28"/>
      <c r="F36" s="28"/>
      <c r="G36" s="28"/>
      <c r="H36" s="30"/>
      <c r="I36" s="30"/>
      <c r="L36" s="30"/>
      <c r="M36" s="30"/>
      <c r="N36" s="154"/>
    </row>
    <row r="37" spans="2:14" s="1" customFormat="1" ht="13" x14ac:dyDescent="0.3">
      <c r="B37" s="69"/>
      <c r="D37" s="13"/>
      <c r="E37" s="28"/>
      <c r="F37" s="28"/>
      <c r="G37" s="28"/>
      <c r="H37" s="30"/>
      <c r="I37" s="30"/>
      <c r="L37" s="30"/>
      <c r="M37" s="30"/>
      <c r="N37" s="154"/>
    </row>
    <row r="38" spans="2:14" s="1" customFormat="1" x14ac:dyDescent="0.3">
      <c r="B38" s="69"/>
      <c r="C38" s="106" t="s">
        <v>166</v>
      </c>
      <c r="D38" s="231"/>
      <c r="F38" s="28"/>
      <c r="G38" s="28"/>
      <c r="H38" s="106" t="s">
        <v>167</v>
      </c>
      <c r="I38" s="231"/>
      <c r="L38" s="235"/>
      <c r="M38" s="235"/>
      <c r="N38" s="236"/>
    </row>
    <row r="39" spans="2:14" s="1" customFormat="1" ht="13" x14ac:dyDescent="0.3">
      <c r="B39" s="69"/>
      <c r="D39" s="13"/>
      <c r="E39" s="28"/>
      <c r="F39" s="28"/>
      <c r="G39" s="28"/>
      <c r="H39" s="30"/>
      <c r="I39" s="30"/>
      <c r="L39" s="30" t="s">
        <v>168</v>
      </c>
      <c r="M39" s="30"/>
      <c r="N39" s="154"/>
    </row>
    <row r="40" spans="2:14" s="24" customFormat="1" ht="10.5" x14ac:dyDescent="0.25">
      <c r="B40" s="149"/>
      <c r="C40" s="150"/>
      <c r="D40" s="155"/>
      <c r="E40" s="156"/>
      <c r="F40" s="156"/>
      <c r="G40" s="156"/>
      <c r="H40" s="157"/>
      <c r="I40" s="157"/>
      <c r="J40" s="150"/>
      <c r="K40" s="150"/>
      <c r="L40" s="157"/>
      <c r="M40" s="157"/>
      <c r="N40" s="159"/>
    </row>
    <row r="41" spans="2:14" s="1" customFormat="1" ht="13" x14ac:dyDescent="0.3">
      <c r="D41" s="112"/>
      <c r="E41" s="3"/>
      <c r="F41" s="3"/>
      <c r="G41" s="3"/>
      <c r="H41" s="3"/>
      <c r="I41" s="3"/>
      <c r="J41" s="3"/>
      <c r="K41" s="13"/>
      <c r="L41" s="3"/>
      <c r="M41" s="3"/>
      <c r="N41" s="13"/>
    </row>
  </sheetData>
  <sheetProtection selectLockedCells="1"/>
  <mergeCells count="5">
    <mergeCell ref="D3:N3"/>
    <mergeCell ref="L30:M30"/>
    <mergeCell ref="H33:I33"/>
    <mergeCell ref="K33:N33"/>
    <mergeCell ref="C33:D33"/>
  </mergeCells>
  <printOptions horizontalCentered="1"/>
  <pageMargins left="0.6" right="0.5" top="0.5" bottom="0.75" header="0.3" footer="0.3"/>
  <pageSetup paperSize="9" orientation="portrait" r:id="rId1"/>
  <headerFooter>
    <oddFooter>&amp;LRev. #: 1.0&amp;RSheet: &amp;P/&amp;N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Projects!$C$5:$C$46</xm:f>
          </x14:formula1>
          <xm:sqref>D3:N3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8"/>
  <sheetViews>
    <sheetView showGridLines="0" zoomScaleNormal="100" workbookViewId="0">
      <pane xSplit="15" ySplit="4" topLeftCell="P5" activePane="bottomRight" state="frozen"/>
      <selection pane="topRight" activeCell="P1" sqref="P1"/>
      <selection pane="bottomLeft" activeCell="A6" sqref="A6"/>
      <selection pane="bottomRight" activeCell="Q1" sqref="Q1:S1048576"/>
    </sheetView>
  </sheetViews>
  <sheetFormatPr defaultColWidth="8.7265625" defaultRowHeight="14.5" x14ac:dyDescent="0.35"/>
  <cols>
    <col min="1" max="1" width="2.453125" customWidth="1"/>
    <col min="2" max="2" width="13.453125" customWidth="1"/>
    <col min="3" max="3" width="12.453125" customWidth="1"/>
    <col min="4" max="5" width="5.26953125" customWidth="1"/>
    <col min="6" max="6" width="1.453125" customWidth="1"/>
    <col min="7" max="9" width="5.26953125" customWidth="1"/>
    <col min="10" max="10" width="5.453125" customWidth="1"/>
    <col min="11" max="11" width="4.453125" customWidth="1"/>
    <col min="12" max="12" width="5.453125" customWidth="1"/>
    <col min="13" max="14" width="5.7265625" customWidth="1"/>
    <col min="15" max="15" width="8.26953125" customWidth="1"/>
    <col min="17" max="17" width="11.453125" hidden="1" customWidth="1"/>
    <col min="18" max="18" width="8.7265625" hidden="1" customWidth="1"/>
    <col min="19" max="19" width="9.26953125" hidden="1" customWidth="1"/>
    <col min="20" max="20" width="9.26953125" customWidth="1"/>
    <col min="21" max="21" width="11.26953125" bestFit="1" customWidth="1"/>
    <col min="22" max="22" width="6.81640625" bestFit="1" customWidth="1"/>
  </cols>
  <sheetData>
    <row r="1" spans="1:18" ht="30.75" customHeight="1" x14ac:dyDescent="0.35">
      <c r="A1" s="58" t="s">
        <v>169</v>
      </c>
      <c r="B1" s="36"/>
      <c r="C1" s="38" t="s">
        <v>170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  <c r="O1" s="36"/>
      <c r="P1" s="11"/>
    </row>
    <row r="2" spans="1:18" s="24" customFormat="1" ht="10.5" x14ac:dyDescent="0.25">
      <c r="A2" s="185"/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2"/>
      <c r="P2" s="27"/>
    </row>
    <row r="3" spans="1:18" ht="25.5" customHeight="1" x14ac:dyDescent="0.45">
      <c r="A3" s="61"/>
      <c r="B3" s="16" t="s">
        <v>3</v>
      </c>
      <c r="C3" s="486"/>
      <c r="D3" s="487"/>
      <c r="E3" s="487"/>
      <c r="F3" s="487"/>
      <c r="G3" s="487"/>
      <c r="H3" s="487"/>
      <c r="I3" s="18"/>
      <c r="J3" s="62"/>
      <c r="K3" s="486"/>
      <c r="L3" s="487"/>
      <c r="M3" s="487"/>
      <c r="N3" s="487"/>
      <c r="O3" s="488"/>
      <c r="P3" s="63"/>
      <c r="R3" s="9"/>
    </row>
    <row r="4" spans="1:18" s="1" customFormat="1" ht="23.5" x14ac:dyDescent="0.55000000000000004">
      <c r="A4" s="61"/>
      <c r="B4" s="16" t="s">
        <v>5</v>
      </c>
      <c r="C4" s="479"/>
      <c r="D4" s="480"/>
      <c r="E4" s="480"/>
      <c r="F4" s="480"/>
      <c r="G4" s="480"/>
      <c r="H4" s="480"/>
      <c r="I4" s="480"/>
      <c r="J4" s="481"/>
      <c r="K4" s="14" t="s">
        <v>99</v>
      </c>
      <c r="L4" s="14"/>
      <c r="M4" s="489"/>
      <c r="N4" s="490"/>
      <c r="O4" s="491"/>
      <c r="P4" s="64"/>
    </row>
    <row r="5" spans="1:18" s="1" customFormat="1" ht="23.5" x14ac:dyDescent="0.55000000000000004">
      <c r="A5" s="61"/>
      <c r="B5" s="16" t="s">
        <v>100</v>
      </c>
      <c r="C5" s="479"/>
      <c r="D5" s="480"/>
      <c r="E5" s="480"/>
      <c r="F5" s="480"/>
      <c r="G5" s="480"/>
      <c r="H5" s="480"/>
      <c r="I5" s="480"/>
      <c r="J5" s="481"/>
      <c r="K5" s="18" t="s">
        <v>171</v>
      </c>
      <c r="L5" s="16"/>
      <c r="M5" s="500"/>
      <c r="N5" s="501"/>
      <c r="O5" s="502"/>
      <c r="P5" s="64"/>
    </row>
    <row r="6" spans="1:18" s="249" customFormat="1" ht="5.5" x14ac:dyDescent="0.15">
      <c r="A6" s="243"/>
      <c r="B6" s="244"/>
      <c r="C6" s="245"/>
      <c r="D6" s="245"/>
      <c r="E6" s="245"/>
      <c r="F6" s="245"/>
      <c r="G6" s="245"/>
      <c r="H6" s="245"/>
      <c r="I6" s="245"/>
      <c r="J6" s="245"/>
      <c r="K6" s="246"/>
      <c r="L6" s="246"/>
      <c r="M6" s="247"/>
      <c r="N6" s="247"/>
      <c r="O6" s="248"/>
    </row>
    <row r="7" spans="1:18" s="68" customFormat="1" ht="15.5" x14ac:dyDescent="0.35">
      <c r="A7" s="250"/>
      <c r="B7" s="251" t="s">
        <v>102</v>
      </c>
      <c r="C7" s="50" t="s">
        <v>172</v>
      </c>
      <c r="D7" s="208"/>
      <c r="E7" s="208"/>
      <c r="F7" s="208"/>
      <c r="G7" s="208"/>
      <c r="H7" s="208"/>
      <c r="I7" s="208"/>
      <c r="J7" s="100"/>
      <c r="K7" s="100"/>
      <c r="L7" s="100"/>
      <c r="M7" s="100"/>
      <c r="N7" s="100"/>
      <c r="O7" s="101"/>
      <c r="P7"/>
    </row>
    <row r="8" spans="1:18" s="1" customFormat="1" ht="23.5" x14ac:dyDescent="0.55000000000000004">
      <c r="A8" s="61"/>
      <c r="B8" s="16" t="s">
        <v>5</v>
      </c>
      <c r="C8" s="479"/>
      <c r="D8" s="480"/>
      <c r="E8" s="480"/>
      <c r="F8" s="480"/>
      <c r="G8" s="480"/>
      <c r="H8" s="480"/>
      <c r="I8" s="480"/>
      <c r="J8" s="481"/>
      <c r="K8" s="503" t="s">
        <v>190</v>
      </c>
      <c r="L8" s="504"/>
      <c r="M8" s="507"/>
      <c r="N8" s="508"/>
      <c r="O8" s="509"/>
      <c r="P8" s="64"/>
    </row>
    <row r="9" spans="1:18" s="1" customFormat="1" ht="23.5" x14ac:dyDescent="0.55000000000000004">
      <c r="A9" s="61"/>
      <c r="B9" s="16" t="s">
        <v>152</v>
      </c>
      <c r="C9" s="486"/>
      <c r="D9" s="487"/>
      <c r="E9" s="487"/>
      <c r="F9" s="487"/>
      <c r="G9" s="488"/>
      <c r="H9" s="252"/>
      <c r="I9" s="252"/>
      <c r="J9" s="252"/>
      <c r="K9" s="23"/>
      <c r="L9" s="23"/>
      <c r="M9" s="253"/>
      <c r="N9" s="253"/>
      <c r="O9" s="254"/>
      <c r="P9" s="64"/>
    </row>
    <row r="10" spans="1:18" s="1" customFormat="1" ht="58.9" customHeight="1" x14ac:dyDescent="0.55000000000000004">
      <c r="A10" s="255" t="s">
        <v>173</v>
      </c>
      <c r="B10" s="21"/>
      <c r="C10" s="256"/>
      <c r="D10" s="256"/>
      <c r="E10" s="256"/>
      <c r="F10" s="256"/>
      <c r="G10" s="256"/>
      <c r="H10" s="256"/>
      <c r="I10" s="256"/>
      <c r="J10" s="256"/>
      <c r="K10" s="21"/>
      <c r="L10" s="21"/>
      <c r="M10" s="257"/>
      <c r="N10" s="257"/>
      <c r="O10" s="258"/>
      <c r="P10" s="64"/>
    </row>
    <row r="11" spans="1:18" s="1" customFormat="1" x14ac:dyDescent="0.3">
      <c r="A11" s="259"/>
      <c r="B11" s="260" t="s">
        <v>151</v>
      </c>
      <c r="C11" s="261"/>
      <c r="D11" s="261"/>
      <c r="E11" s="261"/>
      <c r="F11" s="261"/>
      <c r="G11" s="261"/>
      <c r="H11" s="261"/>
      <c r="I11" s="262"/>
      <c r="J11" s="260" t="s">
        <v>152</v>
      </c>
      <c r="K11" s="263"/>
      <c r="L11" s="263"/>
      <c r="M11" s="264"/>
      <c r="N11" s="264"/>
      <c r="O11" s="265"/>
    </row>
    <row r="12" spans="1:18" s="1" customFormat="1" ht="28.5" x14ac:dyDescent="0.65">
      <c r="A12" s="266"/>
      <c r="B12" s="263"/>
      <c r="C12" s="261"/>
      <c r="D12" s="261"/>
      <c r="E12" s="261"/>
      <c r="F12" s="261"/>
      <c r="G12" s="261"/>
      <c r="H12" s="261"/>
      <c r="I12" s="261"/>
      <c r="J12" s="267" t="s">
        <v>153</v>
      </c>
      <c r="K12" s="263"/>
      <c r="L12" s="263"/>
      <c r="M12" s="264"/>
      <c r="N12" s="264"/>
      <c r="O12" s="265"/>
      <c r="P12" s="268"/>
    </row>
    <row r="13" spans="1:18" s="1" customFormat="1" ht="5.15" customHeight="1" x14ac:dyDescent="0.45">
      <c r="A13" s="160"/>
      <c r="B13" s="162"/>
      <c r="C13" s="269"/>
      <c r="D13" s="270"/>
      <c r="E13" s="270"/>
      <c r="F13" s="270"/>
      <c r="G13" s="270"/>
      <c r="H13" s="270"/>
      <c r="I13" s="271"/>
      <c r="J13" s="270"/>
      <c r="K13" s="269"/>
      <c r="L13" s="272"/>
      <c r="M13" s="272"/>
      <c r="N13" s="272"/>
      <c r="O13" s="104"/>
      <c r="P13" s="20"/>
      <c r="Q13" s="83"/>
      <c r="R13" s="84"/>
    </row>
    <row r="14" spans="1:18" s="24" customFormat="1" ht="15.5" x14ac:dyDescent="0.3">
      <c r="A14" s="69"/>
      <c r="B14" s="19" t="s">
        <v>135</v>
      </c>
      <c r="C14" s="70" t="s">
        <v>103</v>
      </c>
      <c r="D14" s="1"/>
      <c r="E14" s="1"/>
      <c r="F14" s="1"/>
      <c r="G14" s="1"/>
      <c r="H14" s="1"/>
      <c r="I14" s="1"/>
      <c r="J14" s="1"/>
      <c r="K14" s="67"/>
      <c r="L14" s="1"/>
      <c r="M14" s="1"/>
      <c r="N14" s="13"/>
      <c r="O14" s="88"/>
      <c r="Q14" s="89"/>
      <c r="R14" s="90"/>
    </row>
    <row r="15" spans="1:18" s="24" customFormat="1" ht="10.5" x14ac:dyDescent="0.25">
      <c r="A15" s="73"/>
      <c r="B15" s="74"/>
      <c r="C15" s="74"/>
      <c r="H15" s="75">
        <f>IF(C16&gt;0,G16/C16,"")</f>
        <v>0.43729786361772877</v>
      </c>
      <c r="K15" s="76"/>
      <c r="L15" s="75">
        <f>IF(C16&gt;0,K16/C16,"")</f>
        <v>0.3826356306655127</v>
      </c>
      <c r="N15" s="77"/>
      <c r="O15" s="88"/>
      <c r="Q15" s="89"/>
      <c r="R15" s="90"/>
    </row>
    <row r="16" spans="1:18" s="1" customFormat="1" ht="18.75" customHeight="1" x14ac:dyDescent="0.45">
      <c r="A16" s="69"/>
      <c r="B16" s="79" t="s">
        <v>104</v>
      </c>
      <c r="C16" s="80">
        <v>109765</v>
      </c>
      <c r="D16" s="471" t="s">
        <v>105</v>
      </c>
      <c r="E16" s="471"/>
      <c r="F16" s="471"/>
      <c r="G16" s="463">
        <v>48000</v>
      </c>
      <c r="H16" s="464"/>
      <c r="I16" s="471" t="s">
        <v>189</v>
      </c>
      <c r="J16" s="471"/>
      <c r="K16" s="473">
        <v>42000</v>
      </c>
      <c r="L16" s="473"/>
      <c r="M16" s="474" t="s">
        <v>106</v>
      </c>
      <c r="N16" s="474"/>
      <c r="O16" s="80">
        <v>23</v>
      </c>
      <c r="P16" s="20"/>
      <c r="Q16" s="83" t="s">
        <v>109</v>
      </c>
      <c r="R16" s="96">
        <v>1</v>
      </c>
    </row>
    <row r="17" spans="1:25" s="68" customFormat="1" x14ac:dyDescent="0.3">
      <c r="A17" s="69"/>
      <c r="B17" s="79"/>
      <c r="C17" s="85"/>
      <c r="D17" s="472"/>
      <c r="E17" s="472"/>
      <c r="F17" s="472"/>
      <c r="G17" s="86"/>
      <c r="H17" s="86"/>
      <c r="I17" s="472"/>
      <c r="J17" s="472"/>
      <c r="K17" s="1"/>
      <c r="L17" s="81"/>
      <c r="M17" s="475"/>
      <c r="N17" s="475"/>
      <c r="O17" s="101"/>
      <c r="R17" s="66"/>
    </row>
    <row r="18" spans="1:25" s="1" customFormat="1" ht="39" x14ac:dyDescent="0.45">
      <c r="A18" s="73"/>
      <c r="B18" s="87" t="s">
        <v>107</v>
      </c>
      <c r="C18" s="465"/>
      <c r="D18" s="466"/>
      <c r="E18" s="466"/>
      <c r="F18" s="466"/>
      <c r="G18" s="466"/>
      <c r="H18" s="466"/>
      <c r="I18" s="466"/>
      <c r="J18" s="466"/>
      <c r="K18" s="466"/>
      <c r="L18" s="466"/>
      <c r="M18" s="466"/>
      <c r="N18" s="466"/>
      <c r="O18" s="4"/>
      <c r="P18" s="20"/>
      <c r="Q18" s="105"/>
    </row>
    <row r="19" spans="1:25" s="24" customFormat="1" ht="10.5" x14ac:dyDescent="0.25">
      <c r="A19" s="73"/>
      <c r="B19" s="91"/>
      <c r="C19" s="92"/>
      <c r="F19" s="91"/>
      <c r="G19" s="93"/>
      <c r="H19" s="75"/>
      <c r="L19" s="91"/>
      <c r="M19" s="93"/>
      <c r="N19" s="93"/>
      <c r="O19" s="273"/>
    </row>
    <row r="20" spans="1:25" s="68" customFormat="1" x14ac:dyDescent="0.3">
      <c r="A20" s="69"/>
      <c r="B20" s="1"/>
      <c r="C20" s="94" t="s">
        <v>108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15"/>
      <c r="S20" s="116" t="s">
        <v>116</v>
      </c>
      <c r="W20" s="1"/>
      <c r="X20" s="1"/>
      <c r="Y20" s="1"/>
    </row>
    <row r="21" spans="1:25" s="1" customFormat="1" ht="18.5" x14ac:dyDescent="0.45">
      <c r="A21" s="97"/>
      <c r="B21" s="98"/>
      <c r="C21" s="99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1"/>
      <c r="P21" s="20"/>
      <c r="Q21" s="122" t="s">
        <v>118</v>
      </c>
      <c r="R21" s="123">
        <v>3.56E-2</v>
      </c>
      <c r="S21" s="124" t="b">
        <v>1</v>
      </c>
      <c r="V21" s="81"/>
    </row>
    <row r="22" spans="1:25" s="1" customFormat="1" ht="18.5" x14ac:dyDescent="0.45">
      <c r="A22" s="102"/>
      <c r="B22" s="103" t="s">
        <v>110</v>
      </c>
      <c r="C22" s="103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82"/>
      <c r="P22" s="20"/>
      <c r="Q22" s="122" t="s">
        <v>121</v>
      </c>
      <c r="R22" s="123">
        <v>2.7799999999999998E-2</v>
      </c>
      <c r="S22" s="124" t="b">
        <v>1</v>
      </c>
    </row>
    <row r="23" spans="1:25" s="1" customFormat="1" ht="18.5" x14ac:dyDescent="0.45">
      <c r="A23" s="69"/>
      <c r="B23" s="81" t="s">
        <v>111</v>
      </c>
      <c r="C23" s="106" t="s">
        <v>112</v>
      </c>
      <c r="D23" s="107"/>
      <c r="G23" s="108"/>
      <c r="I23" s="106" t="s">
        <v>113</v>
      </c>
      <c r="J23" s="109"/>
      <c r="N23" s="106" t="s">
        <v>114</v>
      </c>
      <c r="O23" s="109"/>
      <c r="P23" s="20"/>
      <c r="Q23" s="127" t="s">
        <v>122</v>
      </c>
      <c r="R23" s="123">
        <v>5.33E-2</v>
      </c>
      <c r="S23" s="124" t="b">
        <v>1</v>
      </c>
    </row>
    <row r="24" spans="1:25" s="1" customFormat="1" ht="18.5" x14ac:dyDescent="0.45">
      <c r="A24" s="110"/>
      <c r="B24" s="111"/>
      <c r="C24" s="13" t="s">
        <v>115</v>
      </c>
      <c r="D24" s="112" t="s">
        <v>116</v>
      </c>
      <c r="E24" s="6"/>
      <c r="F24" s="113"/>
      <c r="G24" s="108"/>
      <c r="H24" s="114"/>
      <c r="I24" s="108"/>
      <c r="J24" s="108"/>
      <c r="K24" s="68"/>
      <c r="L24" s="68"/>
      <c r="M24" s="114"/>
      <c r="N24" s="68"/>
      <c r="O24" s="82"/>
      <c r="P24" s="20"/>
      <c r="Q24" s="127" t="s">
        <v>124</v>
      </c>
      <c r="R24" s="123">
        <v>8.3299999999999999E-2</v>
      </c>
      <c r="S24" s="124" t="b">
        <v>1</v>
      </c>
    </row>
    <row r="25" spans="1:25" s="24" customFormat="1" ht="15.5" x14ac:dyDescent="0.35">
      <c r="A25" s="110"/>
      <c r="B25" s="117" t="s">
        <v>117</v>
      </c>
      <c r="C25" s="118">
        <f>IF(AptType=1,ROUND(K16/1.2,0),"")</f>
        <v>35000</v>
      </c>
      <c r="D25" s="119">
        <f>C25</f>
        <v>35000</v>
      </c>
      <c r="E25" s="120"/>
      <c r="F25" s="121"/>
      <c r="G25" s="1"/>
      <c r="H25" s="1"/>
      <c r="I25" s="1"/>
      <c r="J25" s="1"/>
      <c r="K25" s="1"/>
      <c r="L25" s="1"/>
      <c r="M25" s="1"/>
      <c r="N25" s="1"/>
      <c r="O25" s="88"/>
      <c r="R25" s="135"/>
    </row>
    <row r="26" spans="1:25" s="1" customFormat="1" ht="15.5" x14ac:dyDescent="0.35">
      <c r="A26" s="110"/>
      <c r="B26" s="117" t="s">
        <v>119</v>
      </c>
      <c r="C26" s="118">
        <f>IF(AptType=1,K16-C25,"")</f>
        <v>7000</v>
      </c>
      <c r="D26" s="119">
        <f>IFERROR(ROUND(S26*5*C26,0),"")</f>
        <v>7000</v>
      </c>
      <c r="E26" s="120"/>
      <c r="F26" s="121"/>
      <c r="G26" s="125" t="s">
        <v>120</v>
      </c>
      <c r="O26" s="82"/>
      <c r="P26" s="10"/>
      <c r="Q26" s="139" t="s">
        <v>123</v>
      </c>
      <c r="R26" s="140">
        <f>SUM(R21:R25)</f>
        <v>0.2</v>
      </c>
      <c r="S26" s="141">
        <f>SUMIFS(R21:R24,S21:S24,TRUE)</f>
        <v>0.2</v>
      </c>
    </row>
    <row r="27" spans="1:25" s="1" customFormat="1" ht="15.5" x14ac:dyDescent="0.35">
      <c r="A27" s="110"/>
      <c r="B27" s="126"/>
      <c r="C27" s="118">
        <f>IF(AptType=1,O16,"")</f>
        <v>23</v>
      </c>
      <c r="D27" s="119">
        <f>C27</f>
        <v>23</v>
      </c>
      <c r="E27" s="120"/>
      <c r="F27" s="121"/>
      <c r="O27" s="82"/>
      <c r="R27" s="7"/>
    </row>
    <row r="28" spans="1:25" s="24" customFormat="1" ht="15.5" x14ac:dyDescent="0.35">
      <c r="A28" s="110"/>
      <c r="B28" s="128" t="s">
        <v>123</v>
      </c>
      <c r="C28" s="129">
        <f>SUM(C25:C27)</f>
        <v>42023</v>
      </c>
      <c r="D28" s="130">
        <f>SUM(D25:D27)</f>
        <v>42023</v>
      </c>
      <c r="E28" s="131"/>
      <c r="F28" s="121"/>
      <c r="G28" s="1"/>
      <c r="H28" s="1"/>
      <c r="I28" s="1"/>
      <c r="J28" s="1"/>
      <c r="K28" s="1"/>
      <c r="L28" s="1"/>
      <c r="M28" s="1"/>
      <c r="N28" s="1"/>
      <c r="O28" s="88"/>
      <c r="R28" s="135"/>
    </row>
    <row r="29" spans="1:25" s="1" customFormat="1" ht="13" x14ac:dyDescent="0.3">
      <c r="A29" s="73"/>
      <c r="B29" s="132"/>
      <c r="C29" s="133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146"/>
      <c r="Q29" s="106" t="s">
        <v>131</v>
      </c>
      <c r="R29" s="147">
        <f>12+1+1/1.8+0.14</f>
        <v>13.695555555555556</v>
      </c>
      <c r="S29" s="148"/>
    </row>
    <row r="30" spans="1:25" s="1" customFormat="1" ht="15.5" x14ac:dyDescent="0.35">
      <c r="A30" s="110"/>
      <c r="B30" s="136" t="s">
        <v>125</v>
      </c>
      <c r="I30" s="137"/>
      <c r="J30" s="137"/>
      <c r="K30" s="137"/>
      <c r="L30" s="137"/>
      <c r="M30" s="137"/>
      <c r="N30" s="106" t="s">
        <v>126</v>
      </c>
      <c r="O30" s="138">
        <v>9</v>
      </c>
      <c r="X30" s="126"/>
    </row>
    <row r="31" spans="1:25" s="24" customFormat="1" ht="18.5" x14ac:dyDescent="0.45">
      <c r="A31" s="142"/>
      <c r="B31" s="33" t="s">
        <v>127</v>
      </c>
      <c r="C31" s="143"/>
      <c r="D31" s="1"/>
      <c r="E31" s="1"/>
      <c r="F31" s="1"/>
      <c r="G31" s="105"/>
      <c r="H31" s="105"/>
      <c r="I31" s="1"/>
      <c r="J31" s="105"/>
      <c r="K31" s="137"/>
      <c r="L31" s="1"/>
      <c r="M31" s="1"/>
      <c r="N31" s="1"/>
      <c r="O31" s="88"/>
      <c r="X31" s="152"/>
    </row>
    <row r="32" spans="1:25" s="1" customFormat="1" ht="13" x14ac:dyDescent="0.3">
      <c r="A32" s="73"/>
      <c r="B32" s="144"/>
      <c r="C32" s="145"/>
      <c r="D32" s="24"/>
      <c r="E32" s="24"/>
      <c r="F32" s="24"/>
      <c r="G32" s="132"/>
      <c r="H32" s="132"/>
      <c r="I32" s="24"/>
      <c r="J32" s="132"/>
      <c r="K32" s="145"/>
      <c r="L32" s="24"/>
      <c r="M32" s="24"/>
      <c r="N32" s="24"/>
      <c r="O32" s="82"/>
    </row>
    <row r="33" spans="1:16" s="1" customFormat="1" ht="13" x14ac:dyDescent="0.3">
      <c r="A33" s="69"/>
      <c r="C33" s="128" t="s">
        <v>128</v>
      </c>
      <c r="D33" s="55"/>
      <c r="E33" s="1" t="s">
        <v>129</v>
      </c>
      <c r="I33" s="55"/>
      <c r="J33" s="7" t="s">
        <v>130</v>
      </c>
      <c r="K33" s="105"/>
      <c r="L33" s="137"/>
      <c r="M33" s="55"/>
      <c r="N33" s="1" t="s">
        <v>121</v>
      </c>
      <c r="O33" s="82"/>
    </row>
    <row r="34" spans="1:16" s="1" customFormat="1" ht="13" x14ac:dyDescent="0.3">
      <c r="A34" s="69"/>
      <c r="D34" s="55"/>
      <c r="E34" s="9" t="s">
        <v>132</v>
      </c>
      <c r="F34" s="9"/>
      <c r="I34" s="55"/>
      <c r="J34" s="7" t="s">
        <v>133</v>
      </c>
      <c r="K34" s="105"/>
      <c r="L34" s="137"/>
      <c r="M34" s="55"/>
      <c r="N34" s="25" t="s">
        <v>134</v>
      </c>
      <c r="O34" s="82"/>
    </row>
    <row r="35" spans="1:16" s="1" customFormat="1" ht="13" x14ac:dyDescent="0.3">
      <c r="A35" s="149"/>
      <c r="B35" s="150"/>
      <c r="C35" s="150"/>
      <c r="D35" s="151"/>
      <c r="E35" s="151"/>
      <c r="F35" s="151"/>
      <c r="G35" s="151"/>
      <c r="H35" s="151"/>
      <c r="I35" s="151"/>
      <c r="J35" s="151"/>
      <c r="K35" s="150"/>
      <c r="L35" s="151"/>
      <c r="M35" s="151"/>
      <c r="N35" s="151"/>
      <c r="O35" s="153"/>
    </row>
    <row r="36" spans="1:16" s="1" customFormat="1" ht="13" x14ac:dyDescent="0.3">
      <c r="A36" s="102"/>
      <c r="B36" s="32"/>
      <c r="C36" s="32"/>
      <c r="D36" s="274"/>
      <c r="E36" s="274"/>
      <c r="F36" s="274"/>
      <c r="G36" s="274"/>
      <c r="H36" s="274"/>
      <c r="I36" s="274"/>
      <c r="J36" s="274"/>
      <c r="K36" s="32"/>
      <c r="L36" s="274"/>
      <c r="M36" s="274"/>
      <c r="N36" s="274"/>
      <c r="O36" s="275"/>
    </row>
    <row r="37" spans="1:16" s="24" customFormat="1" ht="13" x14ac:dyDescent="0.3">
      <c r="A37" s="69"/>
      <c r="B37" s="1"/>
      <c r="C37" s="1"/>
      <c r="D37" s="105"/>
      <c r="E37" s="105"/>
      <c r="F37" s="105"/>
      <c r="G37" s="105"/>
      <c r="H37" s="105"/>
      <c r="I37" s="105"/>
      <c r="J37" s="105"/>
      <c r="K37" s="1"/>
      <c r="L37" s="105"/>
      <c r="M37" s="105"/>
      <c r="N37" s="105"/>
      <c r="O37" s="82"/>
    </row>
    <row r="38" spans="1:16" s="1" customFormat="1" ht="18.5" x14ac:dyDescent="0.45">
      <c r="A38" s="69"/>
      <c r="C38" s="5"/>
      <c r="G38" s="5"/>
      <c r="H38" s="5"/>
      <c r="I38" s="5"/>
      <c r="J38" s="5"/>
      <c r="L38" s="5"/>
      <c r="M38" s="5"/>
      <c r="N38" s="5"/>
      <c r="O38" s="281"/>
      <c r="P38" s="20"/>
    </row>
    <row r="39" spans="1:16" s="1" customFormat="1" ht="17.5" customHeight="1" x14ac:dyDescent="0.3">
      <c r="A39" s="69"/>
      <c r="C39" s="13" t="s">
        <v>88</v>
      </c>
      <c r="D39" s="28"/>
      <c r="E39" s="28"/>
      <c r="F39" s="28"/>
      <c r="G39" s="497" t="s">
        <v>187</v>
      </c>
      <c r="H39" s="497"/>
      <c r="I39" s="497"/>
      <c r="J39" s="497"/>
      <c r="L39" s="497" t="s">
        <v>184</v>
      </c>
      <c r="M39" s="497"/>
      <c r="N39" s="497"/>
      <c r="O39" s="498"/>
    </row>
    <row r="40" spans="1:16" s="24" customFormat="1" ht="11.25" customHeight="1" x14ac:dyDescent="0.25">
      <c r="A40" s="149"/>
      <c r="B40" s="150"/>
      <c r="C40" s="155"/>
      <c r="D40" s="156"/>
      <c r="E40" s="156"/>
      <c r="F40" s="156"/>
      <c r="G40" s="505"/>
      <c r="H40" s="505"/>
      <c r="I40" s="505"/>
      <c r="J40" s="505"/>
      <c r="K40" s="150"/>
      <c r="L40" s="505"/>
      <c r="M40" s="505"/>
      <c r="N40" s="505"/>
      <c r="O40" s="506"/>
    </row>
    <row r="41" spans="1:16" s="1" customFormat="1" ht="13" x14ac:dyDescent="0.3">
      <c r="A41" s="160"/>
      <c r="B41" s="161"/>
      <c r="C41" s="162"/>
      <c r="D41" s="163"/>
      <c r="E41" s="163"/>
      <c r="F41" s="163"/>
      <c r="G41" s="163"/>
      <c r="H41" s="163"/>
      <c r="I41" s="163"/>
      <c r="J41" s="163"/>
      <c r="K41" s="164"/>
      <c r="L41" s="163"/>
      <c r="M41" s="163"/>
      <c r="N41" s="163"/>
      <c r="O41" s="104"/>
    </row>
    <row r="42" spans="1:16" s="1" customFormat="1" ht="15.5" x14ac:dyDescent="0.3">
      <c r="A42" s="69"/>
      <c r="B42" s="19" t="s">
        <v>174</v>
      </c>
      <c r="C42" s="70" t="s">
        <v>168</v>
      </c>
      <c r="K42" s="71"/>
      <c r="N42" s="13"/>
      <c r="O42" s="82"/>
    </row>
    <row r="43" spans="1:16" s="24" customFormat="1" ht="13" x14ac:dyDescent="0.3">
      <c r="A43" s="69"/>
      <c r="B43" s="1"/>
      <c r="C43" s="112"/>
      <c r="D43" s="3"/>
      <c r="E43" s="3"/>
      <c r="F43" s="3"/>
      <c r="G43" s="3"/>
      <c r="H43" s="3"/>
      <c r="I43" s="3"/>
      <c r="J43" s="3"/>
      <c r="K43" s="13"/>
      <c r="L43" s="81" t="s">
        <v>137</v>
      </c>
      <c r="M43" s="166"/>
      <c r="N43" s="167"/>
      <c r="O43" s="88"/>
    </row>
    <row r="44" spans="1:16" s="1" customFormat="1" ht="12.75" customHeight="1" x14ac:dyDescent="0.3">
      <c r="A44" s="73"/>
      <c r="B44" s="169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88"/>
    </row>
    <row r="45" spans="1:16" s="1" customFormat="1" ht="13" x14ac:dyDescent="0.3">
      <c r="A45" s="69"/>
      <c r="O45" s="168"/>
    </row>
    <row r="46" spans="1:16" s="1" customFormat="1" ht="15.5" x14ac:dyDescent="0.35">
      <c r="A46" s="172"/>
      <c r="B46" s="17" t="s">
        <v>4</v>
      </c>
      <c r="C46" s="33" t="s">
        <v>175</v>
      </c>
      <c r="D46" s="2"/>
      <c r="E46" s="2"/>
      <c r="F46" s="2"/>
      <c r="G46" s="2"/>
      <c r="H46" s="2"/>
      <c r="I46" s="2"/>
      <c r="J46" s="2"/>
      <c r="K46" s="71"/>
      <c r="L46" s="137" t="s">
        <v>143</v>
      </c>
      <c r="M46"/>
      <c r="N46" s="6"/>
      <c r="O46" s="82"/>
    </row>
    <row r="47" spans="1:16" x14ac:dyDescent="0.35">
      <c r="A47" s="179"/>
      <c r="B47" s="5"/>
      <c r="C47" s="180"/>
      <c r="D47" s="181"/>
      <c r="E47" s="181"/>
      <c r="F47" s="181"/>
      <c r="G47" s="181"/>
      <c r="H47" s="181"/>
      <c r="I47" s="181"/>
      <c r="J47" s="181"/>
      <c r="K47" s="182"/>
      <c r="L47" s="181"/>
      <c r="M47" s="181"/>
      <c r="N47" s="181"/>
      <c r="O47" s="276"/>
    </row>
    <row r="48" spans="1:1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sheetProtection selectLockedCells="1"/>
  <mergeCells count="18">
    <mergeCell ref="K16:L16"/>
    <mergeCell ref="M16:N17"/>
    <mergeCell ref="K8:L8"/>
    <mergeCell ref="L39:O40"/>
    <mergeCell ref="G39:J40"/>
    <mergeCell ref="C18:N18"/>
    <mergeCell ref="C8:J8"/>
    <mergeCell ref="M8:O8"/>
    <mergeCell ref="C9:G9"/>
    <mergeCell ref="G16:H16"/>
    <mergeCell ref="D16:F17"/>
    <mergeCell ref="I16:J17"/>
    <mergeCell ref="C3:H3"/>
    <mergeCell ref="K3:O3"/>
    <mergeCell ref="C4:J4"/>
    <mergeCell ref="M4:O4"/>
    <mergeCell ref="C5:J5"/>
    <mergeCell ref="M5:O5"/>
  </mergeCells>
  <dataValidations count="1">
    <dataValidation type="whole" allowBlank="1" showInputMessage="1" showErrorMessage="1" errorTitle="E-CODE" error="Enter number only" sqref="M4:O4 M9:O12">
      <formula1>1</formula1>
      <formula2>10000</formula2>
    </dataValidation>
  </dataValidations>
  <printOptions horizontalCentered="1"/>
  <pageMargins left="0.75" right="0.5" top="0.5" bottom="0.5" header="0.3" footer="0.3"/>
  <pageSetup paperSize="9" scale="90" orientation="portrait" r:id="rId1"/>
  <headerFooter>
    <oddFooter>&amp;LRev. #: 1.0&amp;RSheet: &amp;P/&amp;N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Fill="0" autoLine="0" autoPict="0">
                <anchor moveWithCells="1">
                  <from>
                    <xdr:col>6</xdr:col>
                    <xdr:colOff>95250</xdr:colOff>
                    <xdr:row>25</xdr:row>
                    <xdr:rowOff>203200</xdr:rowOff>
                  </from>
                  <to>
                    <xdr:col>9</xdr:col>
                    <xdr:colOff>19050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Fill="0" autoLine="0" autoPict="0">
                <anchor moveWithCells="1">
                  <from>
                    <xdr:col>6</xdr:col>
                    <xdr:colOff>95250</xdr:colOff>
                    <xdr:row>27</xdr:row>
                    <xdr:rowOff>12700</xdr:rowOff>
                  </from>
                  <to>
                    <xdr:col>9</xdr:col>
                    <xdr:colOff>19050</xdr:colOff>
                    <xdr:row>28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Fill="0" autoLine="0" autoPict="0">
                <anchor moveWithCells="1">
                  <from>
                    <xdr:col>9</xdr:col>
                    <xdr:colOff>190500</xdr:colOff>
                    <xdr:row>25</xdr:row>
                    <xdr:rowOff>203200</xdr:rowOff>
                  </from>
                  <to>
                    <xdr:col>12</xdr:col>
                    <xdr:colOff>146050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Fill="0" autoLine="0" autoPict="0">
                <anchor moveWithCells="1">
                  <from>
                    <xdr:col>9</xdr:col>
                    <xdr:colOff>190500</xdr:colOff>
                    <xdr:row>27</xdr:row>
                    <xdr:rowOff>12700</xdr:rowOff>
                  </from>
                  <to>
                    <xdr:col>12</xdr:col>
                    <xdr:colOff>361950</xdr:colOff>
                    <xdr:row>28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Option Button 5">
              <controlPr defaultSize="0" autoFill="0" autoLine="0" autoPict="0" altText="Project/Contract based">
                <anchor moveWithCells="1">
                  <from>
                    <xdr:col>3</xdr:col>
                    <xdr:colOff>114300</xdr:colOff>
                    <xdr:row>19</xdr:row>
                    <xdr:rowOff>50800</xdr:rowOff>
                  </from>
                  <to>
                    <xdr:col>7</xdr:col>
                    <xdr:colOff>241300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Option Button 6">
              <controlPr defaultSize="0" autoFill="0" autoLine="0" autoPict="0" altText="Project/Contract based">
                <anchor moveWithCells="1">
                  <from>
                    <xdr:col>9</xdr:col>
                    <xdr:colOff>323850</xdr:colOff>
                    <xdr:row>19</xdr:row>
                    <xdr:rowOff>50800</xdr:rowOff>
                  </from>
                  <to>
                    <xdr:col>13</xdr:col>
                    <xdr:colOff>190500</xdr:colOff>
                    <xdr:row>20</xdr:row>
                    <xdr:rowOff>57150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Projects!$C$5:$C$46</xm:f>
          </x14:formula1>
          <xm:sqref>C8:J8 C4:J4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showGridLines="0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B28" sqref="B28"/>
    </sheetView>
  </sheetViews>
  <sheetFormatPr defaultRowHeight="14.5" x14ac:dyDescent="0.35"/>
  <cols>
    <col min="1" max="1" width="5.1796875" customWidth="1"/>
    <col min="2" max="2" width="21.81640625" customWidth="1"/>
    <col min="3" max="3" width="71.81640625" bestFit="1" customWidth="1"/>
  </cols>
  <sheetData>
    <row r="1" spans="1:3" ht="23.5" x14ac:dyDescent="0.35">
      <c r="A1" s="39" t="s">
        <v>13</v>
      </c>
    </row>
    <row r="2" spans="1:3" ht="18.5" x14ac:dyDescent="0.35">
      <c r="A2" s="40" t="s">
        <v>14</v>
      </c>
    </row>
    <row r="3" spans="1:3" ht="18.5" x14ac:dyDescent="0.35">
      <c r="A3" s="40"/>
    </row>
    <row r="4" spans="1:3" x14ac:dyDescent="0.35">
      <c r="A4" s="41" t="s">
        <v>15</v>
      </c>
      <c r="B4" s="42" t="s">
        <v>87</v>
      </c>
      <c r="C4" s="46" t="s">
        <v>86</v>
      </c>
    </row>
    <row r="5" spans="1:3" x14ac:dyDescent="0.35">
      <c r="A5" s="43">
        <f t="shared" ref="A5:A46" ca="1" si="0">IFERROR(OFFSET(A5,-1,0)+1,1)</f>
        <v>1</v>
      </c>
      <c r="B5" s="44" t="s">
        <v>89</v>
      </c>
      <c r="C5" s="47" t="s">
        <v>90</v>
      </c>
    </row>
    <row r="6" spans="1:3" x14ac:dyDescent="0.35">
      <c r="A6" s="43">
        <f t="shared" ca="1" si="0"/>
        <v>2</v>
      </c>
      <c r="B6" s="44" t="s">
        <v>91</v>
      </c>
      <c r="C6" s="47" t="s">
        <v>92</v>
      </c>
    </row>
    <row r="7" spans="1:3" ht="15" customHeight="1" x14ac:dyDescent="0.35">
      <c r="A7" s="43">
        <f t="shared" ca="1" si="0"/>
        <v>3</v>
      </c>
      <c r="B7" s="44" t="s">
        <v>93</v>
      </c>
      <c r="C7" s="47" t="s">
        <v>94</v>
      </c>
    </row>
    <row r="8" spans="1:3" x14ac:dyDescent="0.35">
      <c r="A8" s="43">
        <f t="shared" ca="1" si="0"/>
        <v>4</v>
      </c>
      <c r="B8" s="44" t="s">
        <v>95</v>
      </c>
      <c r="C8" s="47" t="s">
        <v>96</v>
      </c>
    </row>
    <row r="9" spans="1:3" x14ac:dyDescent="0.35">
      <c r="A9" s="43">
        <f t="shared" ca="1" si="0"/>
        <v>5</v>
      </c>
      <c r="B9" s="44" t="s">
        <v>51</v>
      </c>
      <c r="C9" s="47" t="s">
        <v>16</v>
      </c>
    </row>
    <row r="10" spans="1:3" x14ac:dyDescent="0.35">
      <c r="A10" s="43">
        <f t="shared" ca="1" si="0"/>
        <v>6</v>
      </c>
      <c r="B10" s="44" t="s">
        <v>52</v>
      </c>
      <c r="C10" s="44" t="s">
        <v>17</v>
      </c>
    </row>
    <row r="11" spans="1:3" ht="15" customHeight="1" x14ac:dyDescent="0.35">
      <c r="A11" s="43">
        <f t="shared" ca="1" si="0"/>
        <v>7</v>
      </c>
      <c r="B11" s="44" t="s">
        <v>53</v>
      </c>
      <c r="C11" s="47" t="s">
        <v>18</v>
      </c>
    </row>
    <row r="12" spans="1:3" x14ac:dyDescent="0.35">
      <c r="A12" s="43">
        <f t="shared" ca="1" si="0"/>
        <v>8</v>
      </c>
      <c r="B12" s="44" t="s">
        <v>54</v>
      </c>
      <c r="C12" s="47" t="s">
        <v>19</v>
      </c>
    </row>
    <row r="13" spans="1:3" x14ac:dyDescent="0.35">
      <c r="A13" s="43">
        <f t="shared" ca="1" si="0"/>
        <v>9</v>
      </c>
      <c r="B13" s="44" t="s">
        <v>55</v>
      </c>
      <c r="C13" s="47" t="s">
        <v>20</v>
      </c>
    </row>
    <row r="14" spans="1:3" x14ac:dyDescent="0.35">
      <c r="A14" s="43">
        <f t="shared" ca="1" si="0"/>
        <v>10</v>
      </c>
      <c r="B14" s="44" t="s">
        <v>56</v>
      </c>
      <c r="C14" s="47" t="s">
        <v>21</v>
      </c>
    </row>
    <row r="15" spans="1:3" x14ac:dyDescent="0.35">
      <c r="A15" s="43">
        <f t="shared" ca="1" si="0"/>
        <v>11</v>
      </c>
      <c r="B15" s="44" t="s">
        <v>57</v>
      </c>
      <c r="C15" s="47" t="s">
        <v>22</v>
      </c>
    </row>
    <row r="16" spans="1:3" x14ac:dyDescent="0.35">
      <c r="A16" s="43">
        <f t="shared" ca="1" si="0"/>
        <v>12</v>
      </c>
      <c r="B16" s="44" t="s">
        <v>58</v>
      </c>
      <c r="C16" s="47" t="s">
        <v>23</v>
      </c>
    </row>
    <row r="17" spans="1:3" x14ac:dyDescent="0.35">
      <c r="A17" s="43">
        <f t="shared" ca="1" si="0"/>
        <v>13</v>
      </c>
      <c r="B17" s="44" t="s">
        <v>59</v>
      </c>
      <c r="C17" s="47" t="s">
        <v>24</v>
      </c>
    </row>
    <row r="18" spans="1:3" x14ac:dyDescent="0.35">
      <c r="A18" s="43">
        <f t="shared" ca="1" si="0"/>
        <v>14</v>
      </c>
      <c r="B18" s="44" t="s">
        <v>60</v>
      </c>
      <c r="C18" s="47" t="s">
        <v>25</v>
      </c>
    </row>
    <row r="19" spans="1:3" x14ac:dyDescent="0.35">
      <c r="A19" s="43">
        <f t="shared" ca="1" si="0"/>
        <v>15</v>
      </c>
      <c r="B19" s="44" t="s">
        <v>61</v>
      </c>
      <c r="C19" s="47" t="s">
        <v>26</v>
      </c>
    </row>
    <row r="20" spans="1:3" x14ac:dyDescent="0.35">
      <c r="A20" s="43">
        <f t="shared" ca="1" si="0"/>
        <v>16</v>
      </c>
      <c r="B20" s="44" t="s">
        <v>62</v>
      </c>
      <c r="C20" s="47" t="s">
        <v>27</v>
      </c>
    </row>
    <row r="21" spans="1:3" x14ac:dyDescent="0.35">
      <c r="A21" s="43">
        <f t="shared" ca="1" si="0"/>
        <v>17</v>
      </c>
      <c r="B21" s="44" t="s">
        <v>63</v>
      </c>
      <c r="C21" s="47" t="s">
        <v>28</v>
      </c>
    </row>
    <row r="22" spans="1:3" x14ac:dyDescent="0.35">
      <c r="A22" s="43">
        <f t="shared" ca="1" si="0"/>
        <v>18</v>
      </c>
      <c r="B22" s="44" t="s">
        <v>64</v>
      </c>
      <c r="C22" s="47" t="s">
        <v>29</v>
      </c>
    </row>
    <row r="23" spans="1:3" x14ac:dyDescent="0.35">
      <c r="A23" s="43">
        <f t="shared" ca="1" si="0"/>
        <v>19</v>
      </c>
      <c r="B23" s="44" t="s">
        <v>65</v>
      </c>
      <c r="C23" s="47" t="s">
        <v>30</v>
      </c>
    </row>
    <row r="24" spans="1:3" x14ac:dyDescent="0.35">
      <c r="A24" s="43">
        <f t="shared" ca="1" si="0"/>
        <v>20</v>
      </c>
      <c r="B24" s="44" t="s">
        <v>66</v>
      </c>
      <c r="C24" s="47" t="s">
        <v>31</v>
      </c>
    </row>
    <row r="25" spans="1:3" x14ac:dyDescent="0.35">
      <c r="A25" s="43">
        <f t="shared" ca="1" si="0"/>
        <v>21</v>
      </c>
      <c r="B25" s="44" t="s">
        <v>67</v>
      </c>
      <c r="C25" s="47" t="s">
        <v>32</v>
      </c>
    </row>
    <row r="26" spans="1:3" x14ac:dyDescent="0.35">
      <c r="A26" s="43">
        <f t="shared" ca="1" si="0"/>
        <v>22</v>
      </c>
      <c r="B26" s="44" t="s">
        <v>68</v>
      </c>
      <c r="C26" s="47" t="s">
        <v>33</v>
      </c>
    </row>
    <row r="27" spans="1:3" x14ac:dyDescent="0.35">
      <c r="A27" s="43">
        <f t="shared" ca="1" si="0"/>
        <v>23</v>
      </c>
      <c r="B27" s="45"/>
      <c r="C27" s="48" t="s">
        <v>188</v>
      </c>
    </row>
    <row r="28" spans="1:3" x14ac:dyDescent="0.35">
      <c r="A28" s="43">
        <f t="shared" ca="1" si="0"/>
        <v>24</v>
      </c>
      <c r="B28" s="44" t="s">
        <v>69</v>
      </c>
      <c r="C28" s="47" t="s">
        <v>34</v>
      </c>
    </row>
    <row r="29" spans="1:3" x14ac:dyDescent="0.35">
      <c r="A29" s="43">
        <f t="shared" ca="1" si="0"/>
        <v>25</v>
      </c>
      <c r="B29" s="44" t="s">
        <v>70</v>
      </c>
      <c r="C29" s="47" t="s">
        <v>35</v>
      </c>
    </row>
    <row r="30" spans="1:3" x14ac:dyDescent="0.35">
      <c r="A30" s="43">
        <f t="shared" ca="1" si="0"/>
        <v>26</v>
      </c>
      <c r="B30" s="44" t="s">
        <v>71</v>
      </c>
      <c r="C30" s="47" t="s">
        <v>36</v>
      </c>
    </row>
    <row r="31" spans="1:3" x14ac:dyDescent="0.35">
      <c r="A31" s="43">
        <f t="shared" ca="1" si="0"/>
        <v>27</v>
      </c>
      <c r="B31" s="44" t="s">
        <v>72</v>
      </c>
      <c r="C31" s="47" t="s">
        <v>37</v>
      </c>
    </row>
    <row r="32" spans="1:3" x14ac:dyDescent="0.35">
      <c r="A32" s="43">
        <f t="shared" ca="1" si="0"/>
        <v>28</v>
      </c>
      <c r="B32" s="44" t="s">
        <v>73</v>
      </c>
      <c r="C32" s="47" t="s">
        <v>38</v>
      </c>
    </row>
    <row r="33" spans="1:3" x14ac:dyDescent="0.35">
      <c r="A33" s="43">
        <f t="shared" ca="1" si="0"/>
        <v>29</v>
      </c>
      <c r="B33" s="44" t="s">
        <v>74</v>
      </c>
      <c r="C33" s="47" t="s">
        <v>39</v>
      </c>
    </row>
    <row r="34" spans="1:3" x14ac:dyDescent="0.35">
      <c r="A34" s="43">
        <f t="shared" ca="1" si="0"/>
        <v>30</v>
      </c>
      <c r="B34" s="44" t="s">
        <v>75</v>
      </c>
      <c r="C34" s="47" t="s">
        <v>40</v>
      </c>
    </row>
    <row r="35" spans="1:3" x14ac:dyDescent="0.35">
      <c r="A35" s="43">
        <f t="shared" ca="1" si="0"/>
        <v>31</v>
      </c>
      <c r="B35" s="44" t="s">
        <v>76</v>
      </c>
      <c r="C35" s="47" t="s">
        <v>41</v>
      </c>
    </row>
    <row r="36" spans="1:3" x14ac:dyDescent="0.35">
      <c r="A36" s="43">
        <f t="shared" ca="1" si="0"/>
        <v>32</v>
      </c>
      <c r="B36" s="44" t="s">
        <v>77</v>
      </c>
      <c r="C36" s="47" t="s">
        <v>42</v>
      </c>
    </row>
    <row r="37" spans="1:3" x14ac:dyDescent="0.35">
      <c r="A37" s="43">
        <f t="shared" ca="1" si="0"/>
        <v>33</v>
      </c>
      <c r="B37" s="44" t="s">
        <v>78</v>
      </c>
      <c r="C37" s="47" t="s">
        <v>43</v>
      </c>
    </row>
    <row r="38" spans="1:3" x14ac:dyDescent="0.35">
      <c r="A38" s="43">
        <f t="shared" ca="1" si="0"/>
        <v>34</v>
      </c>
      <c r="B38" s="45" t="s">
        <v>179</v>
      </c>
      <c r="C38" s="45" t="s">
        <v>179</v>
      </c>
    </row>
    <row r="39" spans="1:3" x14ac:dyDescent="0.35">
      <c r="A39" s="43">
        <f t="shared" ca="1" si="0"/>
        <v>35</v>
      </c>
      <c r="B39" s="44" t="s">
        <v>79</v>
      </c>
      <c r="C39" s="47" t="s">
        <v>44</v>
      </c>
    </row>
    <row r="40" spans="1:3" x14ac:dyDescent="0.35">
      <c r="A40" s="43">
        <f t="shared" ca="1" si="0"/>
        <v>36</v>
      </c>
      <c r="B40" s="45" t="s">
        <v>186</v>
      </c>
      <c r="C40" s="45" t="s">
        <v>186</v>
      </c>
    </row>
    <row r="41" spans="1:3" x14ac:dyDescent="0.35">
      <c r="A41" s="43">
        <f t="shared" ca="1" si="0"/>
        <v>37</v>
      </c>
      <c r="B41" s="44" t="s">
        <v>80</v>
      </c>
      <c r="C41" s="47" t="s">
        <v>45</v>
      </c>
    </row>
    <row r="42" spans="1:3" x14ac:dyDescent="0.35">
      <c r="A42" s="43">
        <f t="shared" ca="1" si="0"/>
        <v>38</v>
      </c>
      <c r="B42" s="44" t="s">
        <v>81</v>
      </c>
      <c r="C42" s="47" t="s">
        <v>46</v>
      </c>
    </row>
    <row r="43" spans="1:3" x14ac:dyDescent="0.35">
      <c r="A43" s="43">
        <f t="shared" ca="1" si="0"/>
        <v>39</v>
      </c>
      <c r="B43" s="44" t="s">
        <v>82</v>
      </c>
      <c r="C43" s="47" t="s">
        <v>47</v>
      </c>
    </row>
    <row r="44" spans="1:3" x14ac:dyDescent="0.35">
      <c r="A44" s="43">
        <f t="shared" ca="1" si="0"/>
        <v>40</v>
      </c>
      <c r="B44" s="45" t="s">
        <v>83</v>
      </c>
      <c r="C44" s="48" t="s">
        <v>48</v>
      </c>
    </row>
    <row r="45" spans="1:3" x14ac:dyDescent="0.35">
      <c r="A45" s="43">
        <f t="shared" ca="1" si="0"/>
        <v>41</v>
      </c>
      <c r="B45" s="45" t="s">
        <v>84</v>
      </c>
      <c r="C45" s="49" t="s">
        <v>49</v>
      </c>
    </row>
    <row r="46" spans="1:3" x14ac:dyDescent="0.35">
      <c r="A46" s="43">
        <f t="shared" ca="1" si="0"/>
        <v>42</v>
      </c>
      <c r="B46" s="45" t="s">
        <v>85</v>
      </c>
      <c r="C46" s="49" t="s">
        <v>50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Interview Evaluation From Draft</vt:lpstr>
      <vt:lpstr>EF04</vt:lpstr>
      <vt:lpstr>EF06</vt:lpstr>
      <vt:lpstr>EF07</vt:lpstr>
      <vt:lpstr>Projects</vt:lpstr>
      <vt:lpstr>'EF04'!AptType</vt:lpstr>
      <vt:lpstr>'EF07'!AptType</vt:lpstr>
      <vt:lpstr>'EF04'!Print_Area</vt:lpstr>
      <vt:lpstr>'EF06'!Print_Area</vt:lpstr>
      <vt:lpstr>'EF07'!Print_Area</vt:lpstr>
      <vt:lpstr>'Interview Evaluation From Draft'!Print_Area</vt:lpstr>
      <vt:lpstr>'EF04'!Print_Titles</vt:lpstr>
      <vt:lpstr>'EF06'!Print_Titles</vt:lpstr>
      <vt:lpstr>'EF07'!Print_Titles</vt:lpstr>
      <vt:lpstr>PrjListLong</vt:lpstr>
      <vt:lpstr>PrjListShort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zubair</dc:creator>
  <cp:lastModifiedBy>PC-01</cp:lastModifiedBy>
  <cp:lastPrinted>2025-11-12T07:13:40Z</cp:lastPrinted>
  <dcterms:created xsi:type="dcterms:W3CDTF">2018-07-10T10:09:30Z</dcterms:created>
  <dcterms:modified xsi:type="dcterms:W3CDTF">2025-12-19T07:10:56Z</dcterms:modified>
</cp:coreProperties>
</file>