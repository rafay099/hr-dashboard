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etails" sheetId="1" r:id="rId4"/>
    <sheet state="visible" name="Jan" sheetId="2" r:id="rId5"/>
    <sheet state="visible" name="Jan Rep" sheetId="3" r:id="rId6"/>
    <sheet state="visible" name="Feb" sheetId="4" r:id="rId7"/>
    <sheet state="visible" name="Feb Rep" sheetId="5" r:id="rId8"/>
    <sheet state="visible" name="Mar" sheetId="6" r:id="rId9"/>
    <sheet state="visible" name="Mar Rep" sheetId="7" r:id="rId10"/>
    <sheet state="visible" name="Apr" sheetId="8" r:id="rId11"/>
    <sheet state="visible" name="Apr Rep" sheetId="9" r:id="rId12"/>
    <sheet state="visible" name="May" sheetId="10" r:id="rId13"/>
    <sheet state="visible" name="May Rep" sheetId="11" r:id="rId14"/>
    <sheet state="visible" name="Jun" sheetId="12" r:id="rId15"/>
    <sheet state="visible" name="Jul" sheetId="13" r:id="rId16"/>
    <sheet state="visible" name="Aug" sheetId="14" r:id="rId17"/>
    <sheet state="visible" name="Sep" sheetId="15" r:id="rId18"/>
    <sheet state="visible" name="Sep Rep" sheetId="16" r:id="rId19"/>
    <sheet state="visible" name="Oct" sheetId="17" r:id="rId20"/>
    <sheet state="visible" name="Oct Rep" sheetId="18" r:id="rId21"/>
    <sheet state="visible" name="Nov" sheetId="19" r:id="rId22"/>
    <sheet state="visible" name="Dec" sheetId="20" r:id="rId23"/>
    <sheet state="visible" name="Nov Report" sheetId="21" r:id="rId24"/>
    <sheet state="visible" name="Data" sheetId="22" r:id="rId25"/>
  </sheets>
  <definedNames>
    <definedName hidden="1" localSheetId="17" name="_xlnm._FilterDatabase">'Oct Rep'!$A$1:$J$87</definedName>
    <definedName hidden="1" localSheetId="20" name="_xlnm._FilterDatabase">'Nov Report'!$A$1:$J$89</definedName>
  </definedNames>
  <calcPr/>
</workbook>
</file>

<file path=xl/sharedStrings.xml><?xml version="1.0" encoding="utf-8"?>
<sst xmlns="http://schemas.openxmlformats.org/spreadsheetml/2006/main" count="6374" uniqueCount="469">
  <si>
    <t>AC No.</t>
  </si>
  <si>
    <t>No.</t>
  </si>
  <si>
    <t>Name</t>
  </si>
  <si>
    <t>Gender</t>
  </si>
  <si>
    <t>Mobile/Pager</t>
  </si>
  <si>
    <t>35202-1591113-7</t>
  </si>
  <si>
    <t>Faisal Birjees</t>
  </si>
  <si>
    <t>Male</t>
  </si>
  <si>
    <t>0324-4271117</t>
  </si>
  <si>
    <t>35201-6629214-9</t>
  </si>
  <si>
    <t>Emmad Ahmad</t>
  </si>
  <si>
    <t>0321-4129497</t>
  </si>
  <si>
    <t>Formula</t>
  </si>
  <si>
    <t>35202-7026093-7</t>
  </si>
  <si>
    <t>Hamza Mudassar</t>
  </si>
  <si>
    <t>0333-4484426</t>
  </si>
  <si>
    <t>35202-1580568-7</t>
  </si>
  <si>
    <t>Abdullah Birjees</t>
  </si>
  <si>
    <t>0320-4491751</t>
  </si>
  <si>
    <t>35202-0578664-7</t>
  </si>
  <si>
    <t>Osama Nawaz</t>
  </si>
  <si>
    <t>0307-7571663</t>
  </si>
  <si>
    <t>34101-5541967-5</t>
  </si>
  <si>
    <t>Hafiz Muhammad Sufyan</t>
  </si>
  <si>
    <t>0321-8880177</t>
  </si>
  <si>
    <t>35401-3985237-5</t>
  </si>
  <si>
    <t>Mehboob Ali</t>
  </si>
  <si>
    <t>0304-7676171</t>
  </si>
  <si>
    <t>34101-2142816-7</t>
  </si>
  <si>
    <t>Zain Ijaz</t>
  </si>
  <si>
    <t>0333-8162959</t>
  </si>
  <si>
    <t>35202-8015007-3</t>
  </si>
  <si>
    <t>Mian Mudassir</t>
  </si>
  <si>
    <t>0320-4100904</t>
  </si>
  <si>
    <t>35201-3810489-3</t>
  </si>
  <si>
    <t>Saad Ali</t>
  </si>
  <si>
    <t>0337-7111067</t>
  </si>
  <si>
    <t>35201-2794212-9</t>
  </si>
  <si>
    <t>Muhammad Arham Shahid</t>
  </si>
  <si>
    <t>0323-4523406</t>
  </si>
  <si>
    <t>35202-7963867-6</t>
  </si>
  <si>
    <t>Fatima Fahad</t>
  </si>
  <si>
    <t>Female</t>
  </si>
  <si>
    <t>0320-1499734</t>
  </si>
  <si>
    <t>35302-7507031-1</t>
  </si>
  <si>
    <t>Azeem Anjum</t>
  </si>
  <si>
    <t>0304-5578991</t>
  </si>
  <si>
    <t>35202-7418069-9</t>
  </si>
  <si>
    <t>Rizwan Haider</t>
  </si>
  <si>
    <t>0334-4159050</t>
  </si>
  <si>
    <t>33303-4315486-1</t>
  </si>
  <si>
    <t>M.Shoaib Ahmed</t>
  </si>
  <si>
    <t>0347-5541412</t>
  </si>
  <si>
    <t>35102-4980448-5</t>
  </si>
  <si>
    <t>Ali Raza</t>
  </si>
  <si>
    <t>0301-8948401</t>
  </si>
  <si>
    <t>35202-0237838-1</t>
  </si>
  <si>
    <t>Hafiz M. Salman</t>
  </si>
  <si>
    <t>0345-4393994</t>
  </si>
  <si>
    <t>35202-9885860-5</t>
  </si>
  <si>
    <t>Zohaib Shahid</t>
  </si>
  <si>
    <t>0309-8384136</t>
  </si>
  <si>
    <t>35202-02237487</t>
  </si>
  <si>
    <t>Rasid Sultan</t>
  </si>
  <si>
    <t>0334-4274111</t>
  </si>
  <si>
    <t>35202-3115080-2</t>
  </si>
  <si>
    <t>Alina Idrees</t>
  </si>
  <si>
    <t>0307-4555999</t>
  </si>
  <si>
    <t>35201-7748986-7</t>
  </si>
  <si>
    <t>Muhammad Areeb Tariq</t>
  </si>
  <si>
    <t>0322-4568998</t>
  </si>
  <si>
    <t>35202-9749478-3</t>
  </si>
  <si>
    <t>Muhammad Muzammil</t>
  </si>
  <si>
    <t>0334-4072663</t>
  </si>
  <si>
    <t>36501-7516661-3</t>
  </si>
  <si>
    <t>Hassan Nawaz</t>
  </si>
  <si>
    <t>0301-8446868</t>
  </si>
  <si>
    <t>33202-9251976-9</t>
  </si>
  <si>
    <t>Shahzad Hamza</t>
  </si>
  <si>
    <t>0313-3081000</t>
  </si>
  <si>
    <t>35201-2841972-5</t>
  </si>
  <si>
    <t>M.Awaia Ali Ibrar</t>
  </si>
  <si>
    <t>0323-2136097</t>
  </si>
  <si>
    <t>35202-8925-737-9</t>
  </si>
  <si>
    <t>Hussain Ali Shah</t>
  </si>
  <si>
    <t>0326-3367274</t>
  </si>
  <si>
    <t>35301-8506147-3</t>
  </si>
  <si>
    <t>Khalid Shabbir</t>
  </si>
  <si>
    <t>0302-2905700</t>
  </si>
  <si>
    <t>34603-5964613-9</t>
  </si>
  <si>
    <t>M. Asad Dilawar</t>
  </si>
  <si>
    <t>0342-6856056</t>
  </si>
  <si>
    <t>35200-1029084-1</t>
  </si>
  <si>
    <t>Hassan Qadir</t>
  </si>
  <si>
    <t>0334-8070394</t>
  </si>
  <si>
    <t>35202-0123852-8</t>
  </si>
  <si>
    <t>Mahnoor Ramzan</t>
  </si>
  <si>
    <t>0323-4063416</t>
  </si>
  <si>
    <t>35202-5036407-7</t>
  </si>
  <si>
    <t>Sayyam Ali</t>
  </si>
  <si>
    <t>0308-4311192</t>
  </si>
  <si>
    <t>35202-7322950-1</t>
  </si>
  <si>
    <t>Sheroze Shahid</t>
  </si>
  <si>
    <t>0333-4234059</t>
  </si>
  <si>
    <t>35201-7313218-7</t>
  </si>
  <si>
    <t>Nouman Bin Sabir</t>
  </si>
  <si>
    <t>0306-4013671</t>
  </si>
  <si>
    <t>35202-4468877-1</t>
  </si>
  <si>
    <t>Muhammad Haroon</t>
  </si>
  <si>
    <t>0307-4597416</t>
  </si>
  <si>
    <t>35202-4235666-1</t>
  </si>
  <si>
    <t>Sami-ur-Rehman</t>
  </si>
  <si>
    <t>0307-1606591</t>
  </si>
  <si>
    <t>35202-2282813-1</t>
  </si>
  <si>
    <t>Zaeem Khan</t>
  </si>
  <si>
    <t>0317-4262896</t>
  </si>
  <si>
    <t>4550-43678410-5</t>
  </si>
  <si>
    <t>Muhammad Daniyal</t>
  </si>
  <si>
    <t>0300-1111345</t>
  </si>
  <si>
    <t>35202-2158826-7</t>
  </si>
  <si>
    <t>M.Hashim Khan</t>
  </si>
  <si>
    <t>0323-4224538</t>
  </si>
  <si>
    <t>35201-1198503-9</t>
  </si>
  <si>
    <t>Tallat Sultan</t>
  </si>
  <si>
    <t>0301-7779202</t>
  </si>
  <si>
    <t>33203-6070463-3</t>
  </si>
  <si>
    <t>Usama Ali</t>
  </si>
  <si>
    <t>0320-6611790</t>
  </si>
  <si>
    <t>35201-5874214-5</t>
  </si>
  <si>
    <t>Muhammad Abdullah</t>
  </si>
  <si>
    <t>0326-2999926</t>
  </si>
  <si>
    <t>35202-5713459-5</t>
  </si>
  <si>
    <t>Nabeel Anwar</t>
  </si>
  <si>
    <t>0308-4662400</t>
  </si>
  <si>
    <t>35202-7423186-1</t>
  </si>
  <si>
    <t>Muhammad Basit</t>
  </si>
  <si>
    <t>0324-4946442</t>
  </si>
  <si>
    <t>35202-2379140-3</t>
  </si>
  <si>
    <t>Muhammad Furqan Ahsan</t>
  </si>
  <si>
    <t>0300-8495949</t>
  </si>
  <si>
    <t>34101-5774907-5</t>
  </si>
  <si>
    <t>Usama Sarfraz</t>
  </si>
  <si>
    <t>0300-4967400</t>
  </si>
  <si>
    <t>35202-0567374-9</t>
  </si>
  <si>
    <t>Fahad Sajid</t>
  </si>
  <si>
    <t>0331-4324154</t>
  </si>
  <si>
    <t>35202-9333210-1</t>
  </si>
  <si>
    <t>Manan Younas</t>
  </si>
  <si>
    <t>0322-6112730</t>
  </si>
  <si>
    <t>34201-4899085-3</t>
  </si>
  <si>
    <t>Taimoor Raza</t>
  </si>
  <si>
    <t>0347-0635620</t>
  </si>
  <si>
    <t>35301-0731266-9</t>
  </si>
  <si>
    <t>Ahsan Ullah</t>
  </si>
  <si>
    <t>0336-6768808</t>
  </si>
  <si>
    <t>34104-2943408-7</t>
  </si>
  <si>
    <t>Muhammad Ahsan Qayyum</t>
  </si>
  <si>
    <t>0300-5215242</t>
  </si>
  <si>
    <t>35202-6509052-1</t>
  </si>
  <si>
    <t>Masoom Raza</t>
  </si>
  <si>
    <t>0301-0878212</t>
  </si>
  <si>
    <t>35202-2352975-5</t>
  </si>
  <si>
    <t>Nabeel Ahmad</t>
  </si>
  <si>
    <t>0323-8443909</t>
  </si>
  <si>
    <t>35201-3073761-5</t>
  </si>
  <si>
    <t>Adil Rana</t>
  </si>
  <si>
    <t>0307-6770289</t>
  </si>
  <si>
    <t>35201-5532937-5</t>
  </si>
  <si>
    <t>Ahtisham Ahmed</t>
  </si>
  <si>
    <t>0313-4491083</t>
  </si>
  <si>
    <t>61101-4813045-3</t>
  </si>
  <si>
    <t>Muhammad Saad J Ghori</t>
  </si>
  <si>
    <t>0345-5515558</t>
  </si>
  <si>
    <t>35201-0862562-2</t>
  </si>
  <si>
    <t>Zoya Noor</t>
  </si>
  <si>
    <t>0322-4400728</t>
  </si>
  <si>
    <t>35202-7038682-7</t>
  </si>
  <si>
    <t>Syed Munam Ali Shah</t>
  </si>
  <si>
    <t>0303-7035582</t>
  </si>
  <si>
    <t>35202-1268035-9</t>
  </si>
  <si>
    <t>Muhammad Usman</t>
  </si>
  <si>
    <t>0348-1585974</t>
  </si>
  <si>
    <t>35202-3596208-5</t>
  </si>
  <si>
    <t>Sheheryar</t>
  </si>
  <si>
    <t>0307-9016384</t>
  </si>
  <si>
    <t>35202-8142732-7</t>
  </si>
  <si>
    <t>Sajid Sadeeq</t>
  </si>
  <si>
    <t>0321-4027342</t>
  </si>
  <si>
    <t>38104-0436433-1</t>
  </si>
  <si>
    <t>Muhammad Aftab Shakir</t>
  </si>
  <si>
    <t>0328-4862473</t>
  </si>
  <si>
    <t>35202-9301173-1</t>
  </si>
  <si>
    <t>Zubair Latif</t>
  </si>
  <si>
    <t>0321-4272660</t>
  </si>
  <si>
    <t>33303-3626896-9</t>
  </si>
  <si>
    <t>Saad Ullah Sandhu</t>
  </si>
  <si>
    <t>0313-6706740</t>
  </si>
  <si>
    <t>35202-9805356-2</t>
  </si>
  <si>
    <t>Kinza Mehmood</t>
  </si>
  <si>
    <t>0320-9440865</t>
  </si>
  <si>
    <t>35202-3344143-5</t>
  </si>
  <si>
    <t>Usama Tahir</t>
  </si>
  <si>
    <t>0324-4294647</t>
  </si>
  <si>
    <t>34601-1382003-3</t>
  </si>
  <si>
    <t>Syed Minhal Raza</t>
  </si>
  <si>
    <t>0322-4945992</t>
  </si>
  <si>
    <t>35202-3564652-7</t>
  </si>
  <si>
    <t>Usama Ejaz</t>
  </si>
  <si>
    <t>0323-8887443</t>
  </si>
  <si>
    <t>35401-8769032-2</t>
  </si>
  <si>
    <t>Khadija Tabassum</t>
  </si>
  <si>
    <t>0301-5034580</t>
  </si>
  <si>
    <t>34603-4091195-3</t>
  </si>
  <si>
    <t>Muhammad Irfan Sarwar</t>
  </si>
  <si>
    <t>0320-6313920</t>
  </si>
  <si>
    <t>31202-9496194-5</t>
  </si>
  <si>
    <t>Muhammad Shaheer</t>
  </si>
  <si>
    <t>0332-7772277</t>
  </si>
  <si>
    <t>35202-3026292-3</t>
  </si>
  <si>
    <t>Zeeshan Iqbal</t>
  </si>
  <si>
    <t>0332-4176119</t>
  </si>
  <si>
    <t>35202-2490953-1</t>
  </si>
  <si>
    <t>Muhammad Arslan</t>
  </si>
  <si>
    <t>0333-4161717</t>
  </si>
  <si>
    <t>35202-1968064-6</t>
  </si>
  <si>
    <t>Romesa Rashid</t>
  </si>
  <si>
    <t>0336-60447221</t>
  </si>
  <si>
    <t>34104-8878891-0</t>
  </si>
  <si>
    <t>Sana Shafqat</t>
  </si>
  <si>
    <t>0330-8512031</t>
  </si>
  <si>
    <t>31301-3386264-3</t>
  </si>
  <si>
    <t>Muhammad Owais</t>
  </si>
  <si>
    <t>0317-6707538</t>
  </si>
  <si>
    <t>38403-2405863-4</t>
  </si>
  <si>
    <t>Rameesha Ijaz</t>
  </si>
  <si>
    <t>0303-8900209</t>
  </si>
  <si>
    <t>35201-1723389-7</t>
  </si>
  <si>
    <t>Abbas Ali</t>
  </si>
  <si>
    <t>0324-0480854</t>
  </si>
  <si>
    <t>35202-6227372-7</t>
  </si>
  <si>
    <t>Mustafa Ali</t>
  </si>
  <si>
    <t>0322-4584697</t>
  </si>
  <si>
    <t>35404-2327048-5</t>
  </si>
  <si>
    <t>Muneeb khan</t>
  </si>
  <si>
    <t>0313-4868955</t>
  </si>
  <si>
    <t>33303-4758181-2</t>
  </si>
  <si>
    <t>Bushra Munawar</t>
  </si>
  <si>
    <t>0332-3399154</t>
  </si>
  <si>
    <t>34603-9173271-5</t>
  </si>
  <si>
    <t>Adnan Akhtar</t>
  </si>
  <si>
    <t>0332-8457746</t>
  </si>
  <si>
    <t>35202-5992665-5</t>
  </si>
  <si>
    <t>03091486742</t>
  </si>
  <si>
    <t>35202-7532261-6</t>
  </si>
  <si>
    <t>Farwa Maqsood</t>
  </si>
  <si>
    <t>0321-4206147</t>
  </si>
  <si>
    <t>35202-1947107-4</t>
  </si>
  <si>
    <t>Shifa Rehman</t>
  </si>
  <si>
    <t>0333-6040733</t>
  </si>
  <si>
    <t>35302-3592453-9</t>
  </si>
  <si>
    <t>Arslan Anwer</t>
  </si>
  <si>
    <t>0302-7993900</t>
  </si>
  <si>
    <t>36103-9563291-9</t>
  </si>
  <si>
    <t>Hassan Mujtaba</t>
  </si>
  <si>
    <t>0346-1728772</t>
  </si>
  <si>
    <t>Shift</t>
  </si>
  <si>
    <t>Employee Name</t>
  </si>
  <si>
    <t>Total Hours</t>
  </si>
  <si>
    <t>8:30 - 5:30</t>
  </si>
  <si>
    <t>SL</t>
  </si>
  <si>
    <t>ML</t>
  </si>
  <si>
    <t>CL</t>
  </si>
  <si>
    <t>AL</t>
  </si>
  <si>
    <t>Mustafa  Ali</t>
  </si>
  <si>
    <t>10:30-7:30</t>
  </si>
  <si>
    <t>Muneeb Khan</t>
  </si>
  <si>
    <t>PL</t>
  </si>
  <si>
    <t>no record</t>
  </si>
  <si>
    <t>11:00-8:00</t>
  </si>
  <si>
    <t>Hussain ali shah</t>
  </si>
  <si>
    <t xml:space="preserve">No record </t>
  </si>
  <si>
    <t>12:30-9:30</t>
  </si>
  <si>
    <t>No NLT</t>
  </si>
  <si>
    <t xml:space="preserve">Holiday </t>
  </si>
  <si>
    <t>Holiday</t>
  </si>
  <si>
    <t>Hoiday</t>
  </si>
  <si>
    <t>holiday</t>
  </si>
  <si>
    <t>Abdul Haseeb</t>
  </si>
  <si>
    <t>Abdullah bhatti</t>
  </si>
  <si>
    <t>January  Hours</t>
  </si>
  <si>
    <t>Sr. No.</t>
  </si>
  <si>
    <t>Business Unit</t>
  </si>
  <si>
    <t>Total Working Days</t>
  </si>
  <si>
    <t>Total Worked Days including WFH</t>
  </si>
  <si>
    <t>Allowed Work from Home (Days)</t>
  </si>
  <si>
    <t>Availed WFH in January (Days)</t>
  </si>
  <si>
    <t>Required Working Hours (including WFH)</t>
  </si>
  <si>
    <t>Completed Working Hours</t>
  </si>
  <si>
    <t>Short / Excess (Hours)</t>
  </si>
  <si>
    <t>Leaves Taken in January</t>
  </si>
  <si>
    <t>Voltro</t>
  </si>
  <si>
    <t>SS</t>
  </si>
  <si>
    <t>Special Projects</t>
  </si>
  <si>
    <t>FAMS</t>
  </si>
  <si>
    <t>DevOps</t>
  </si>
  <si>
    <t>JetClass</t>
  </si>
  <si>
    <t>Mon</t>
  </si>
  <si>
    <t>Tue</t>
  </si>
  <si>
    <t>wed</t>
  </si>
  <si>
    <t>Thu</t>
  </si>
  <si>
    <t>Fri</t>
  </si>
  <si>
    <t xml:space="preserve">Sat </t>
  </si>
  <si>
    <t>Sun</t>
  </si>
  <si>
    <t>Kashmir Day</t>
  </si>
  <si>
    <t>compluslory leave</t>
  </si>
  <si>
    <t>COMP-L</t>
  </si>
  <si>
    <t>WFH</t>
  </si>
  <si>
    <t>No record</t>
  </si>
  <si>
    <t>Comp-L</t>
  </si>
  <si>
    <t xml:space="preserve">Leave </t>
  </si>
  <si>
    <t>Leave</t>
  </si>
  <si>
    <t>February  Hours</t>
  </si>
  <si>
    <t>Availed WFH in February (Days)</t>
  </si>
  <si>
    <t>Leaves Taken in February</t>
  </si>
  <si>
    <t xml:space="preserve">Shifa Rehman </t>
  </si>
  <si>
    <t>10 AM - 4 PM</t>
  </si>
  <si>
    <t xml:space="preserve">Eid Holiday </t>
  </si>
  <si>
    <t>March Hours</t>
  </si>
  <si>
    <t>p</t>
  </si>
  <si>
    <t>P</t>
  </si>
  <si>
    <t>LWP</t>
  </si>
  <si>
    <t>NLT</t>
  </si>
  <si>
    <t>Sherdil Shahbaz Lodhi</t>
  </si>
  <si>
    <t>COM-L</t>
  </si>
  <si>
    <t>CPM-L</t>
  </si>
  <si>
    <t>April Hours</t>
  </si>
  <si>
    <t>Urooj Javed</t>
  </si>
  <si>
    <t>Ammar Waheed</t>
  </si>
  <si>
    <t>COMP L</t>
  </si>
  <si>
    <t>Sher Dil</t>
  </si>
  <si>
    <t xml:space="preserve">WFH </t>
  </si>
  <si>
    <t>H-CL</t>
  </si>
  <si>
    <t>H-SL</t>
  </si>
  <si>
    <t>B-L</t>
  </si>
  <si>
    <t>BL</t>
  </si>
  <si>
    <t>May Hours</t>
  </si>
  <si>
    <t>Record from May 1 to May 22</t>
  </si>
  <si>
    <t>Availed WFH in May (Days)</t>
  </si>
  <si>
    <t>Leaves Taken in May</t>
  </si>
  <si>
    <t>Department</t>
  </si>
  <si>
    <t>Total Working Days (till 22 May)</t>
  </si>
  <si>
    <t>Total Worked Days Onsite</t>
  </si>
  <si>
    <t>Availed WFH (Days)</t>
  </si>
  <si>
    <t>Availed Leaves</t>
  </si>
  <si>
    <t>Required Working Hours (excluding WFH)</t>
  </si>
  <si>
    <t>Product</t>
  </si>
  <si>
    <t>Muhammad Shoaib Ahmed</t>
  </si>
  <si>
    <t>Mobile Apps</t>
  </si>
  <si>
    <t>8 (Paternity)</t>
  </si>
  <si>
    <t>Hafiz Muhammad Salman</t>
  </si>
  <si>
    <t>M.Shaheryar</t>
  </si>
  <si>
    <t>Creative</t>
  </si>
  <si>
    <t>Hamza Malik</t>
  </si>
  <si>
    <t>Usama Sarfaraz</t>
  </si>
  <si>
    <t>Muhammad Usama Ejaz</t>
  </si>
  <si>
    <t>Muhammad Awais Ali Ibrar</t>
  </si>
  <si>
    <t>CMS</t>
  </si>
  <si>
    <t>6 (Annual)</t>
  </si>
  <si>
    <t>10 (Paternity) + 1</t>
  </si>
  <si>
    <t>Mian Mudassir Mansoor</t>
  </si>
  <si>
    <t>Ahsan Qayyum</t>
  </si>
  <si>
    <t>Irfan Sarwar</t>
  </si>
  <si>
    <t>Hafiz Sufyan</t>
  </si>
  <si>
    <t>Hamza Mudassir</t>
  </si>
  <si>
    <t>Muzammil Sammad</t>
  </si>
  <si>
    <t>Fatima Khalid</t>
  </si>
  <si>
    <t>M.Arslan</t>
  </si>
  <si>
    <t>Emmad Ahmed</t>
  </si>
  <si>
    <t>Muahhmad Hashim Khan</t>
  </si>
  <si>
    <t>Sami Ur Rehman</t>
  </si>
  <si>
    <t>Osama Ali</t>
  </si>
  <si>
    <t>Nabeel Ahmed</t>
  </si>
  <si>
    <t>Daniyal</t>
  </si>
  <si>
    <t>Abdullah Bhatti</t>
  </si>
  <si>
    <t>Mahnoor Rasool</t>
  </si>
  <si>
    <t>Ali Rizwan Tariq</t>
  </si>
  <si>
    <t>Muhammad Umar Inayat</t>
  </si>
  <si>
    <t>Waqar Ahmad</t>
  </si>
  <si>
    <t>Ameer Hamza</t>
  </si>
  <si>
    <t>Moiez Ahmed</t>
  </si>
  <si>
    <t>Saad Ayub Rana</t>
  </si>
  <si>
    <t>Muazzam Saleem Butt</t>
  </si>
  <si>
    <t>Muhammad Danyyal Maqbool</t>
  </si>
  <si>
    <t>Raheeb Aslam</t>
  </si>
  <si>
    <t>Jawad Akhtar</t>
  </si>
  <si>
    <t>Muhammad Ali</t>
  </si>
  <si>
    <t>Muhammad Safee</t>
  </si>
  <si>
    <t>Mahad Ahmad</t>
  </si>
  <si>
    <t>8;45</t>
  </si>
  <si>
    <t>9;00</t>
  </si>
  <si>
    <t>Ameer Hmaza</t>
  </si>
  <si>
    <t>NR</t>
  </si>
  <si>
    <t>H-WP</t>
  </si>
  <si>
    <t>Sajid Bashir</t>
  </si>
  <si>
    <t>Laiba Arshad</t>
  </si>
  <si>
    <t>Muhammad Waseem</t>
  </si>
  <si>
    <t>Umar Zulfiqar</t>
  </si>
  <si>
    <t>Amna Tajammal</t>
  </si>
  <si>
    <t>Waleed Mumtaz</t>
  </si>
  <si>
    <t>Rehman Ali</t>
  </si>
  <si>
    <t>Muhammad Usama Tahir</t>
  </si>
  <si>
    <t>Abubakar Saddique</t>
  </si>
  <si>
    <t>Usman Inayat</t>
  </si>
  <si>
    <t>M.Safee</t>
  </si>
  <si>
    <t>WF</t>
  </si>
  <si>
    <t>SEP Hours</t>
  </si>
  <si>
    <t>Availed WFH in Sep (Days) (2)</t>
  </si>
  <si>
    <t>Required Working Hours (including WFH) (4)</t>
  </si>
  <si>
    <t>Completed Working Hours (3)</t>
  </si>
  <si>
    <t>Leaves Taken in Sep (1)</t>
  </si>
  <si>
    <t>M.Awais Ali Ibrar</t>
  </si>
  <si>
    <t xml:space="preserve"> Muhammad Owais</t>
  </si>
  <si>
    <t xml:space="preserve">AL </t>
  </si>
  <si>
    <t>Ahsan Abbas</t>
  </si>
  <si>
    <t>Abbas Mustafa</t>
  </si>
  <si>
    <t>-</t>
  </si>
  <si>
    <t>Ali Janjua</t>
  </si>
  <si>
    <t>Afsaha Irfan</t>
  </si>
  <si>
    <t>Oct Hours</t>
  </si>
  <si>
    <t>Availed WFH in Oct (Days)</t>
  </si>
  <si>
    <t>Leaves Taken in Sep</t>
  </si>
  <si>
    <t>N/A</t>
  </si>
  <si>
    <t xml:space="preserve">SL </t>
  </si>
  <si>
    <t xml:space="preserve">COMP-L </t>
  </si>
  <si>
    <t>Muhammad Tahir</t>
  </si>
  <si>
    <t xml:space="preserve">Bereavement Leave </t>
  </si>
  <si>
    <t>12 - 9</t>
  </si>
  <si>
    <t>Muhammad Hanzla</t>
  </si>
  <si>
    <t>09:16::00</t>
  </si>
  <si>
    <t xml:space="preserve">LWP </t>
  </si>
  <si>
    <t xml:space="preserve">Muhammad Taimoor </t>
  </si>
  <si>
    <t>Nov Hours</t>
  </si>
  <si>
    <t>Availed WFH in Nov (Days)</t>
  </si>
  <si>
    <t>Emp No.</t>
  </si>
  <si>
    <t>AC-No.</t>
  </si>
  <si>
    <t>Date</t>
  </si>
  <si>
    <t>Clock In 1</t>
  </si>
  <si>
    <t>Clock Out 1</t>
  </si>
  <si>
    <t>Clock In 2</t>
  </si>
  <si>
    <t>Clock Out 2</t>
  </si>
  <si>
    <t>Clock In 3</t>
  </si>
  <si>
    <t>Clock Out 3</t>
  </si>
  <si>
    <t>Clock In 4</t>
  </si>
  <si>
    <t>Clock Out 4</t>
  </si>
  <si>
    <t>Clock In 5</t>
  </si>
  <si>
    <t>Clock Out 5</t>
  </si>
  <si>
    <t>Total in time</t>
  </si>
  <si>
    <t>35202-6411189-1</t>
  </si>
  <si>
    <t>37406-9353304-3</t>
  </si>
  <si>
    <t>35202-3932447-1</t>
  </si>
  <si>
    <t>35202-9577508-4</t>
  </si>
  <si>
    <t>34603-1785147-4</t>
  </si>
  <si>
    <t>37202-5396016-1</t>
  </si>
  <si>
    <t>35202-4850986-5</t>
  </si>
  <si>
    <t>35202-4030158-4</t>
  </si>
  <si>
    <t>37406-4578797-7</t>
  </si>
  <si>
    <t>36603-9155989-5</t>
  </si>
  <si>
    <t>42301-5552638-1</t>
  </si>
  <si>
    <t>35202-5948529-6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</si>
</sst>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hh:mm:ss"/>
    <numFmt numFmtId="166" formatCode="d-m"/>
    <numFmt numFmtId="167" formatCode="d-mmm-yy"/>
    <numFmt numFmtId="168" formatCode="mmmm yyyy"/>
    <numFmt numFmtId="169" formatCode="[hh]:mm:ss"/>
    <numFmt numFmtId="170" formatCode="hh:mm"/>
    <numFmt numFmtId="171" formatCode="d/m/yyyy hh:mm"/>
  </numFmts>
  <fonts count="2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Calibri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9.0"/>
      <color rgb="FF000000"/>
      <name val="Arial"/>
    </font>
    <font>
      <b/>
      <sz val="22.0"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b/>
      <color rgb="FFFFFFFF"/>
      <name val="Arial"/>
    </font>
    <font>
      <b/>
      <sz val="24.0"/>
      <color rgb="FF000000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sz val="19.0"/>
      <color theme="1"/>
      <name val="Arial"/>
    </font>
    <font>
      <b/>
      <sz val="22.0"/>
      <color theme="1"/>
      <name val="Arial"/>
    </font>
    <font>
      <b/>
      <sz val="11.0"/>
      <color theme="1"/>
      <name val="Arial"/>
    </font>
    <font>
      <b/>
      <sz val="14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/>
    </xf>
    <xf borderId="3" fillId="0" fontId="7" numFmtId="0" xfId="0" applyBorder="1" applyFont="1"/>
    <xf borderId="2" fillId="2" fontId="3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2" fillId="4" fontId="3" numFmtId="164" xfId="0" applyAlignment="1" applyBorder="1" applyFont="1" applyNumberFormat="1">
      <alignment horizontal="center" readingOrder="0"/>
    </xf>
    <xf borderId="2" fillId="5" fontId="8" numFmtId="0" xfId="0" applyAlignment="1" applyBorder="1" applyFill="1" applyFont="1">
      <alignment horizontal="center" readingOrder="0" vertical="bottom"/>
    </xf>
    <xf borderId="2" fillId="5" fontId="9" numFmtId="0" xfId="0" applyAlignment="1" applyBorder="1" applyFont="1">
      <alignment horizontal="center" vertical="bottom"/>
    </xf>
    <xf borderId="2" fillId="5" fontId="9" numFmtId="0" xfId="0" applyAlignment="1" applyBorder="1" applyFont="1">
      <alignment readingOrder="0"/>
    </xf>
    <xf borderId="2" fillId="6" fontId="10" numFmtId="46" xfId="0" applyAlignment="1" applyBorder="1" applyFill="1" applyFont="1" applyNumberFormat="1">
      <alignment horizontal="center" shrinkToFit="0" vertical="bottom" wrapText="0"/>
    </xf>
    <xf borderId="2" fillId="7" fontId="4" numFmtId="165" xfId="0" applyAlignment="1" applyBorder="1" applyFill="1" applyFont="1" applyNumberFormat="1">
      <alignment horizontal="center" readingOrder="0"/>
    </xf>
    <xf borderId="2" fillId="7" fontId="4" numFmtId="0" xfId="0" applyAlignment="1" applyBorder="1" applyFont="1">
      <alignment horizontal="center"/>
    </xf>
    <xf borderId="2" fillId="7" fontId="4" numFmtId="165" xfId="0" applyAlignment="1" applyBorder="1" applyFont="1" applyNumberFormat="1">
      <alignment horizontal="center"/>
    </xf>
    <xf borderId="2" fillId="7" fontId="4" numFmtId="0" xfId="0" applyAlignment="1" applyBorder="1" applyFont="1">
      <alignment horizontal="center" readingOrder="0"/>
    </xf>
    <xf borderId="1" fillId="8" fontId="11" numFmtId="166" xfId="0" applyAlignment="1" applyBorder="1" applyFill="1" applyFont="1" applyNumberFormat="1">
      <alignment horizontal="center" readingOrder="0" shrinkToFit="0" vertical="center" wrapText="1"/>
    </xf>
    <xf borderId="2" fillId="8" fontId="9" numFmtId="0" xfId="0" applyAlignment="1" applyBorder="1" applyFont="1">
      <alignment horizontal="center" readingOrder="0" vertical="bottom"/>
    </xf>
    <xf borderId="2" fillId="8" fontId="9" numFmtId="0" xfId="0" applyAlignment="1" applyBorder="1" applyFont="1">
      <alignment readingOrder="0" vertical="bottom"/>
    </xf>
    <xf borderId="1" fillId="5" fontId="12" numFmtId="166" xfId="0" applyAlignment="1" applyBorder="1" applyFont="1" applyNumberFormat="1">
      <alignment horizontal="center" readingOrder="0" shrinkToFit="0" vertical="center" wrapText="1"/>
    </xf>
    <xf borderId="2" fillId="5" fontId="9" numFmtId="0" xfId="0" applyAlignment="1" applyBorder="1" applyFont="1">
      <alignment readingOrder="0" vertical="bottom"/>
    </xf>
    <xf borderId="4" fillId="0" fontId="7" numFmtId="0" xfId="0" applyBorder="1" applyFont="1"/>
    <xf borderId="2" fillId="5" fontId="9" numFmtId="0" xfId="0" applyAlignment="1" applyBorder="1" applyFont="1">
      <alignment horizontal="center" readingOrder="0" vertical="bottom"/>
    </xf>
    <xf borderId="2" fillId="5" fontId="9" numFmtId="0" xfId="0" applyAlignment="1" applyBorder="1" applyFont="1">
      <alignment vertical="bottom"/>
    </xf>
    <xf borderId="2" fillId="5" fontId="2" numFmtId="0" xfId="0" applyAlignment="1" applyBorder="1" applyFont="1">
      <alignment readingOrder="0" shrinkToFit="0" vertical="bottom" wrapText="0"/>
    </xf>
    <xf borderId="2" fillId="5" fontId="13" numFmtId="0" xfId="0" applyAlignment="1" applyBorder="1" applyFont="1">
      <alignment shrinkToFit="0" vertical="bottom" wrapText="0"/>
    </xf>
    <xf borderId="2" fillId="5" fontId="9" numFmtId="0" xfId="0" applyAlignment="1" applyBorder="1" applyFont="1">
      <alignment readingOrder="0" shrinkToFit="0" vertical="bottom" wrapText="0"/>
    </xf>
    <xf borderId="2" fillId="9" fontId="9" numFmtId="0" xfId="0" applyAlignment="1" applyBorder="1" applyFill="1" applyFont="1">
      <alignment horizontal="center" readingOrder="0" vertical="bottom"/>
    </xf>
    <xf borderId="2" fillId="9" fontId="2" numFmtId="0" xfId="0" applyAlignment="1" applyBorder="1" applyFont="1">
      <alignment vertical="bottom"/>
    </xf>
    <xf borderId="2" fillId="9" fontId="2" numFmtId="0" xfId="0" applyAlignment="1" applyBorder="1" applyFont="1">
      <alignment readingOrder="0" shrinkToFit="0" vertical="bottom" wrapText="0"/>
    </xf>
    <xf borderId="2" fillId="9" fontId="9" numFmtId="0" xfId="0" applyAlignment="1" applyBorder="1" applyFont="1">
      <alignment horizontal="center" vertical="bottom"/>
    </xf>
    <xf borderId="1" fillId="8" fontId="12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vertical="bottom"/>
    </xf>
    <xf borderId="2" fillId="9" fontId="13" numFmtId="0" xfId="0" applyAlignment="1" applyBorder="1" applyFont="1">
      <alignment readingOrder="0" shrinkToFit="0" vertical="bottom" wrapText="0"/>
    </xf>
    <xf borderId="2" fillId="9" fontId="9" numFmtId="0" xfId="0" applyAlignment="1" applyBorder="1" applyFont="1">
      <alignment vertical="bottom"/>
    </xf>
    <xf borderId="2" fillId="9" fontId="9" numFmtId="0" xfId="0" applyAlignment="1" applyBorder="1" applyFont="1">
      <alignment vertical="bottom"/>
    </xf>
    <xf borderId="2" fillId="9" fontId="9" numFmtId="0" xfId="0" applyAlignment="1" applyBorder="1" applyFont="1">
      <alignment readingOrder="0" vertical="bottom"/>
    </xf>
    <xf borderId="4" fillId="5" fontId="12" numFmtId="0" xfId="0" applyAlignment="1" applyBorder="1" applyFont="1">
      <alignment horizontal="center" readingOrder="0" shrinkToFit="0" vertical="center" wrapText="1"/>
    </xf>
    <xf borderId="2" fillId="5" fontId="9" numFmtId="167" xfId="0" applyAlignment="1" applyBorder="1" applyFont="1" applyNumberFormat="1">
      <alignment vertical="bottom"/>
    </xf>
    <xf borderId="0" fillId="5" fontId="2" numFmtId="0" xfId="0" applyAlignment="1" applyFont="1">
      <alignment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1" fillId="8" fontId="12" numFmtId="166" xfId="0" applyAlignment="1" applyBorder="1" applyFont="1" applyNumberFormat="1">
      <alignment horizontal="center" readingOrder="0" shrinkToFit="0" vertical="center" wrapText="1"/>
    </xf>
    <xf borderId="1" fillId="8" fontId="14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ill="1" applyFont="1">
      <alignment horizontal="center" readingOrder="0" shrinkToFit="0" vertical="center" wrapText="1"/>
    </xf>
    <xf borderId="2" fillId="10" fontId="9" numFmtId="0" xfId="0" applyAlignment="1" applyBorder="1" applyFont="1">
      <alignment horizontal="center" vertical="bottom"/>
    </xf>
    <xf borderId="2" fillId="10" fontId="9" numFmtId="0" xfId="0" applyAlignment="1" applyBorder="1" applyFont="1">
      <alignment readingOrder="0" vertical="bottom"/>
    </xf>
    <xf borderId="2" fillId="10" fontId="9" numFmtId="0" xfId="0" applyAlignment="1" applyBorder="1" applyFont="1">
      <alignment horizontal="center" readingOrder="0" vertical="bottom"/>
    </xf>
    <xf borderId="2" fillId="10" fontId="9" numFmtId="0" xfId="0" applyAlignment="1" applyBorder="1" applyFont="1">
      <alignment vertical="bottom"/>
    </xf>
    <xf borderId="2" fillId="10" fontId="9" numFmtId="0" xfId="0" applyAlignment="1" applyBorder="1" applyFont="1">
      <alignment readingOrder="0" shrinkToFit="0" vertical="bottom" wrapText="0"/>
    </xf>
    <xf borderId="2" fillId="10" fontId="9" numFmtId="0" xfId="0" applyAlignment="1" applyBorder="1" applyFont="1">
      <alignment readingOrder="0"/>
    </xf>
    <xf borderId="2" fillId="10" fontId="9" numFmtId="0" xfId="0" applyAlignment="1" applyBorder="1" applyFont="1">
      <alignment shrinkToFit="0" vertical="bottom" wrapText="1"/>
    </xf>
    <xf borderId="2" fillId="10" fontId="9" numFmtId="0" xfId="0" applyAlignment="1" applyBorder="1" applyFont="1">
      <alignment readingOrder="0" shrinkToFit="0" vertical="bottom" wrapText="0"/>
    </xf>
    <xf borderId="2" fillId="10" fontId="9" numFmtId="0" xfId="0" applyAlignment="1" applyBorder="1" applyFont="1">
      <alignment shrinkToFit="0" vertical="bottom" wrapText="0"/>
    </xf>
    <xf borderId="2" fillId="10" fontId="1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2" fillId="6" fontId="4" numFmtId="0" xfId="0" applyAlignment="1" applyBorder="1" applyFont="1">
      <alignment horizontal="center" readingOrder="0"/>
    </xf>
    <xf borderId="5" fillId="11" fontId="2" numFmtId="168" xfId="0" applyBorder="1" applyFill="1" applyFont="1" applyNumberFormat="1"/>
    <xf borderId="6" fillId="0" fontId="7" numFmtId="0" xfId="0" applyBorder="1" applyFont="1"/>
    <xf borderId="5" fillId="11" fontId="15" numFmtId="0" xfId="0" applyAlignment="1" applyBorder="1" applyFont="1">
      <alignment horizontal="center" readingOrder="0" shrinkToFit="0" wrapText="1"/>
    </xf>
    <xf borderId="7" fillId="0" fontId="7" numFmtId="0" xfId="0" applyBorder="1" applyFont="1"/>
    <xf borderId="0" fillId="0" fontId="3" numFmtId="0" xfId="0" applyAlignment="1" applyFont="1">
      <alignment horizontal="center" shrinkToFit="0" vertical="center" wrapText="1"/>
    </xf>
    <xf borderId="8" fillId="12" fontId="15" numFmtId="0" xfId="0" applyAlignment="1" applyBorder="1" applyFill="1" applyFont="1">
      <alignment horizontal="center" shrinkToFit="0" wrapText="1"/>
    </xf>
    <xf borderId="9" fillId="12" fontId="15" numFmtId="0" xfId="0" applyAlignment="1" applyBorder="1" applyFont="1">
      <alignment horizontal="center" shrinkToFit="0" wrapText="1"/>
    </xf>
    <xf borderId="8" fillId="12" fontId="15" numFmtId="0" xfId="0" applyAlignment="1" applyBorder="1" applyFont="1">
      <alignment horizontal="center" readingOrder="0" shrinkToFit="0" wrapText="1"/>
    </xf>
    <xf borderId="8" fillId="13" fontId="15" numFmtId="0" xfId="0" applyAlignment="1" applyBorder="1" applyFill="1" applyFont="1">
      <alignment horizontal="center" shrinkToFit="0" wrapText="1"/>
    </xf>
    <xf borderId="8" fillId="13" fontId="15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vertical="bottom"/>
    </xf>
    <xf borderId="2" fillId="6" fontId="9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13" fontId="2" numFmtId="0" xfId="0" applyAlignment="1" applyBorder="1" applyFont="1">
      <alignment horizontal="center" vertical="bottom"/>
    </xf>
    <xf borderId="2" fillId="13" fontId="2" numFmtId="0" xfId="0" applyAlignment="1" applyBorder="1" applyFont="1">
      <alignment horizontal="center" readingOrder="0" vertical="bottom"/>
    </xf>
    <xf borderId="2" fillId="0" fontId="2" numFmtId="169" xfId="0" applyAlignment="1" applyBorder="1" applyFont="1" applyNumberFormat="1">
      <alignment horizontal="center" vertical="bottom"/>
    </xf>
    <xf borderId="2" fillId="9" fontId="2" numFmtId="46" xfId="0" applyAlignment="1" applyBorder="1" applyFont="1" applyNumberFormat="1">
      <alignment horizontal="center" vertical="bottom"/>
    </xf>
    <xf borderId="2" fillId="14" fontId="2" numFmtId="46" xfId="0" applyAlignment="1" applyBorder="1" applyFill="1" applyFont="1" applyNumberFormat="1">
      <alignment horizontal="center" vertical="bottom"/>
    </xf>
    <xf borderId="2" fillId="6" fontId="9" numFmtId="0" xfId="0" applyAlignment="1" applyBorder="1" applyFont="1">
      <alignment readingOrder="0" vertical="bottom"/>
    </xf>
    <xf borderId="2" fillId="9" fontId="2" numFmtId="46" xfId="0" applyAlignment="1" applyBorder="1" applyFont="1" applyNumberFormat="1">
      <alignment horizontal="center" readingOrder="0" vertical="bottom"/>
    </xf>
    <xf borderId="2" fillId="15" fontId="2" numFmtId="46" xfId="0" applyAlignment="1" applyBorder="1" applyFill="1" applyFont="1" applyNumberFormat="1">
      <alignment horizontal="center" vertical="bottom"/>
    </xf>
    <xf borderId="2" fillId="0" fontId="2" numFmtId="169" xfId="0" applyAlignment="1" applyBorder="1" applyFont="1" applyNumberForma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2" fillId="6" fontId="9" numFmtId="0" xfId="0" applyAlignment="1" applyBorder="1" applyFont="1">
      <alignment vertical="bottom"/>
    </xf>
    <xf borderId="2" fillId="6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readingOrder="0" shrinkToFit="0" vertical="bottom" wrapText="0"/>
    </xf>
    <xf borderId="2" fillId="6" fontId="2" numFmtId="169" xfId="0" applyAlignment="1" applyBorder="1" applyFont="1" applyNumberFormat="1">
      <alignment horizontal="center" readingOrder="0" vertical="bottom"/>
    </xf>
    <xf borderId="2" fillId="6" fontId="2" numFmtId="46" xfId="0" applyAlignment="1" applyBorder="1" applyFont="1" applyNumberFormat="1">
      <alignment horizontal="center" vertical="bottom"/>
    </xf>
    <xf borderId="2" fillId="6" fontId="13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readingOrder="0" vertical="bottom"/>
    </xf>
    <xf borderId="2" fillId="6" fontId="9" numFmtId="0" xfId="0" applyAlignment="1" applyBorder="1" applyFont="1">
      <alignment readingOrder="0" shrinkToFit="0" vertical="bottom" wrapText="0"/>
    </xf>
    <xf borderId="2" fillId="6" fontId="2" numFmtId="0" xfId="0" applyAlignment="1" applyBorder="1" applyFont="1">
      <alignment vertical="bottom"/>
    </xf>
    <xf borderId="2" fillId="6" fontId="9" numFmtId="0" xfId="0" applyAlignment="1" applyBorder="1" applyFont="1">
      <alignment vertical="bottom"/>
    </xf>
    <xf borderId="2" fillId="6" fontId="13" numFmtId="0" xfId="0" applyAlignment="1" applyBorder="1" applyFont="1">
      <alignment readingOrder="0" shrinkToFit="0" vertical="bottom" wrapText="0"/>
    </xf>
    <xf borderId="2" fillId="16" fontId="2" numFmtId="0" xfId="0" applyAlignment="1" applyBorder="1" applyFill="1" applyFont="1">
      <alignment horizontal="center" vertical="bottom"/>
    </xf>
    <xf borderId="2" fillId="16" fontId="9" numFmtId="167" xfId="0" applyAlignment="1" applyBorder="1" applyFont="1" applyNumberFormat="1">
      <alignment vertical="bottom"/>
    </xf>
    <xf borderId="2" fillId="16" fontId="2" numFmtId="0" xfId="0" applyAlignment="1" applyBorder="1" applyFont="1">
      <alignment horizontal="center" readingOrder="0" vertical="bottom"/>
    </xf>
    <xf borderId="2" fillId="16" fontId="2" numFmtId="46" xfId="0" applyAlignment="1" applyBorder="1" applyFont="1" applyNumberFormat="1">
      <alignment horizontal="center" vertical="bottom"/>
    </xf>
    <xf borderId="0" fillId="6" fontId="4" numFmtId="0" xfId="0" applyAlignment="1" applyFont="1">
      <alignment horizontal="center"/>
    </xf>
    <xf borderId="0" fillId="6" fontId="2" numFmtId="0" xfId="0" applyAlignment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shrinkToFit="0" vertical="bottom" wrapText="1"/>
    </xf>
    <xf borderId="2" fillId="6" fontId="9" numFmtId="0" xfId="0" applyAlignment="1" applyBorder="1" applyFont="1">
      <alignment shrinkToFit="0" vertical="bottom" wrapText="0"/>
    </xf>
    <xf borderId="2" fillId="0" fontId="2" numFmtId="46" xfId="0" applyAlignment="1" applyBorder="1" applyFont="1" applyNumberFormat="1">
      <alignment horizontal="center" vertical="bottom"/>
    </xf>
    <xf borderId="2" fillId="13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4" numFmtId="165" xfId="0" applyAlignment="1" applyBorder="1" applyFont="1" applyNumberFormat="1">
      <alignment horizontal="center"/>
    </xf>
    <xf borderId="2" fillId="0" fontId="4" numFmtId="165" xfId="0" applyAlignment="1" applyBorder="1" applyFont="1" applyNumberFormat="1">
      <alignment horizontal="center" readingOrder="0"/>
    </xf>
    <xf borderId="2" fillId="7" fontId="4" numFmtId="165" xfId="0" applyAlignment="1" applyBorder="1" applyFont="1" applyNumberFormat="1">
      <alignment horizontal="center" readingOrder="0" shrinkToFit="0" wrapText="0"/>
    </xf>
    <xf borderId="2" fillId="17" fontId="9" numFmtId="0" xfId="0" applyAlignment="1" applyBorder="1" applyFill="1" applyFont="1">
      <alignment vertical="bottom"/>
    </xf>
    <xf borderId="0" fillId="0" fontId="4" numFmtId="165" xfId="0" applyAlignment="1" applyFont="1" applyNumberFormat="1">
      <alignment horizontal="center" readingOrder="0"/>
    </xf>
    <xf borderId="0" fillId="0" fontId="4" numFmtId="169" xfId="0" applyAlignment="1" applyFont="1" applyNumberFormat="1">
      <alignment readingOrder="0"/>
    </xf>
    <xf borderId="1" fillId="2" fontId="5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readingOrder="0" vertical="center"/>
    </xf>
    <xf borderId="1" fillId="8" fontId="16" numFmtId="0" xfId="0" applyAlignment="1" applyBorder="1" applyFont="1">
      <alignment horizontal="center" readingOrder="0" shrinkToFit="0" vertical="center" wrapText="1"/>
    </xf>
    <xf borderId="2" fillId="0" fontId="4" numFmtId="19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vertical="bottom"/>
    </xf>
    <xf borderId="2" fillId="0" fontId="4" numFmtId="19" xfId="0" applyAlignment="1" applyBorder="1" applyFont="1" applyNumberFormat="1">
      <alignment horizontal="center"/>
    </xf>
    <xf borderId="2" fillId="5" fontId="13" numFmtId="0" xfId="0" applyAlignment="1" applyBorder="1" applyFont="1">
      <alignment readingOrder="0" shrinkToFit="0" vertical="bottom" wrapText="0"/>
    </xf>
    <xf borderId="2" fillId="8" fontId="2" numFmtId="0" xfId="0" applyAlignment="1" applyBorder="1" applyFont="1">
      <alignment readingOrder="0" shrinkToFit="0" vertical="bottom" wrapText="0"/>
    </xf>
    <xf borderId="2" fillId="8" fontId="9" numFmtId="0" xfId="0" applyAlignment="1" applyBorder="1" applyFont="1">
      <alignment vertical="bottom"/>
    </xf>
    <xf borderId="1" fillId="5" fontId="14" numFmtId="0" xfId="0" applyAlignment="1" applyBorder="1" applyFont="1">
      <alignment horizontal="center" readingOrder="0" shrinkToFit="0" vertical="center" wrapText="1"/>
    </xf>
    <xf borderId="0" fillId="2" fontId="17" numFmtId="0" xfId="0" applyAlignment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center" readingOrder="0" vertical="center"/>
    </xf>
    <xf borderId="2" fillId="4" fontId="1" numFmtId="164" xfId="0" applyAlignment="1" applyBorder="1" applyFont="1" applyNumberFormat="1">
      <alignment horizontal="center" readingOrder="0" vertical="center"/>
    </xf>
    <xf borderId="1" fillId="8" fontId="19" numFmtId="166" xfId="0" applyAlignment="1" applyBorder="1" applyFont="1" applyNumberFormat="1">
      <alignment horizontal="center" shrinkToFit="0" vertical="center" wrapText="1"/>
    </xf>
    <xf borderId="2" fillId="8" fontId="10" numFmtId="0" xfId="0" applyAlignment="1" applyBorder="1" applyFont="1">
      <alignment horizontal="center" vertical="bottom"/>
    </xf>
    <xf borderId="2" fillId="8" fontId="10" numFmtId="0" xfId="0" applyAlignment="1" applyBorder="1" applyFont="1">
      <alignment vertical="bottom"/>
    </xf>
    <xf borderId="2" fillId="18" fontId="0" numFmtId="165" xfId="0" applyAlignment="1" applyBorder="1" applyFill="1" applyFont="1" applyNumberFormat="1">
      <alignment horizontal="center" readingOrder="0" vertical="top"/>
    </xf>
    <xf borderId="2" fillId="0" fontId="4" numFmtId="165" xfId="0" applyBorder="1" applyFont="1" applyNumberFormat="1"/>
    <xf borderId="2" fillId="6" fontId="2" numFmtId="165" xfId="0" applyAlignment="1" applyBorder="1" applyFont="1" applyNumberFormat="1">
      <alignment horizontal="center" vertical="bottom"/>
    </xf>
    <xf borderId="1" fillId="5" fontId="20" numFmtId="166" xfId="0" applyAlignment="1" applyBorder="1" applyFont="1" applyNumberFormat="1">
      <alignment horizontal="center" shrinkToFit="0" vertical="center" wrapText="1"/>
    </xf>
    <xf borderId="2" fillId="5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2" fillId="0" fontId="4" numFmtId="170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shrinkToFit="0" vertical="bottom" wrapText="0"/>
    </xf>
    <xf borderId="2" fillId="10" fontId="2" numFmtId="0" xfId="0" applyAlignment="1" applyBorder="1" applyFont="1">
      <alignment horizontal="center" vertical="bottom"/>
    </xf>
    <xf borderId="2" fillId="10" fontId="2" numFmtId="0" xfId="0" applyAlignment="1" applyBorder="1" applyFont="1">
      <alignment vertical="bottom"/>
    </xf>
    <xf borderId="2" fillId="5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readingOrder="0" vertical="bottom"/>
    </xf>
    <xf borderId="1" fillId="8" fontId="20" numFmtId="0" xfId="0" applyAlignment="1" applyBorder="1" applyFont="1">
      <alignment horizontal="center" shrinkToFit="0" vertical="center" wrapText="1"/>
    </xf>
    <xf borderId="2" fillId="8" fontId="2" numFmtId="0" xfId="0" applyAlignment="1" applyBorder="1" applyFont="1">
      <alignment horizontal="center" readingOrder="0" vertical="bottom"/>
    </xf>
    <xf borderId="2" fillId="8" fontId="2" numFmtId="0" xfId="0" applyAlignment="1" applyBorder="1" applyFont="1">
      <alignment vertical="bottom"/>
    </xf>
    <xf borderId="2" fillId="9" fontId="2" numFmtId="0" xfId="0" applyAlignment="1" applyBorder="1" applyFont="1">
      <alignment horizontal="center" readingOrder="0" vertical="bottom"/>
    </xf>
    <xf borderId="2" fillId="9" fontId="2" numFmtId="0" xfId="0" applyAlignment="1" applyBorder="1" applyFont="1">
      <alignment shrinkToFit="0" vertical="bottom" wrapText="0"/>
    </xf>
    <xf borderId="2" fillId="8" fontId="2" numFmtId="0" xfId="0" applyAlignment="1" applyBorder="1" applyFont="1">
      <alignment readingOrder="0" vertical="bottom"/>
    </xf>
    <xf borderId="2" fillId="7" fontId="4" numFmtId="170" xfId="0" applyAlignment="1" applyBorder="1" applyFont="1" applyNumberFormat="1">
      <alignment horizontal="center" readingOrder="0"/>
    </xf>
    <xf borderId="0" fillId="0" fontId="4" numFmtId="170" xfId="0" applyAlignment="1" applyFont="1" applyNumberFormat="1">
      <alignment readingOrder="0"/>
    </xf>
    <xf borderId="4" fillId="5" fontId="20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vertical="bottom"/>
    </xf>
    <xf borderId="1" fillId="8" fontId="20" numFmtId="166" xfId="0" applyAlignment="1" applyBorder="1" applyFont="1" applyNumberFormat="1">
      <alignment horizontal="center" shrinkToFit="0" vertical="center" wrapText="1"/>
    </xf>
    <xf borderId="0" fillId="9" fontId="2" numFmtId="0" xfId="0" applyAlignment="1" applyFont="1">
      <alignment vertical="bottom"/>
    </xf>
    <xf borderId="1" fillId="5" fontId="21" numFmtId="0" xfId="0" applyAlignment="1" applyBorder="1" applyFont="1">
      <alignment horizontal="center" shrinkToFit="0" vertical="center" wrapText="1"/>
    </xf>
    <xf borderId="1" fillId="10" fontId="20" numFmtId="0" xfId="0" applyAlignment="1" applyBorder="1" applyFont="1">
      <alignment horizontal="center" shrinkToFit="0" vertical="center" wrapText="1"/>
    </xf>
    <xf borderId="2" fillId="10" fontId="2" numFmtId="0" xfId="0" applyAlignment="1" applyBorder="1" applyFont="1">
      <alignment horizontal="center" readingOrder="0" vertical="bottom"/>
    </xf>
    <xf borderId="2" fillId="10" fontId="2" numFmtId="0" xfId="0" applyAlignment="1" applyBorder="1" applyFont="1">
      <alignment shrinkToFit="0" vertical="bottom" wrapText="1"/>
    </xf>
    <xf borderId="2" fillId="10" fontId="2" numFmtId="0" xfId="0" applyAlignment="1" applyBorder="1" applyFont="1">
      <alignment shrinkToFit="0" vertical="bottom" wrapText="0"/>
    </xf>
    <xf borderId="10" fillId="19" fontId="22" numFmtId="0" xfId="0" applyAlignment="1" applyBorder="1" applyFill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8" fillId="12" fontId="15" numFmtId="0" xfId="0" applyAlignment="1" applyBorder="1" applyFont="1">
      <alignment horizontal="center" shrinkToFit="0" vertical="center" wrapText="1"/>
    </xf>
    <xf borderId="9" fillId="12" fontId="15" numFmtId="0" xfId="0" applyAlignment="1" applyBorder="1" applyFont="1">
      <alignment horizontal="center" shrinkToFit="0" vertical="center" wrapText="1"/>
    </xf>
    <xf borderId="8" fillId="12" fontId="15" numFmtId="0" xfId="0" applyAlignment="1" applyBorder="1" applyFont="1">
      <alignment horizontal="center" readingOrder="0" shrinkToFit="0" vertical="center" wrapText="1"/>
    </xf>
    <xf borderId="8" fillId="13" fontId="15" numFmtId="0" xfId="0" applyAlignment="1" applyBorder="1" applyFont="1">
      <alignment horizontal="center" shrinkToFit="0" vertical="center" wrapText="1"/>
    </xf>
    <xf borderId="8" fillId="13" fontId="15" numFmtId="0" xfId="0" applyAlignment="1" applyBorder="1" applyFont="1">
      <alignment horizontal="center" readingOrder="0" shrinkToFit="0" vertical="center" wrapText="1"/>
    </xf>
    <xf borderId="2" fillId="19" fontId="23" numFmtId="0" xfId="0" applyAlignment="1" applyBorder="1" applyFont="1">
      <alignment horizontal="center" shrinkToFit="0" vertical="center" wrapText="1"/>
    </xf>
    <xf borderId="2" fillId="19" fontId="23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vertical="bottom"/>
    </xf>
    <xf borderId="2" fillId="20" fontId="2" numFmtId="0" xfId="0" applyAlignment="1" applyBorder="1" applyFill="1" applyFont="1">
      <alignment horizontal="center" readingOrder="0" vertical="bottom"/>
    </xf>
    <xf borderId="2" fillId="21" fontId="2" numFmtId="169" xfId="0" applyAlignment="1" applyBorder="1" applyFill="1" applyFont="1" applyNumberFormat="1">
      <alignment horizontal="center" readingOrder="0" vertical="bottom"/>
    </xf>
    <xf borderId="2" fillId="6" fontId="2" numFmtId="0" xfId="0" applyAlignment="1" applyBorder="1" applyFont="1">
      <alignment readingOrder="0" vertical="bottom"/>
    </xf>
    <xf borderId="2" fillId="6" fontId="9" numFmtId="0" xfId="0" applyAlignment="1" applyBorder="1" applyFont="1">
      <alignment readingOrder="0" shrinkToFit="0" vertical="bottom" wrapText="1"/>
    </xf>
    <xf borderId="2" fillId="7" fontId="4" numFmtId="46" xfId="0" applyAlignment="1" applyBorder="1" applyFont="1" applyNumberFormat="1">
      <alignment horizontal="center"/>
    </xf>
    <xf borderId="2" fillId="5" fontId="10" numFmtId="0" xfId="0" applyAlignment="1" applyBorder="1" applyFont="1">
      <alignment horizontal="center" vertical="bottom"/>
    </xf>
    <xf borderId="2" fillId="9" fontId="2" numFmtId="0" xfId="0" applyAlignment="1" applyBorder="1" applyFont="1">
      <alignment horizontal="center" vertical="bottom"/>
    </xf>
    <xf borderId="2" fillId="8" fontId="2" numFmtId="0" xfId="0" applyAlignment="1" applyBorder="1" applyFont="1">
      <alignment horizontal="center" vertical="bottom"/>
    </xf>
    <xf borderId="2" fillId="9" fontId="10" numFmtId="0" xfId="0" applyAlignment="1" applyBorder="1" applyFont="1">
      <alignment horizontal="center" vertical="bottom"/>
    </xf>
    <xf borderId="2" fillId="0" fontId="4" numFmtId="170" xfId="0" applyAlignment="1" applyBorder="1" applyFont="1" applyNumberFormat="1">
      <alignment readingOrder="0"/>
    </xf>
    <xf borderId="2" fillId="8" fontId="10" numFmtId="0" xfId="0" applyAlignment="1" applyBorder="1" applyFont="1">
      <alignment horizontal="center" readingOrder="0" vertical="bottom"/>
    </xf>
    <xf borderId="2" fillId="9" fontId="10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center" shrinkToFit="0" vertical="center" wrapText="0"/>
    </xf>
    <xf borderId="2" fillId="5" fontId="10" numFmtId="0" xfId="0" applyAlignment="1" applyBorder="1" applyFont="1">
      <alignment horizontal="center" readingOrder="0" vertical="bottom"/>
    </xf>
    <xf borderId="2" fillId="10" fontId="10" numFmtId="0" xfId="0" applyAlignment="1" applyBorder="1" applyFont="1">
      <alignment horizontal="center" readingOrder="0" vertical="bottom"/>
    </xf>
    <xf borderId="1" fillId="8" fontId="20" numFmtId="166" xfId="0" applyAlignment="1" applyBorder="1" applyFont="1" applyNumberFormat="1">
      <alignment horizontal="center" shrinkToFit="0" vertical="center" wrapText="0"/>
    </xf>
    <xf borderId="2" fillId="8" fontId="10" numFmtId="0" xfId="0" applyAlignment="1" applyBorder="1" applyFont="1">
      <alignment horizontal="left" vertical="bottom"/>
    </xf>
    <xf borderId="2" fillId="5" fontId="2" numFmtId="0" xfId="0" applyAlignment="1" applyBorder="1" applyFont="1">
      <alignment horizontal="left" vertical="bottom"/>
    </xf>
    <xf borderId="2" fillId="5" fontId="2" numFmtId="0" xfId="0" applyAlignment="1" applyBorder="1" applyFont="1">
      <alignment horizontal="left" shrinkToFit="0" vertical="bottom" wrapText="0"/>
    </xf>
    <xf borderId="2" fillId="5" fontId="2" numFmtId="0" xfId="0" applyAlignment="1" applyBorder="1" applyFont="1">
      <alignment horizontal="left" readingOrder="0" vertical="bottom"/>
    </xf>
    <xf borderId="2" fillId="8" fontId="2" numFmtId="0" xfId="0" applyAlignment="1" applyBorder="1" applyFont="1">
      <alignment horizontal="left" vertical="bottom"/>
    </xf>
    <xf borderId="2" fillId="8" fontId="2" numFmtId="0" xfId="0" applyAlignment="1" applyBorder="1" applyFont="1">
      <alignment horizontal="left" readingOrder="0" vertical="bottom"/>
    </xf>
    <xf borderId="2" fillId="9" fontId="2" numFmtId="0" xfId="0" applyAlignment="1" applyBorder="1" applyFont="1">
      <alignment horizontal="left" vertical="bottom"/>
    </xf>
    <xf borderId="0" fillId="5" fontId="2" numFmtId="0" xfId="0" applyAlignment="1" applyFont="1">
      <alignment horizontal="left" vertical="bottom"/>
    </xf>
    <xf borderId="0" fillId="9" fontId="2" numFmtId="0" xfId="0" applyAlignment="1" applyFont="1">
      <alignment horizontal="left" vertical="bottom"/>
    </xf>
    <xf borderId="2" fillId="10" fontId="2" numFmtId="0" xfId="0" applyAlignment="1" applyBorder="1" applyFont="1">
      <alignment horizontal="left" vertical="bottom"/>
    </xf>
    <xf borderId="2" fillId="10" fontId="2" numFmtId="0" xfId="0" applyAlignment="1" applyBorder="1" applyFont="1">
      <alignment horizontal="left" shrinkToFit="0" vertical="bottom" wrapText="1"/>
    </xf>
    <xf borderId="2" fillId="10" fontId="2" numFmtId="0" xfId="0" applyAlignment="1" applyBorder="1" applyFont="1">
      <alignment horizontal="left" shrinkToFit="0" vertical="bottom" wrapText="0"/>
    </xf>
    <xf borderId="2" fillId="22" fontId="2" numFmtId="0" xfId="0" applyAlignment="1" applyBorder="1" applyFill="1" applyFont="1">
      <alignment horizontal="center" readingOrder="0" vertical="bottom"/>
    </xf>
    <xf borderId="2" fillId="22" fontId="2" numFmtId="0" xfId="0" applyAlignment="1" applyBorder="1" applyFont="1">
      <alignment horizontal="left" vertical="bottom"/>
    </xf>
    <xf borderId="2" fillId="22" fontId="10" numFmtId="46" xfId="0" applyAlignment="1" applyBorder="1" applyFont="1" applyNumberFormat="1">
      <alignment horizontal="center" shrinkToFit="0" vertical="bottom" wrapText="0"/>
    </xf>
    <xf borderId="2" fillId="22" fontId="4" numFmtId="165" xfId="0" applyAlignment="1" applyBorder="1" applyFont="1" applyNumberFormat="1">
      <alignment horizontal="center"/>
    </xf>
    <xf borderId="2" fillId="22" fontId="4" numFmtId="165" xfId="0" applyAlignment="1" applyBorder="1" applyFont="1" applyNumberFormat="1">
      <alignment horizontal="center" readingOrder="0"/>
    </xf>
    <xf borderId="2" fillId="22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7" fontId="4" numFmtId="165" xfId="0" applyAlignment="1" applyBorder="1" applyFont="1" applyNumberFormat="1">
      <alignment horizontal="center" readingOrder="0"/>
    </xf>
    <xf borderId="2" fillId="2" fontId="23" numFmtId="0" xfId="0" applyAlignment="1" applyBorder="1" applyFont="1">
      <alignment horizontal="center" vertical="center"/>
    </xf>
    <xf borderId="2" fillId="2" fontId="23" numFmtId="164" xfId="0" applyAlignment="1" applyBorder="1" applyFont="1" applyNumberFormat="1">
      <alignment horizontal="center" readingOrder="0" vertical="center"/>
    </xf>
    <xf borderId="2" fillId="0" fontId="24" numFmtId="165" xfId="0" applyBorder="1" applyFont="1" applyNumberFormat="1"/>
    <xf borderId="2" fillId="0" fontId="24" numFmtId="0" xfId="0" applyBorder="1" applyFont="1"/>
    <xf borderId="2" fillId="0" fontId="24" numFmtId="165" xfId="0" applyAlignment="1" applyBorder="1" applyFont="1" applyNumberFormat="1">
      <alignment horizontal="center"/>
    </xf>
    <xf borderId="2" fillId="0" fontId="24" numFmtId="0" xfId="0" applyAlignment="1" applyBorder="1" applyFont="1">
      <alignment horizontal="center" readingOrder="0"/>
    </xf>
    <xf borderId="2" fillId="0" fontId="24" numFmtId="165" xfId="0" applyAlignment="1" applyBorder="1" applyFont="1" applyNumberFormat="1">
      <alignment horizontal="center" readingOrder="0"/>
    </xf>
    <xf borderId="2" fillId="0" fontId="24" numFmtId="170" xfId="0" applyAlignment="1" applyBorder="1" applyFont="1" applyNumberFormat="1">
      <alignment horizontal="center" readingOrder="0"/>
    </xf>
    <xf borderId="0" fillId="0" fontId="4" numFmtId="0" xfId="0" applyFont="1"/>
    <xf borderId="2" fillId="0" fontId="4" numFmtId="0" xfId="0" applyAlignment="1" applyBorder="1" applyFont="1">
      <alignment horizontal="center"/>
    </xf>
    <xf borderId="2" fillId="10" fontId="10" numFmtId="0" xfId="0" applyAlignment="1" applyBorder="1" applyFont="1">
      <alignment horizontal="center" vertical="bottom"/>
    </xf>
    <xf borderId="2" fillId="0" fontId="24" numFmtId="0" xfId="0" applyAlignment="1" applyBorder="1" applyFont="1">
      <alignment readingOrder="0"/>
    </xf>
    <xf borderId="2" fillId="0" fontId="24" numFmtId="170" xfId="0" applyAlignment="1" applyBorder="1" applyFont="1" applyNumberFormat="1">
      <alignment readingOrder="0"/>
    </xf>
    <xf borderId="2" fillId="0" fontId="24" numFmtId="165" xfId="0" applyAlignment="1" applyBorder="1" applyFont="1" applyNumberFormat="1">
      <alignment readingOrder="0"/>
    </xf>
    <xf borderId="2" fillId="0" fontId="4" numFmtId="0" xfId="0" applyBorder="1" applyFont="1"/>
    <xf borderId="0" fillId="0" fontId="24" numFmtId="0" xfId="0" applyAlignment="1" applyFont="1">
      <alignment horizontal="center"/>
    </xf>
    <xf borderId="0" fillId="0" fontId="24" numFmtId="0" xfId="0" applyFont="1"/>
    <xf borderId="2" fillId="6" fontId="4" numFmtId="169" xfId="0" applyAlignment="1" applyBorder="1" applyFont="1" applyNumberForma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2" fillId="0" fontId="4" numFmtId="169" xfId="0" applyAlignment="1" applyBorder="1" applyFont="1" applyNumberFormat="1">
      <alignment horizontal="center" readingOrder="0"/>
    </xf>
    <xf borderId="2" fillId="0" fontId="4" numFmtId="46" xfId="0" applyAlignment="1" applyBorder="1" applyFont="1" applyNumberFormat="1">
      <alignment horizontal="center"/>
    </xf>
    <xf borderId="2" fillId="0" fontId="4" numFmtId="0" xfId="0" applyAlignment="1" applyBorder="1" applyFon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0" fontId="4" numFmtId="46" xfId="0" applyFont="1" applyNumberFormat="1"/>
    <xf borderId="2" fillId="0" fontId="4" numFmtId="46" xfId="0" applyAlignment="1" applyBorder="1" applyFont="1" applyNumberFormat="1">
      <alignment horizontal="center" readingOrder="0"/>
    </xf>
    <xf borderId="2" fillId="0" fontId="24" numFmtId="0" xfId="0" applyAlignment="1" applyBorder="1" applyFont="1">
      <alignment horizontal="center"/>
    </xf>
    <xf borderId="1" fillId="8" fontId="21" numFmtId="0" xfId="0" applyAlignment="1" applyBorder="1" applyFont="1">
      <alignment horizontal="center" shrinkToFit="0" vertical="center" wrapText="0"/>
    </xf>
    <xf borderId="2" fillId="23" fontId="2" numFmtId="0" xfId="0" applyAlignment="1" applyBorder="1" applyFill="1" applyFont="1">
      <alignment horizontal="center" readingOrder="0" vertical="bottom"/>
    </xf>
    <xf borderId="2" fillId="6" fontId="2" numFmtId="46" xfId="0" applyAlignment="1" applyBorder="1" applyFont="1" applyNumberFormat="1">
      <alignment horizontal="center" readingOrder="0" vertical="bottom"/>
    </xf>
    <xf borderId="0" fillId="0" fontId="4" numFmtId="46" xfId="0" applyAlignment="1" applyFont="1" applyNumberFormat="1">
      <alignment horizontal="center"/>
    </xf>
    <xf borderId="2" fillId="6" fontId="4" numFmtId="0" xfId="0" applyAlignment="1" applyBorder="1" applyFont="1">
      <alignment readingOrder="0"/>
    </xf>
    <xf borderId="2" fillId="4" fontId="23" numFmtId="0" xfId="0" applyAlignment="1" applyBorder="1" applyFont="1">
      <alignment horizontal="center" vertical="center"/>
    </xf>
    <xf borderId="2" fillId="4" fontId="23" numFmtId="164" xfId="0" applyAlignment="1" applyBorder="1" applyFont="1" applyNumberFormat="1">
      <alignment horizontal="center" readingOrder="0" vertical="center"/>
    </xf>
    <xf borderId="2" fillId="24" fontId="10" numFmtId="0" xfId="0" applyAlignment="1" applyBorder="1" applyFill="1" applyFont="1">
      <alignment horizontal="center" vertical="bottom"/>
    </xf>
    <xf borderId="2" fillId="24" fontId="10" numFmtId="0" xfId="0" applyAlignment="1" applyBorder="1" applyFont="1">
      <alignment horizontal="center" readingOrder="0" vertical="bottom"/>
    </xf>
    <xf borderId="1" fillId="5" fontId="20" numFmtId="166" xfId="0" applyAlignment="1" applyBorder="1" applyFont="1" applyNumberFormat="1">
      <alignment horizontal="center" readingOrder="0" shrinkToFit="0" vertical="center" wrapText="1"/>
    </xf>
    <xf borderId="2" fillId="0" fontId="24" numFmtId="0" xfId="0" applyAlignment="1" applyBorder="1" applyFont="1">
      <alignment horizontal="center" readingOrder="0" shrinkToFit="0" wrapText="0"/>
    </xf>
    <xf borderId="1" fillId="8" fontId="19" numFmtId="0" xfId="0" applyAlignment="1" applyBorder="1" applyFont="1">
      <alignment horizontal="center" readingOrder="0" shrinkToFit="0" vertical="center" wrapText="0"/>
    </xf>
    <xf borderId="2" fillId="10" fontId="2" numFmtId="0" xfId="0" applyAlignment="1" applyBorder="1" applyFont="1">
      <alignment horizontal="left" readingOrder="0" vertical="bottom"/>
    </xf>
    <xf borderId="0" fillId="0" fontId="4" numFmtId="165" xfId="0" applyFont="1" applyNumberFormat="1"/>
    <xf borderId="2" fillId="25" fontId="23" numFmtId="0" xfId="0" applyAlignment="1" applyBorder="1" applyFill="1" applyFont="1">
      <alignment horizontal="center" vertical="center"/>
    </xf>
    <xf borderId="2" fillId="25" fontId="1" numFmtId="0" xfId="0" applyAlignment="1" applyBorder="1" applyFont="1">
      <alignment horizontal="center" vertical="center"/>
    </xf>
    <xf borderId="2" fillId="22" fontId="10" numFmtId="0" xfId="0" applyAlignment="1" applyBorder="1" applyFont="1">
      <alignment horizontal="left" vertical="bottom"/>
    </xf>
    <xf borderId="2" fillId="22" fontId="10" numFmtId="0" xfId="0" applyAlignment="1" applyBorder="1" applyFont="1">
      <alignment horizontal="center" readingOrder="0" shrinkToFit="0" vertical="bottom" wrapText="0"/>
    </xf>
    <xf borderId="2" fillId="26" fontId="24" numFmtId="165" xfId="0" applyAlignment="1" applyBorder="1" applyFill="1" applyFont="1" applyNumberFormat="1">
      <alignment horizontal="center" readingOrder="0"/>
    </xf>
    <xf borderId="2" fillId="26" fontId="24" numFmtId="0" xfId="0" applyAlignment="1" applyBorder="1" applyFont="1">
      <alignment horizontal="center" readingOrder="0"/>
    </xf>
    <xf borderId="2" fillId="26" fontId="24" numFmtId="165" xfId="0" applyAlignment="1" applyBorder="1" applyFont="1" applyNumberFormat="1">
      <alignment horizontal="center"/>
    </xf>
    <xf borderId="2" fillId="22" fontId="2" numFmtId="0" xfId="0" applyAlignment="1" applyBorder="1" applyFont="1">
      <alignment horizontal="left" readingOrder="0" vertical="bottom"/>
    </xf>
    <xf borderId="2" fillId="27" fontId="2" numFmtId="0" xfId="0" applyAlignment="1" applyBorder="1" applyFill="1" applyFont="1">
      <alignment horizontal="left" readingOrder="0" vertical="bottom"/>
    </xf>
    <xf borderId="2" fillId="28" fontId="2" numFmtId="0" xfId="0" applyAlignment="1" applyBorder="1" applyFill="1" applyFont="1">
      <alignment horizontal="left" readingOrder="0" vertical="bottom"/>
    </xf>
    <xf borderId="8" fillId="29" fontId="15" numFmtId="0" xfId="0" applyAlignment="1" applyBorder="1" applyFill="1" applyFont="1">
      <alignment horizontal="center" shrinkToFit="0" vertical="center" wrapText="1"/>
    </xf>
    <xf borderId="8" fillId="29" fontId="15" numFmtId="0" xfId="0" applyAlignment="1" applyBorder="1" applyFont="1">
      <alignment horizontal="center" readingOrder="0" shrinkToFit="0" vertical="center" wrapText="1"/>
    </xf>
    <xf borderId="2" fillId="6" fontId="10" numFmtId="0" xfId="0" applyAlignment="1" applyBorder="1" applyFont="1">
      <alignment horizontal="left" vertical="bottom"/>
    </xf>
    <xf borderId="2" fillId="6" fontId="2" numFmtId="169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left" vertical="bottom"/>
    </xf>
    <xf borderId="2" fillId="6" fontId="2" numFmtId="0" xfId="0" applyAlignment="1" applyBorder="1" applyFont="1">
      <alignment horizontal="left" readingOrder="0" vertical="bottom"/>
    </xf>
    <xf borderId="2" fillId="6" fontId="2" numFmtId="0" xfId="0" applyAlignment="1" applyBorder="1" applyFont="1">
      <alignment horizontal="left" shrinkToFit="0" vertical="bottom" wrapText="0"/>
    </xf>
    <xf borderId="2" fillId="6" fontId="4" numFmtId="46" xfId="0" applyAlignment="1" applyBorder="1" applyFont="1" applyNumberFormat="1">
      <alignment horizontal="center"/>
    </xf>
    <xf borderId="2" fillId="0" fontId="4" numFmtId="169" xfId="0" applyAlignment="1" applyBorder="1" applyFont="1" applyNumberFormat="1">
      <alignment horizontal="center"/>
    </xf>
    <xf borderId="10" fillId="23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6" fontId="2" numFmtId="169" xfId="0" applyAlignment="1" applyFont="1" applyNumberFormat="1">
      <alignment horizontal="center" vertical="bottom"/>
    </xf>
    <xf borderId="0" fillId="6" fontId="2" numFmtId="169" xfId="0" applyAlignment="1" applyFont="1" applyNumberFormat="1">
      <alignment horizontal="center" readingOrder="0" vertical="bottom"/>
    </xf>
    <xf borderId="2" fillId="6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71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9.0</v>
      </c>
      <c r="B3" s="2" t="s">
        <v>9</v>
      </c>
      <c r="C3" s="2" t="s">
        <v>10</v>
      </c>
      <c r="D3" s="2" t="s">
        <v>7</v>
      </c>
      <c r="E3" s="2" t="s">
        <v>11</v>
      </c>
      <c r="I3" s="3" t="s">
        <v>12</v>
      </c>
    </row>
    <row r="4">
      <c r="A4" s="2">
        <v>29.0</v>
      </c>
      <c r="B4" s="2" t="s">
        <v>13</v>
      </c>
      <c r="C4" s="2" t="s">
        <v>14</v>
      </c>
      <c r="D4" s="2" t="s">
        <v>7</v>
      </c>
      <c r="E4" s="2" t="s">
        <v>15</v>
      </c>
      <c r="I4" s="4" t="str">
        <f>VLOOKUP($C:$C,Data!$D:$P,13,false)</f>
        <v>#N/A</v>
      </c>
    </row>
    <row r="5">
      <c r="A5" s="2">
        <v>39.0</v>
      </c>
      <c r="B5" s="2" t="s">
        <v>16</v>
      </c>
      <c r="C5" s="2" t="s">
        <v>17</v>
      </c>
      <c r="D5" s="2" t="s">
        <v>7</v>
      </c>
      <c r="E5" s="2" t="s">
        <v>18</v>
      </c>
    </row>
    <row r="6">
      <c r="A6" s="2">
        <v>42.0</v>
      </c>
      <c r="B6" s="2" t="s">
        <v>19</v>
      </c>
      <c r="C6" s="2" t="s">
        <v>20</v>
      </c>
      <c r="D6" s="2" t="s">
        <v>7</v>
      </c>
      <c r="E6" s="2" t="s">
        <v>21</v>
      </c>
    </row>
    <row r="7">
      <c r="A7" s="2">
        <v>53.0</v>
      </c>
      <c r="B7" s="2" t="s">
        <v>22</v>
      </c>
      <c r="C7" s="2" t="s">
        <v>23</v>
      </c>
      <c r="D7" s="2" t="s">
        <v>7</v>
      </c>
      <c r="E7" s="2" t="s">
        <v>24</v>
      </c>
    </row>
    <row r="8">
      <c r="A8" s="2">
        <v>63.0</v>
      </c>
      <c r="B8" s="2" t="s">
        <v>25</v>
      </c>
      <c r="C8" s="2" t="s">
        <v>26</v>
      </c>
      <c r="D8" s="2" t="s">
        <v>7</v>
      </c>
      <c r="E8" s="2" t="s">
        <v>27</v>
      </c>
    </row>
    <row r="9">
      <c r="A9" s="2">
        <v>86.0</v>
      </c>
      <c r="B9" s="2" t="s">
        <v>28</v>
      </c>
      <c r="C9" s="2" t="s">
        <v>29</v>
      </c>
      <c r="D9" s="2" t="s">
        <v>7</v>
      </c>
      <c r="E9" s="2" t="s">
        <v>30</v>
      </c>
    </row>
    <row r="10">
      <c r="A10" s="2">
        <v>88.0</v>
      </c>
      <c r="B10" s="2" t="s">
        <v>31</v>
      </c>
      <c r="C10" s="2" t="s">
        <v>32</v>
      </c>
      <c r="D10" s="2" t="s">
        <v>7</v>
      </c>
      <c r="E10" s="2" t="s">
        <v>33</v>
      </c>
    </row>
    <row r="11">
      <c r="A11" s="2">
        <v>93.0</v>
      </c>
      <c r="B11" s="2" t="s">
        <v>34</v>
      </c>
      <c r="C11" s="2" t="s">
        <v>35</v>
      </c>
      <c r="D11" s="2" t="s">
        <v>7</v>
      </c>
      <c r="E11" s="2" t="s">
        <v>36</v>
      </c>
    </row>
    <row r="12">
      <c r="A12" s="2">
        <v>94.0</v>
      </c>
      <c r="B12" s="2" t="s">
        <v>37</v>
      </c>
      <c r="C12" s="2" t="s">
        <v>38</v>
      </c>
      <c r="D12" s="2" t="s">
        <v>7</v>
      </c>
      <c r="E12" s="2" t="s">
        <v>39</v>
      </c>
    </row>
    <row r="13">
      <c r="A13" s="2">
        <v>95.0</v>
      </c>
      <c r="B13" s="2" t="s">
        <v>40</v>
      </c>
      <c r="C13" s="2" t="s">
        <v>41</v>
      </c>
      <c r="D13" s="2" t="s">
        <v>42</v>
      </c>
      <c r="E13" s="2" t="s">
        <v>43</v>
      </c>
    </row>
    <row r="14">
      <c r="A14" s="2">
        <v>96.0</v>
      </c>
      <c r="B14" s="2" t="s">
        <v>44</v>
      </c>
      <c r="C14" s="2" t="s">
        <v>45</v>
      </c>
      <c r="D14" s="2" t="s">
        <v>7</v>
      </c>
      <c r="E14" s="2" t="s">
        <v>46</v>
      </c>
    </row>
    <row r="15">
      <c r="A15" s="2">
        <v>99.0</v>
      </c>
      <c r="B15" s="2" t="s">
        <v>47</v>
      </c>
      <c r="C15" s="2" t="s">
        <v>48</v>
      </c>
      <c r="D15" s="2" t="s">
        <v>7</v>
      </c>
      <c r="E15" s="2" t="s">
        <v>49</v>
      </c>
    </row>
    <row r="16">
      <c r="A16" s="2">
        <v>100.0</v>
      </c>
      <c r="B16" s="2" t="s">
        <v>50</v>
      </c>
      <c r="C16" s="2" t="s">
        <v>51</v>
      </c>
      <c r="D16" s="2" t="s">
        <v>7</v>
      </c>
      <c r="E16" s="2" t="s">
        <v>52</v>
      </c>
    </row>
    <row r="17">
      <c r="A17" s="2">
        <v>103.0</v>
      </c>
      <c r="B17" s="2" t="s">
        <v>53</v>
      </c>
      <c r="C17" s="2" t="s">
        <v>54</v>
      </c>
      <c r="D17" s="2" t="s">
        <v>7</v>
      </c>
      <c r="E17" s="2" t="s">
        <v>55</v>
      </c>
    </row>
    <row r="18">
      <c r="A18" s="2">
        <v>104.0</v>
      </c>
      <c r="B18" s="2" t="s">
        <v>56</v>
      </c>
      <c r="C18" s="2" t="s">
        <v>57</v>
      </c>
      <c r="D18" s="2" t="s">
        <v>7</v>
      </c>
      <c r="E18" s="2" t="s">
        <v>58</v>
      </c>
    </row>
    <row r="19">
      <c r="A19" s="2">
        <v>109.0</v>
      </c>
      <c r="B19" s="2" t="s">
        <v>59</v>
      </c>
      <c r="C19" s="2" t="s">
        <v>60</v>
      </c>
      <c r="D19" s="2" t="s">
        <v>7</v>
      </c>
      <c r="E19" s="2" t="s">
        <v>61</v>
      </c>
    </row>
    <row r="20">
      <c r="A20" s="2">
        <v>110.0</v>
      </c>
      <c r="B20" s="2" t="s">
        <v>62</v>
      </c>
      <c r="C20" s="2" t="s">
        <v>63</v>
      </c>
      <c r="D20" s="2" t="s">
        <v>7</v>
      </c>
      <c r="E20" s="2" t="s">
        <v>64</v>
      </c>
    </row>
    <row r="21">
      <c r="A21" s="2">
        <v>111.0</v>
      </c>
      <c r="B21" s="2" t="s">
        <v>65</v>
      </c>
      <c r="C21" s="2" t="s">
        <v>66</v>
      </c>
      <c r="D21" s="2" t="s">
        <v>7</v>
      </c>
      <c r="E21" s="2" t="s">
        <v>67</v>
      </c>
    </row>
    <row r="22">
      <c r="A22" s="2">
        <v>113.0</v>
      </c>
      <c r="B22" s="2" t="s">
        <v>68</v>
      </c>
      <c r="C22" s="2" t="s">
        <v>69</v>
      </c>
      <c r="D22" s="2" t="s">
        <v>7</v>
      </c>
      <c r="E22" s="2" t="s">
        <v>70</v>
      </c>
    </row>
    <row r="23">
      <c r="A23" s="2">
        <v>115.0</v>
      </c>
      <c r="B23" s="2" t="s">
        <v>71</v>
      </c>
      <c r="C23" s="2" t="s">
        <v>72</v>
      </c>
      <c r="D23" s="2" t="s">
        <v>7</v>
      </c>
      <c r="E23" s="2" t="s">
        <v>73</v>
      </c>
    </row>
    <row r="24">
      <c r="A24" s="2">
        <v>119.0</v>
      </c>
      <c r="B24" s="2" t="s">
        <v>74</v>
      </c>
      <c r="C24" s="2" t="s">
        <v>75</v>
      </c>
      <c r="D24" s="2" t="s">
        <v>7</v>
      </c>
      <c r="E24" s="2" t="s">
        <v>76</v>
      </c>
    </row>
    <row r="25">
      <c r="A25" s="2">
        <v>120.0</v>
      </c>
      <c r="B25" s="2" t="s">
        <v>77</v>
      </c>
      <c r="C25" s="2" t="s">
        <v>78</v>
      </c>
      <c r="D25" s="2" t="s">
        <v>7</v>
      </c>
      <c r="E25" s="2" t="s">
        <v>79</v>
      </c>
    </row>
    <row r="26">
      <c r="A26" s="2">
        <v>122.0</v>
      </c>
      <c r="B26" s="2" t="s">
        <v>80</v>
      </c>
      <c r="C26" s="2" t="s">
        <v>81</v>
      </c>
      <c r="D26" s="2" t="s">
        <v>7</v>
      </c>
      <c r="E26" s="2" t="s">
        <v>82</v>
      </c>
    </row>
    <row r="27">
      <c r="A27" s="2">
        <v>124.0</v>
      </c>
      <c r="B27" s="2" t="s">
        <v>83</v>
      </c>
      <c r="C27" s="2" t="s">
        <v>84</v>
      </c>
      <c r="D27" s="2" t="s">
        <v>7</v>
      </c>
      <c r="E27" s="2" t="s">
        <v>85</v>
      </c>
    </row>
    <row r="28">
      <c r="A28" s="2">
        <v>127.0</v>
      </c>
      <c r="B28" s="2" t="s">
        <v>86</v>
      </c>
      <c r="C28" s="2" t="s">
        <v>87</v>
      </c>
      <c r="D28" s="2" t="s">
        <v>7</v>
      </c>
      <c r="E28" s="2" t="s">
        <v>88</v>
      </c>
    </row>
    <row r="29">
      <c r="A29" s="2">
        <v>128.0</v>
      </c>
      <c r="B29" s="2" t="s">
        <v>89</v>
      </c>
      <c r="C29" s="2" t="s">
        <v>90</v>
      </c>
      <c r="D29" s="2" t="s">
        <v>7</v>
      </c>
      <c r="E29" s="2" t="s">
        <v>91</v>
      </c>
    </row>
    <row r="30">
      <c r="A30" s="2">
        <v>129.0</v>
      </c>
      <c r="B30" s="2" t="s">
        <v>92</v>
      </c>
      <c r="C30" s="2" t="s">
        <v>93</v>
      </c>
      <c r="D30" s="2" t="s">
        <v>7</v>
      </c>
      <c r="E30" s="2" t="s">
        <v>94</v>
      </c>
    </row>
    <row r="31">
      <c r="A31" s="2">
        <v>134.0</v>
      </c>
      <c r="B31" s="2" t="s">
        <v>95</v>
      </c>
      <c r="C31" s="2" t="s">
        <v>96</v>
      </c>
      <c r="D31" s="2" t="s">
        <v>42</v>
      </c>
      <c r="E31" s="2" t="s">
        <v>97</v>
      </c>
    </row>
    <row r="32">
      <c r="A32" s="2">
        <v>140.0</v>
      </c>
      <c r="B32" s="2" t="s">
        <v>98</v>
      </c>
      <c r="C32" s="2" t="s">
        <v>99</v>
      </c>
      <c r="D32" s="2" t="s">
        <v>7</v>
      </c>
      <c r="E32" s="2" t="s">
        <v>100</v>
      </c>
    </row>
    <row r="33">
      <c r="A33" s="2">
        <v>141.0</v>
      </c>
      <c r="B33" s="2" t="s">
        <v>101</v>
      </c>
      <c r="C33" s="2" t="s">
        <v>102</v>
      </c>
      <c r="D33" s="2" t="s">
        <v>7</v>
      </c>
      <c r="E33" s="2" t="s">
        <v>103</v>
      </c>
    </row>
    <row r="34">
      <c r="A34" s="2">
        <v>142.0</v>
      </c>
      <c r="B34" s="2" t="s">
        <v>104</v>
      </c>
      <c r="C34" s="2" t="s">
        <v>105</v>
      </c>
      <c r="D34" s="2" t="s">
        <v>7</v>
      </c>
      <c r="E34" s="2" t="s">
        <v>106</v>
      </c>
    </row>
    <row r="35">
      <c r="A35" s="2">
        <v>143.0</v>
      </c>
      <c r="B35" s="2" t="s">
        <v>107</v>
      </c>
      <c r="C35" s="2" t="s">
        <v>108</v>
      </c>
      <c r="D35" s="2" t="s">
        <v>7</v>
      </c>
      <c r="E35" s="2" t="s">
        <v>109</v>
      </c>
    </row>
    <row r="36">
      <c r="A36" s="2">
        <v>145.0</v>
      </c>
      <c r="B36" s="2" t="s">
        <v>110</v>
      </c>
      <c r="C36" s="2" t="s">
        <v>111</v>
      </c>
      <c r="D36" s="2" t="s">
        <v>7</v>
      </c>
      <c r="E36" s="2" t="s">
        <v>112</v>
      </c>
    </row>
    <row r="37">
      <c r="A37" s="2">
        <v>146.0</v>
      </c>
      <c r="B37" s="2" t="s">
        <v>113</v>
      </c>
      <c r="C37" s="2" t="s">
        <v>114</v>
      </c>
      <c r="D37" s="2" t="s">
        <v>7</v>
      </c>
      <c r="E37" s="2" t="s">
        <v>115</v>
      </c>
    </row>
    <row r="38">
      <c r="A38" s="2">
        <v>147.0</v>
      </c>
      <c r="B38" s="2" t="s">
        <v>116</v>
      </c>
      <c r="C38" s="2" t="s">
        <v>117</v>
      </c>
      <c r="D38" s="2" t="s">
        <v>7</v>
      </c>
      <c r="E38" s="2" t="s">
        <v>118</v>
      </c>
    </row>
    <row r="39">
      <c r="A39" s="2">
        <v>148.0</v>
      </c>
      <c r="B39" s="2" t="s">
        <v>119</v>
      </c>
      <c r="C39" s="2" t="s">
        <v>120</v>
      </c>
      <c r="D39" s="2" t="s">
        <v>7</v>
      </c>
      <c r="E39" s="2" t="s">
        <v>121</v>
      </c>
    </row>
    <row r="40">
      <c r="A40" s="2">
        <v>149.0</v>
      </c>
      <c r="B40" s="2" t="s">
        <v>122</v>
      </c>
      <c r="C40" s="2" t="s">
        <v>123</v>
      </c>
      <c r="D40" s="2" t="s">
        <v>7</v>
      </c>
      <c r="E40" s="2" t="s">
        <v>124</v>
      </c>
    </row>
    <row r="41">
      <c r="A41" s="2">
        <v>151.0</v>
      </c>
      <c r="B41" s="2" t="s">
        <v>125</v>
      </c>
      <c r="C41" s="2" t="s">
        <v>126</v>
      </c>
      <c r="D41" s="2" t="s">
        <v>7</v>
      </c>
      <c r="E41" s="2" t="s">
        <v>127</v>
      </c>
    </row>
    <row r="42">
      <c r="A42" s="2">
        <v>152.0</v>
      </c>
      <c r="B42" s="2" t="s">
        <v>128</v>
      </c>
      <c r="C42" s="2" t="s">
        <v>129</v>
      </c>
      <c r="D42" s="2" t="s">
        <v>7</v>
      </c>
      <c r="E42" s="2" t="s">
        <v>130</v>
      </c>
    </row>
    <row r="43">
      <c r="A43" s="2">
        <v>153.0</v>
      </c>
      <c r="B43" s="2" t="s">
        <v>131</v>
      </c>
      <c r="C43" s="2" t="s">
        <v>132</v>
      </c>
      <c r="D43" s="2" t="s">
        <v>7</v>
      </c>
      <c r="E43" s="2" t="s">
        <v>133</v>
      </c>
    </row>
    <row r="44">
      <c r="A44" s="2">
        <v>154.0</v>
      </c>
      <c r="B44" s="2" t="s">
        <v>134</v>
      </c>
      <c r="C44" s="2" t="s">
        <v>135</v>
      </c>
      <c r="D44" s="2" t="s">
        <v>7</v>
      </c>
      <c r="E44" s="2" t="s">
        <v>136</v>
      </c>
    </row>
    <row r="45">
      <c r="A45" s="2">
        <v>158.0</v>
      </c>
      <c r="B45" s="2" t="s">
        <v>137</v>
      </c>
      <c r="C45" s="2" t="s">
        <v>138</v>
      </c>
      <c r="D45" s="2" t="s">
        <v>7</v>
      </c>
      <c r="E45" s="2" t="s">
        <v>139</v>
      </c>
    </row>
    <row r="46">
      <c r="A46" s="2">
        <v>162.0</v>
      </c>
      <c r="B46" s="2" t="s">
        <v>140</v>
      </c>
      <c r="C46" s="2" t="s">
        <v>141</v>
      </c>
      <c r="D46" s="2" t="s">
        <v>7</v>
      </c>
      <c r="E46" s="2" t="s">
        <v>142</v>
      </c>
    </row>
    <row r="47">
      <c r="A47" s="2">
        <v>163.0</v>
      </c>
      <c r="B47" s="2" t="s">
        <v>143</v>
      </c>
      <c r="C47" s="2" t="s">
        <v>144</v>
      </c>
      <c r="D47" s="2" t="s">
        <v>7</v>
      </c>
      <c r="E47" s="2" t="s">
        <v>145</v>
      </c>
    </row>
    <row r="48">
      <c r="A48" s="2">
        <v>164.0</v>
      </c>
      <c r="B48" s="2" t="s">
        <v>146</v>
      </c>
      <c r="C48" s="2" t="s">
        <v>147</v>
      </c>
      <c r="D48" s="2" t="s">
        <v>7</v>
      </c>
      <c r="E48" s="2" t="s">
        <v>148</v>
      </c>
    </row>
    <row r="49">
      <c r="A49" s="2">
        <v>165.0</v>
      </c>
      <c r="B49" s="2" t="s">
        <v>149</v>
      </c>
      <c r="C49" s="2" t="s">
        <v>150</v>
      </c>
      <c r="D49" s="2" t="s">
        <v>7</v>
      </c>
      <c r="E49" s="2" t="s">
        <v>151</v>
      </c>
    </row>
    <row r="50">
      <c r="A50" s="2">
        <v>166.0</v>
      </c>
      <c r="B50" s="2" t="s">
        <v>152</v>
      </c>
      <c r="C50" s="2" t="s">
        <v>153</v>
      </c>
      <c r="D50" s="2" t="s">
        <v>7</v>
      </c>
      <c r="E50" s="2" t="s">
        <v>154</v>
      </c>
    </row>
    <row r="51">
      <c r="A51" s="2">
        <v>167.0</v>
      </c>
      <c r="B51" s="2" t="s">
        <v>155</v>
      </c>
      <c r="C51" s="2" t="s">
        <v>156</v>
      </c>
      <c r="D51" s="2" t="s">
        <v>7</v>
      </c>
      <c r="E51" s="2" t="s">
        <v>157</v>
      </c>
    </row>
    <row r="52">
      <c r="A52" s="2">
        <v>168.0</v>
      </c>
      <c r="B52" s="2" t="s">
        <v>158</v>
      </c>
      <c r="C52" s="2" t="s">
        <v>159</v>
      </c>
      <c r="D52" s="2" t="s">
        <v>7</v>
      </c>
      <c r="E52" s="2" t="s">
        <v>160</v>
      </c>
    </row>
    <row r="53">
      <c r="A53" s="2">
        <v>169.0</v>
      </c>
      <c r="B53" s="2" t="s">
        <v>161</v>
      </c>
      <c r="C53" s="2" t="s">
        <v>162</v>
      </c>
      <c r="D53" s="2" t="s">
        <v>7</v>
      </c>
      <c r="E53" s="2" t="s">
        <v>163</v>
      </c>
    </row>
    <row r="54">
      <c r="A54" s="2">
        <v>170.0</v>
      </c>
      <c r="B54" s="2" t="s">
        <v>164</v>
      </c>
      <c r="C54" s="2" t="s">
        <v>165</v>
      </c>
      <c r="D54" s="2" t="s">
        <v>7</v>
      </c>
      <c r="E54" s="2" t="s">
        <v>166</v>
      </c>
    </row>
    <row r="55">
      <c r="A55" s="2">
        <v>172.0</v>
      </c>
      <c r="B55" s="2" t="s">
        <v>167</v>
      </c>
      <c r="C55" s="2" t="s">
        <v>168</v>
      </c>
      <c r="D55" s="2" t="s">
        <v>7</v>
      </c>
      <c r="E55" s="2" t="s">
        <v>169</v>
      </c>
    </row>
    <row r="56">
      <c r="A56" s="2">
        <v>174.0</v>
      </c>
      <c r="B56" s="2" t="s">
        <v>170</v>
      </c>
      <c r="C56" s="2" t="s">
        <v>171</v>
      </c>
      <c r="D56" s="2" t="s">
        <v>7</v>
      </c>
      <c r="E56" s="2" t="s">
        <v>172</v>
      </c>
    </row>
    <row r="57">
      <c r="A57" s="2">
        <v>176.0</v>
      </c>
      <c r="B57" s="2" t="s">
        <v>173</v>
      </c>
      <c r="C57" s="2" t="s">
        <v>174</v>
      </c>
      <c r="D57" s="2" t="s">
        <v>42</v>
      </c>
      <c r="E57" s="2" t="s">
        <v>175</v>
      </c>
    </row>
    <row r="58">
      <c r="A58" s="2">
        <v>178.0</v>
      </c>
      <c r="B58" s="2" t="s">
        <v>176</v>
      </c>
      <c r="C58" s="2" t="s">
        <v>177</v>
      </c>
      <c r="D58" s="2" t="s">
        <v>7</v>
      </c>
      <c r="E58" s="2" t="s">
        <v>178</v>
      </c>
    </row>
    <row r="59">
      <c r="A59" s="2">
        <v>179.0</v>
      </c>
      <c r="B59" s="2" t="s">
        <v>179</v>
      </c>
      <c r="C59" s="2" t="s">
        <v>180</v>
      </c>
      <c r="D59" s="2" t="s">
        <v>7</v>
      </c>
      <c r="E59" s="2" t="s">
        <v>181</v>
      </c>
    </row>
    <row r="60">
      <c r="A60" s="2">
        <v>180.0</v>
      </c>
      <c r="B60" s="2" t="s">
        <v>182</v>
      </c>
      <c r="C60" s="2" t="s">
        <v>183</v>
      </c>
      <c r="D60" s="2" t="s">
        <v>7</v>
      </c>
      <c r="E60" s="2" t="s">
        <v>184</v>
      </c>
    </row>
    <row r="61">
      <c r="A61" s="2">
        <v>181.0</v>
      </c>
      <c r="B61" s="2" t="s">
        <v>185</v>
      </c>
      <c r="C61" s="2" t="s">
        <v>186</v>
      </c>
      <c r="D61" s="2" t="s">
        <v>7</v>
      </c>
      <c r="E61" s="2" t="s">
        <v>187</v>
      </c>
    </row>
    <row r="62">
      <c r="A62" s="2">
        <v>182.0</v>
      </c>
      <c r="B62" s="2" t="s">
        <v>188</v>
      </c>
      <c r="C62" s="2" t="s">
        <v>189</v>
      </c>
      <c r="D62" s="2" t="s">
        <v>7</v>
      </c>
      <c r="E62" s="2" t="s">
        <v>190</v>
      </c>
    </row>
    <row r="63">
      <c r="A63" s="2">
        <v>183.0</v>
      </c>
      <c r="B63" s="2" t="s">
        <v>191</v>
      </c>
      <c r="C63" s="2" t="s">
        <v>192</v>
      </c>
      <c r="D63" s="2" t="s">
        <v>7</v>
      </c>
      <c r="E63" s="2" t="s">
        <v>193</v>
      </c>
    </row>
    <row r="64">
      <c r="A64" s="2">
        <v>184.0</v>
      </c>
      <c r="B64" s="2" t="s">
        <v>194</v>
      </c>
      <c r="C64" s="2" t="s">
        <v>195</v>
      </c>
      <c r="D64" s="2" t="s">
        <v>7</v>
      </c>
      <c r="E64" s="2" t="s">
        <v>196</v>
      </c>
    </row>
    <row r="65">
      <c r="A65" s="2">
        <v>185.0</v>
      </c>
      <c r="B65" s="2" t="s">
        <v>197</v>
      </c>
      <c r="C65" s="2" t="s">
        <v>198</v>
      </c>
      <c r="D65" s="2" t="s">
        <v>42</v>
      </c>
      <c r="E65" s="2" t="s">
        <v>199</v>
      </c>
    </row>
    <row r="66">
      <c r="A66" s="2">
        <v>186.0</v>
      </c>
      <c r="B66" s="2" t="s">
        <v>200</v>
      </c>
      <c r="C66" s="2" t="s">
        <v>201</v>
      </c>
      <c r="D66" s="2" t="s">
        <v>7</v>
      </c>
      <c r="E66" s="2" t="s">
        <v>202</v>
      </c>
    </row>
    <row r="67">
      <c r="A67" s="2">
        <v>187.0</v>
      </c>
      <c r="B67" s="2" t="s">
        <v>203</v>
      </c>
      <c r="C67" s="2" t="s">
        <v>204</v>
      </c>
      <c r="D67" s="2" t="s">
        <v>7</v>
      </c>
      <c r="E67" s="2" t="s">
        <v>205</v>
      </c>
    </row>
    <row r="68">
      <c r="A68" s="2">
        <v>188.0</v>
      </c>
      <c r="B68" s="2" t="s">
        <v>206</v>
      </c>
      <c r="C68" s="2" t="s">
        <v>207</v>
      </c>
      <c r="D68" s="2" t="s">
        <v>7</v>
      </c>
      <c r="E68" s="2" t="s">
        <v>208</v>
      </c>
    </row>
    <row r="69">
      <c r="A69" s="2">
        <v>189.0</v>
      </c>
      <c r="B69" s="2" t="s">
        <v>209</v>
      </c>
      <c r="C69" s="2" t="s">
        <v>210</v>
      </c>
      <c r="D69" s="2" t="s">
        <v>42</v>
      </c>
      <c r="E69" s="2" t="s">
        <v>211</v>
      </c>
    </row>
    <row r="70">
      <c r="A70" s="2">
        <v>190.0</v>
      </c>
      <c r="B70" s="2" t="s">
        <v>212</v>
      </c>
      <c r="C70" s="2" t="s">
        <v>213</v>
      </c>
      <c r="D70" s="2" t="s">
        <v>7</v>
      </c>
      <c r="E70" s="2" t="s">
        <v>214</v>
      </c>
    </row>
    <row r="71">
      <c r="A71" s="2">
        <v>191.0</v>
      </c>
      <c r="B71" s="2" t="s">
        <v>215</v>
      </c>
      <c r="C71" s="2" t="s">
        <v>216</v>
      </c>
      <c r="D71" s="2" t="s">
        <v>7</v>
      </c>
      <c r="E71" s="2" t="s">
        <v>217</v>
      </c>
    </row>
    <row r="72">
      <c r="A72" s="2">
        <v>192.0</v>
      </c>
      <c r="B72" s="2" t="s">
        <v>218</v>
      </c>
      <c r="C72" s="2" t="s">
        <v>219</v>
      </c>
      <c r="D72" s="2" t="s">
        <v>7</v>
      </c>
      <c r="E72" s="2" t="s">
        <v>220</v>
      </c>
    </row>
    <row r="73">
      <c r="A73" s="2">
        <v>193.0</v>
      </c>
      <c r="B73" s="2" t="s">
        <v>221</v>
      </c>
      <c r="C73" s="2" t="s">
        <v>222</v>
      </c>
      <c r="D73" s="2" t="s">
        <v>7</v>
      </c>
      <c r="E73" s="2" t="s">
        <v>223</v>
      </c>
    </row>
    <row r="74">
      <c r="A74" s="2">
        <v>194.0</v>
      </c>
      <c r="B74" s="2" t="s">
        <v>224</v>
      </c>
      <c r="C74" s="2" t="s">
        <v>225</v>
      </c>
      <c r="D74" s="2" t="s">
        <v>42</v>
      </c>
      <c r="E74" s="2" t="s">
        <v>226</v>
      </c>
    </row>
    <row r="75">
      <c r="A75" s="2">
        <v>195.0</v>
      </c>
      <c r="B75" s="2" t="s">
        <v>227</v>
      </c>
      <c r="C75" s="2" t="s">
        <v>228</v>
      </c>
      <c r="D75" s="2" t="s">
        <v>42</v>
      </c>
      <c r="E75" s="2" t="s">
        <v>229</v>
      </c>
    </row>
    <row r="76">
      <c r="A76" s="2">
        <v>196.0</v>
      </c>
      <c r="B76" s="2" t="s">
        <v>230</v>
      </c>
      <c r="C76" s="2" t="s">
        <v>231</v>
      </c>
      <c r="D76" s="2" t="s">
        <v>7</v>
      </c>
      <c r="E76" s="2" t="s">
        <v>232</v>
      </c>
    </row>
    <row r="77">
      <c r="A77" s="2">
        <v>197.0</v>
      </c>
      <c r="B77" s="2" t="s">
        <v>233</v>
      </c>
      <c r="C77" s="2" t="s">
        <v>234</v>
      </c>
      <c r="D77" s="2" t="s">
        <v>42</v>
      </c>
      <c r="E77" s="5" t="s">
        <v>235</v>
      </c>
    </row>
    <row r="78">
      <c r="A78" s="2">
        <v>198.0</v>
      </c>
      <c r="B78" s="2" t="s">
        <v>236</v>
      </c>
      <c r="C78" s="2" t="s">
        <v>237</v>
      </c>
      <c r="D78" s="2" t="s">
        <v>7</v>
      </c>
      <c r="E78" s="5" t="s">
        <v>238</v>
      </c>
    </row>
    <row r="79">
      <c r="A79" s="2">
        <v>199.0</v>
      </c>
      <c r="B79" s="2" t="s">
        <v>239</v>
      </c>
      <c r="C79" s="2" t="s">
        <v>240</v>
      </c>
      <c r="D79" s="2" t="s">
        <v>7</v>
      </c>
      <c r="E79" s="5" t="s">
        <v>241</v>
      </c>
    </row>
    <row r="80">
      <c r="A80" s="2">
        <v>200.0</v>
      </c>
      <c r="B80" s="2" t="s">
        <v>242</v>
      </c>
      <c r="C80" s="2" t="s">
        <v>243</v>
      </c>
      <c r="D80" s="2" t="s">
        <v>7</v>
      </c>
      <c r="E80" s="5" t="s">
        <v>244</v>
      </c>
    </row>
    <row r="81">
      <c r="B81" s="2" t="s">
        <v>245</v>
      </c>
      <c r="C81" s="6" t="s">
        <v>246</v>
      </c>
      <c r="D81" s="6" t="s">
        <v>42</v>
      </c>
      <c r="E81" s="7" t="s">
        <v>247</v>
      </c>
    </row>
    <row r="82">
      <c r="B82" s="2" t="s">
        <v>248</v>
      </c>
      <c r="C82" s="6" t="s">
        <v>249</v>
      </c>
      <c r="D82" s="6" t="s">
        <v>7</v>
      </c>
      <c r="E82" s="7" t="s">
        <v>250</v>
      </c>
    </row>
    <row r="83">
      <c r="B83" s="2" t="s">
        <v>251</v>
      </c>
      <c r="C83" s="6" t="s">
        <v>129</v>
      </c>
      <c r="D83" s="6" t="s">
        <v>7</v>
      </c>
      <c r="E83" s="7" t="s">
        <v>252</v>
      </c>
    </row>
    <row r="84">
      <c r="B84" s="2" t="s">
        <v>253</v>
      </c>
      <c r="C84" s="6" t="s">
        <v>254</v>
      </c>
      <c r="D84" s="6" t="s">
        <v>42</v>
      </c>
      <c r="E84" s="7" t="s">
        <v>255</v>
      </c>
    </row>
    <row r="85">
      <c r="B85" s="2" t="s">
        <v>256</v>
      </c>
      <c r="C85" s="6" t="s">
        <v>257</v>
      </c>
      <c r="D85" s="6" t="s">
        <v>42</v>
      </c>
      <c r="E85" s="7" t="s">
        <v>258</v>
      </c>
    </row>
    <row r="86">
      <c r="B86" s="2" t="s">
        <v>259</v>
      </c>
      <c r="C86" s="6" t="s">
        <v>260</v>
      </c>
      <c r="D86" s="6" t="s">
        <v>7</v>
      </c>
      <c r="E86" s="7" t="s">
        <v>261</v>
      </c>
    </row>
    <row r="87">
      <c r="B87" s="2" t="s">
        <v>262</v>
      </c>
      <c r="C87" s="6" t="s">
        <v>263</v>
      </c>
      <c r="D87" s="6" t="s">
        <v>7</v>
      </c>
      <c r="E87" s="7" t="s">
        <v>264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5"/>
    <col customWidth="1" min="2" max="2" width="3.5"/>
    <col customWidth="1" min="3" max="3" width="21.63"/>
  </cols>
  <sheetData>
    <row r="1">
      <c r="A1" s="8" t="s">
        <v>265</v>
      </c>
      <c r="B1" s="9" t="s">
        <v>1</v>
      </c>
      <c r="C1" s="10" t="s">
        <v>266</v>
      </c>
      <c r="D1" s="11" t="s">
        <v>267</v>
      </c>
      <c r="E1" s="12" t="str">
        <f t="shared" ref="E1:AI1" si="1">text(E2, "ddd")</f>
        <v>Wed</v>
      </c>
      <c r="F1" s="12" t="str">
        <f t="shared" si="1"/>
        <v>Thu</v>
      </c>
      <c r="G1" s="12" t="str">
        <f t="shared" si="1"/>
        <v>Fri</v>
      </c>
      <c r="H1" s="13" t="str">
        <f t="shared" si="1"/>
        <v>Sat</v>
      </c>
      <c r="I1" s="13" t="str">
        <f t="shared" si="1"/>
        <v>Sun</v>
      </c>
      <c r="J1" s="12" t="str">
        <f t="shared" si="1"/>
        <v>Mon</v>
      </c>
      <c r="K1" s="12" t="str">
        <f t="shared" si="1"/>
        <v>Tue</v>
      </c>
      <c r="L1" s="12" t="str">
        <f t="shared" si="1"/>
        <v>Wed</v>
      </c>
      <c r="M1" s="12" t="str">
        <f t="shared" si="1"/>
        <v>Thu</v>
      </c>
      <c r="N1" s="12" t="str">
        <f t="shared" si="1"/>
        <v>Fri</v>
      </c>
      <c r="O1" s="14" t="str">
        <f t="shared" si="1"/>
        <v>Sat</v>
      </c>
      <c r="P1" s="14" t="str">
        <f t="shared" si="1"/>
        <v>Sun</v>
      </c>
      <c r="Q1" s="12" t="str">
        <f t="shared" si="1"/>
        <v>Mon</v>
      </c>
      <c r="R1" s="12" t="str">
        <f t="shared" si="1"/>
        <v>Tue</v>
      </c>
      <c r="S1" s="12" t="str">
        <f t="shared" si="1"/>
        <v>Wed</v>
      </c>
      <c r="T1" s="12" t="str">
        <f t="shared" si="1"/>
        <v>Thu</v>
      </c>
      <c r="U1" s="12" t="str">
        <f t="shared" si="1"/>
        <v>Fri</v>
      </c>
      <c r="V1" s="14" t="str">
        <f t="shared" si="1"/>
        <v>Sat</v>
      </c>
      <c r="W1" s="14" t="str">
        <f t="shared" si="1"/>
        <v>Sun</v>
      </c>
      <c r="X1" s="12" t="str">
        <f t="shared" si="1"/>
        <v>Mon</v>
      </c>
      <c r="Y1" s="12" t="str">
        <f t="shared" si="1"/>
        <v>Tue</v>
      </c>
      <c r="Z1" s="12" t="str">
        <f t="shared" si="1"/>
        <v>Wed</v>
      </c>
      <c r="AA1" s="12" t="str">
        <f t="shared" si="1"/>
        <v>Thu</v>
      </c>
      <c r="AB1" s="12" t="str">
        <f t="shared" si="1"/>
        <v>Fri</v>
      </c>
      <c r="AC1" s="14" t="str">
        <f t="shared" si="1"/>
        <v>Sat</v>
      </c>
      <c r="AD1" s="14" t="str">
        <f t="shared" si="1"/>
        <v>Sun</v>
      </c>
      <c r="AE1" s="12" t="str">
        <f t="shared" si="1"/>
        <v>Mon</v>
      </c>
      <c r="AF1" s="12" t="str">
        <f t="shared" si="1"/>
        <v>Tue</v>
      </c>
      <c r="AG1" s="12" t="str">
        <f t="shared" si="1"/>
        <v>Wed</v>
      </c>
      <c r="AH1" s="12" t="str">
        <f t="shared" si="1"/>
        <v>Thu</v>
      </c>
      <c r="AI1" s="12" t="str">
        <f t="shared" si="1"/>
        <v>Fri</v>
      </c>
    </row>
    <row r="2">
      <c r="C2" s="15"/>
      <c r="D2" s="15"/>
      <c r="E2" s="16">
        <v>45658.0</v>
      </c>
      <c r="F2" s="16">
        <v>45659.0</v>
      </c>
      <c r="G2" s="16">
        <v>45660.0</v>
      </c>
      <c r="H2" s="17">
        <v>45661.0</v>
      </c>
      <c r="I2" s="17">
        <v>45662.0</v>
      </c>
      <c r="J2" s="16">
        <v>45663.0</v>
      </c>
      <c r="K2" s="16">
        <v>45664.0</v>
      </c>
      <c r="L2" s="16">
        <v>45665.0</v>
      </c>
      <c r="M2" s="16">
        <v>45666.0</v>
      </c>
      <c r="N2" s="16">
        <v>45667.0</v>
      </c>
      <c r="O2" s="18">
        <v>45668.0</v>
      </c>
      <c r="P2" s="18">
        <v>45669.0</v>
      </c>
      <c r="Q2" s="16">
        <v>45670.0</v>
      </c>
      <c r="R2" s="16">
        <v>45671.0</v>
      </c>
      <c r="S2" s="16">
        <v>45672.0</v>
      </c>
      <c r="T2" s="16">
        <v>45673.0</v>
      </c>
      <c r="U2" s="16">
        <v>45674.0</v>
      </c>
      <c r="V2" s="18">
        <v>45675.0</v>
      </c>
      <c r="W2" s="18">
        <v>45676.0</v>
      </c>
      <c r="X2" s="16">
        <v>45677.0</v>
      </c>
      <c r="Y2" s="16">
        <v>45678.0</v>
      </c>
      <c r="Z2" s="16">
        <v>45679.0</v>
      </c>
      <c r="AA2" s="16">
        <v>45680.0</v>
      </c>
      <c r="AB2" s="16">
        <v>45681.0</v>
      </c>
      <c r="AC2" s="18">
        <v>45682.0</v>
      </c>
      <c r="AD2" s="18">
        <v>45683.0</v>
      </c>
      <c r="AE2" s="16">
        <v>45684.0</v>
      </c>
      <c r="AF2" s="16">
        <v>45685.0</v>
      </c>
      <c r="AG2" s="16">
        <v>45686.0</v>
      </c>
      <c r="AH2" s="16">
        <v>45687.0</v>
      </c>
      <c r="AI2" s="16">
        <v>45688.0</v>
      </c>
    </row>
    <row r="3">
      <c r="A3" s="19" t="s">
        <v>268</v>
      </c>
      <c r="B3" s="20">
        <v>1.0</v>
      </c>
      <c r="C3" s="21" t="s">
        <v>174</v>
      </c>
      <c r="D3" s="22">
        <f t="shared" ref="D3:D67" si="2">SUM(E3:AI3)</f>
        <v>6.609722222</v>
      </c>
      <c r="E3" s="23">
        <v>0.3541666666666667</v>
      </c>
      <c r="F3" s="23">
        <v>0.16666666666666666</v>
      </c>
      <c r="G3" s="23">
        <v>0.3541666666666667</v>
      </c>
      <c r="H3" s="24"/>
      <c r="I3" s="24"/>
      <c r="J3" s="25">
        <v>0.4222222222222222</v>
      </c>
      <c r="K3" s="26" t="s">
        <v>269</v>
      </c>
      <c r="L3" s="26" t="s">
        <v>269</v>
      </c>
      <c r="M3" s="23">
        <v>0.3541666666666667</v>
      </c>
      <c r="N3" s="23">
        <v>0.3541666666666667</v>
      </c>
      <c r="O3" s="24"/>
      <c r="P3" s="24"/>
      <c r="Q3" s="23">
        <v>0.3541666666666667</v>
      </c>
      <c r="R3" s="23">
        <v>0.3541666666666667</v>
      </c>
      <c r="S3" s="23">
        <v>0.3541666666666667</v>
      </c>
      <c r="T3" s="23">
        <v>0.3541666666666667</v>
      </c>
      <c r="U3" s="23">
        <v>0.3541666666666667</v>
      </c>
      <c r="V3" s="26"/>
      <c r="W3" s="26"/>
      <c r="X3" s="23">
        <v>0.3541666666666667</v>
      </c>
      <c r="Y3" s="23">
        <v>0.3541666666666667</v>
      </c>
      <c r="Z3" s="23">
        <v>0.3541666666666667</v>
      </c>
      <c r="AA3" s="23">
        <v>0.3541666666666667</v>
      </c>
      <c r="AB3" s="23">
        <v>0.3541666666666667</v>
      </c>
      <c r="AC3" s="26"/>
      <c r="AD3" s="26"/>
      <c r="AE3" s="23">
        <v>0.3541666666666667</v>
      </c>
      <c r="AF3" s="23">
        <v>0.3541666666666667</v>
      </c>
      <c r="AG3" s="23">
        <v>0.3541666666666667</v>
      </c>
      <c r="AH3" s="26" t="s">
        <v>270</v>
      </c>
      <c r="AI3" s="26" t="s">
        <v>270</v>
      </c>
    </row>
    <row r="4">
      <c r="A4" s="27">
        <v>45452.0</v>
      </c>
      <c r="B4" s="28">
        <v>2.0</v>
      </c>
      <c r="C4" s="29" t="s">
        <v>222</v>
      </c>
      <c r="D4" s="22">
        <f t="shared" si="2"/>
        <v>6.722916667</v>
      </c>
      <c r="E4" s="25">
        <v>0.28194444444444444</v>
      </c>
      <c r="F4" s="25">
        <v>0.375</v>
      </c>
      <c r="G4" s="23">
        <v>0.3541666666666667</v>
      </c>
      <c r="H4" s="24"/>
      <c r="I4" s="24"/>
      <c r="J4" s="23">
        <v>0.3548611111111111</v>
      </c>
      <c r="K4" s="23">
        <v>0.3333333333333333</v>
      </c>
      <c r="L4" s="26" t="s">
        <v>269</v>
      </c>
      <c r="M4" s="26" t="s">
        <v>271</v>
      </c>
      <c r="N4" s="23">
        <v>0.3541666666666667</v>
      </c>
      <c r="O4" s="24"/>
      <c r="P4" s="24"/>
      <c r="Q4" s="26" t="s">
        <v>271</v>
      </c>
      <c r="R4" s="23">
        <v>0.38333333333333336</v>
      </c>
      <c r="S4" s="23">
        <v>0.39166666666666666</v>
      </c>
      <c r="T4" s="23"/>
      <c r="U4" s="23">
        <v>0.3527777777777778</v>
      </c>
      <c r="V4" s="26"/>
      <c r="W4" s="26"/>
      <c r="X4" s="23">
        <v>0.3625</v>
      </c>
      <c r="Y4" s="23">
        <v>0.28680555555555554</v>
      </c>
      <c r="Z4" s="23">
        <v>0.29791666666666666</v>
      </c>
      <c r="AA4" s="23">
        <v>0.32708333333333334</v>
      </c>
      <c r="AB4" s="23">
        <v>0.37083333333333335</v>
      </c>
      <c r="AC4" s="26"/>
      <c r="AD4" s="26"/>
      <c r="AE4" s="25">
        <v>0.4097222222222222</v>
      </c>
      <c r="AF4" s="23">
        <v>0.3541666666666667</v>
      </c>
      <c r="AG4" s="23">
        <v>0.36944444444444446</v>
      </c>
      <c r="AH4" s="23">
        <v>0.39305555555555555</v>
      </c>
      <c r="AI4" s="23">
        <v>0.3701388888888889</v>
      </c>
    </row>
    <row r="5">
      <c r="A5" s="15"/>
      <c r="B5" s="28">
        <v>3.0</v>
      </c>
      <c r="C5" s="29" t="s">
        <v>41</v>
      </c>
      <c r="D5" s="22">
        <f t="shared" si="2"/>
        <v>6.372222222</v>
      </c>
      <c r="E5" s="26" t="s">
        <v>272</v>
      </c>
      <c r="F5" s="26" t="s">
        <v>272</v>
      </c>
      <c r="G5" s="26" t="s">
        <v>272</v>
      </c>
      <c r="H5" s="24"/>
      <c r="I5" s="24"/>
      <c r="J5" s="26" t="s">
        <v>272</v>
      </c>
      <c r="K5" s="26" t="s">
        <v>272</v>
      </c>
      <c r="L5" s="25">
        <v>0.3284722222222222</v>
      </c>
      <c r="M5" s="25">
        <v>0.325</v>
      </c>
      <c r="N5" s="23">
        <v>0.3541666666666667</v>
      </c>
      <c r="O5" s="24"/>
      <c r="P5" s="24"/>
      <c r="Q5" s="23">
        <v>0.30277777777777776</v>
      </c>
      <c r="R5" s="23">
        <v>0.25833333333333336</v>
      </c>
      <c r="S5" s="23">
        <v>0.4</v>
      </c>
      <c r="T5" s="23">
        <v>0.36180555555555555</v>
      </c>
      <c r="U5" s="23">
        <v>0.14444444444444443</v>
      </c>
      <c r="V5" s="26"/>
      <c r="W5" s="26"/>
      <c r="X5" s="23">
        <v>0.39375</v>
      </c>
      <c r="Y5" s="23">
        <v>0.40902777777777777</v>
      </c>
      <c r="Z5" s="23">
        <v>0.42430555555555555</v>
      </c>
      <c r="AA5" s="23">
        <v>0.3541666666666667</v>
      </c>
      <c r="AB5" s="23">
        <v>0.3541666666666667</v>
      </c>
      <c r="AC5" s="26"/>
      <c r="AD5" s="26"/>
      <c r="AE5" s="25">
        <v>0.4125</v>
      </c>
      <c r="AF5" s="23">
        <v>0.4041666666666667</v>
      </c>
      <c r="AG5" s="23">
        <v>0.3902777777777778</v>
      </c>
      <c r="AH5" s="23">
        <v>0.40069444444444446</v>
      </c>
      <c r="AI5" s="23">
        <v>0.3541666666666667</v>
      </c>
    </row>
    <row r="6">
      <c r="A6" s="30">
        <v>45483.0</v>
      </c>
      <c r="B6" s="20">
        <v>4.0</v>
      </c>
      <c r="C6" s="31" t="s">
        <v>234</v>
      </c>
      <c r="D6" s="22">
        <f t="shared" si="2"/>
        <v>8.260416667</v>
      </c>
      <c r="E6" s="23">
        <v>0.36041666666666666</v>
      </c>
      <c r="F6" s="23">
        <v>0.3451388888888889</v>
      </c>
      <c r="G6" s="23">
        <v>0.37430555555555556</v>
      </c>
      <c r="H6" s="24"/>
      <c r="I6" s="24"/>
      <c r="J6" s="23">
        <v>0.3611111111111111</v>
      </c>
      <c r="K6" s="23">
        <v>0.3590277777777778</v>
      </c>
      <c r="L6" s="23">
        <v>0.3611111111111111</v>
      </c>
      <c r="M6" s="23">
        <v>0.35625</v>
      </c>
      <c r="N6" s="23">
        <v>0.33194444444444443</v>
      </c>
      <c r="O6" s="24"/>
      <c r="P6" s="24"/>
      <c r="Q6" s="23">
        <v>0.3576388888888889</v>
      </c>
      <c r="R6" s="23">
        <v>0.3472222222222222</v>
      </c>
      <c r="S6" s="23">
        <v>0.3645833333333333</v>
      </c>
      <c r="T6" s="23">
        <v>0.3590277777777778</v>
      </c>
      <c r="U6" s="23">
        <v>0.3645833333333333</v>
      </c>
      <c r="V6" s="26"/>
      <c r="W6" s="26"/>
      <c r="X6" s="23">
        <v>0.3763888888888889</v>
      </c>
      <c r="Y6" s="23">
        <v>0.3680555555555556</v>
      </c>
      <c r="Z6" s="23">
        <v>0.3638888888888889</v>
      </c>
      <c r="AA6" s="23">
        <v>0.35833333333333334</v>
      </c>
      <c r="AB6" s="23">
        <v>0.3625</v>
      </c>
      <c r="AC6" s="26"/>
      <c r="AD6" s="26"/>
      <c r="AE6" s="23">
        <v>0.3680555555555556</v>
      </c>
      <c r="AF6" s="23">
        <v>0.36319444444444443</v>
      </c>
      <c r="AG6" s="23">
        <v>0.35833333333333334</v>
      </c>
      <c r="AH6" s="23">
        <v>0.3541666666666667</v>
      </c>
      <c r="AI6" s="23">
        <v>0.3451388888888889</v>
      </c>
    </row>
    <row r="7">
      <c r="A7" s="32"/>
      <c r="B7" s="33">
        <v>5.0</v>
      </c>
      <c r="C7" s="34" t="s">
        <v>201</v>
      </c>
      <c r="D7" s="22">
        <f t="shared" si="2"/>
        <v>7.84375</v>
      </c>
      <c r="E7" s="25">
        <v>0.36041666666666666</v>
      </c>
      <c r="F7" s="26" t="s">
        <v>271</v>
      </c>
      <c r="G7" s="25">
        <v>0.37430555555555556</v>
      </c>
      <c r="H7" s="24"/>
      <c r="I7" s="24"/>
      <c r="J7" s="25">
        <v>0.37430555555555556</v>
      </c>
      <c r="K7" s="25">
        <v>0.37222222222222223</v>
      </c>
      <c r="L7" s="25">
        <v>0.2013888888888889</v>
      </c>
      <c r="M7" s="25">
        <v>0.3638888888888889</v>
      </c>
      <c r="N7" s="25">
        <v>0.3659722222222222</v>
      </c>
      <c r="O7" s="24"/>
      <c r="P7" s="24"/>
      <c r="Q7" s="23">
        <v>0.37083333333333335</v>
      </c>
      <c r="R7" s="23">
        <v>0.3645833333333333</v>
      </c>
      <c r="S7" s="23">
        <v>0.3645833333333333</v>
      </c>
      <c r="T7" s="23">
        <v>0.36736111111111114</v>
      </c>
      <c r="U7" s="23">
        <v>0.3541666666666667</v>
      </c>
      <c r="V7" s="26"/>
      <c r="W7" s="26"/>
      <c r="X7" s="23">
        <v>0.37083333333333335</v>
      </c>
      <c r="Y7" s="23">
        <v>0.2638888888888889</v>
      </c>
      <c r="Z7" s="23">
        <v>0.36666666666666664</v>
      </c>
      <c r="AA7" s="23">
        <v>0.37083333333333335</v>
      </c>
      <c r="AB7" s="23">
        <v>0.3541666666666667</v>
      </c>
      <c r="AC7" s="26"/>
      <c r="AD7" s="26"/>
      <c r="AE7" s="23">
        <v>0.40625</v>
      </c>
      <c r="AF7" s="25">
        <v>0.36875</v>
      </c>
      <c r="AG7" s="23">
        <v>0.39444444444444443</v>
      </c>
      <c r="AH7" s="23">
        <v>0.3597222222222222</v>
      </c>
      <c r="AI7" s="23">
        <v>0.3541666666666667</v>
      </c>
    </row>
    <row r="8">
      <c r="A8" s="32"/>
      <c r="B8" s="33">
        <v>6.0</v>
      </c>
      <c r="C8" s="35" t="s">
        <v>246</v>
      </c>
      <c r="D8" s="22">
        <f t="shared" si="2"/>
        <v>7.539583333</v>
      </c>
      <c r="E8" s="23">
        <v>0.35833333333333334</v>
      </c>
      <c r="F8" s="23">
        <v>0.35694444444444445</v>
      </c>
      <c r="G8" s="23">
        <v>0.34375</v>
      </c>
      <c r="H8" s="24"/>
      <c r="I8" s="24"/>
      <c r="J8" s="23">
        <v>0.39861111111111114</v>
      </c>
      <c r="K8" s="23">
        <v>0.16666666666666666</v>
      </c>
      <c r="L8" s="23">
        <v>0.3972222222222222</v>
      </c>
      <c r="M8" s="23">
        <v>0.3784722222222222</v>
      </c>
      <c r="N8" s="23">
        <v>0.2902777777777778</v>
      </c>
      <c r="O8" s="24"/>
      <c r="P8" s="24"/>
      <c r="Q8" s="23">
        <v>0.39166666666666666</v>
      </c>
      <c r="R8" s="26" t="s">
        <v>269</v>
      </c>
      <c r="S8" s="23">
        <v>0.375</v>
      </c>
      <c r="T8" s="23">
        <v>0.375</v>
      </c>
      <c r="U8" s="23">
        <v>0.3541666666666667</v>
      </c>
      <c r="V8" s="26"/>
      <c r="W8" s="26"/>
      <c r="X8" s="26" t="s">
        <v>269</v>
      </c>
      <c r="Y8" s="23">
        <v>0.375</v>
      </c>
      <c r="Z8" s="23">
        <v>0.36527777777777776</v>
      </c>
      <c r="AA8" s="23">
        <v>0.35694444444444445</v>
      </c>
      <c r="AB8" s="23">
        <v>0.3541666666666667</v>
      </c>
      <c r="AC8" s="26"/>
      <c r="AD8" s="26"/>
      <c r="AE8" s="25">
        <v>0.3951388888888889</v>
      </c>
      <c r="AF8" s="25">
        <v>0.36527777777777776</v>
      </c>
      <c r="AG8" s="23">
        <v>0.38472222222222224</v>
      </c>
      <c r="AH8" s="23">
        <v>0.4027777777777778</v>
      </c>
      <c r="AI8" s="23">
        <v>0.3541666666666667</v>
      </c>
    </row>
    <row r="9">
      <c r="A9" s="32"/>
      <c r="B9" s="20">
        <v>7.0</v>
      </c>
      <c r="C9" s="34" t="s">
        <v>231</v>
      </c>
      <c r="D9" s="22">
        <f t="shared" si="2"/>
        <v>8.575</v>
      </c>
      <c r="E9" s="25">
        <v>0.36319444444444443</v>
      </c>
      <c r="F9" s="25">
        <v>0.47430555555555554</v>
      </c>
      <c r="G9" s="25">
        <v>0.3416666666666667</v>
      </c>
      <c r="H9" s="24"/>
      <c r="I9" s="24"/>
      <c r="J9" s="26" t="s">
        <v>269</v>
      </c>
      <c r="K9" s="25">
        <v>0.4048611111111111</v>
      </c>
      <c r="L9" s="25">
        <v>0.42986111111111114</v>
      </c>
      <c r="M9" s="25">
        <v>0.42569444444444443</v>
      </c>
      <c r="N9" s="25">
        <v>0.33125</v>
      </c>
      <c r="O9" s="24"/>
      <c r="P9" s="24"/>
      <c r="Q9" s="23">
        <v>0.3541666666666667</v>
      </c>
      <c r="R9" s="23">
        <v>0.4048611111111111</v>
      </c>
      <c r="S9" s="23">
        <v>0.4236111111111111</v>
      </c>
      <c r="T9" s="23">
        <v>0.2972222222222222</v>
      </c>
      <c r="U9" s="23">
        <v>0.3541666666666667</v>
      </c>
      <c r="V9" s="26"/>
      <c r="W9" s="26"/>
      <c r="X9" s="23">
        <v>0.3375</v>
      </c>
      <c r="Y9" s="23">
        <v>0.46458333333333335</v>
      </c>
      <c r="Z9" s="23">
        <v>0.4673611111111111</v>
      </c>
      <c r="AA9" s="23">
        <v>0.3888888888888889</v>
      </c>
      <c r="AB9" s="23">
        <v>0.38472222222222224</v>
      </c>
      <c r="AC9" s="26"/>
      <c r="AD9" s="26"/>
      <c r="AE9" s="25">
        <v>0.4395833333333333</v>
      </c>
      <c r="AF9" s="25">
        <v>0.38055555555555554</v>
      </c>
      <c r="AG9" s="23">
        <v>0.3875</v>
      </c>
      <c r="AH9" s="23">
        <v>0.3541666666666667</v>
      </c>
      <c r="AI9" s="23">
        <v>0.36527777777777776</v>
      </c>
    </row>
    <row r="10">
      <c r="A10" s="32"/>
      <c r="B10" s="33">
        <v>8.0</v>
      </c>
      <c r="C10" s="36" t="s">
        <v>147</v>
      </c>
      <c r="D10" s="22">
        <f t="shared" si="2"/>
        <v>8.607638889</v>
      </c>
      <c r="E10" s="25">
        <v>0.40902777777777777</v>
      </c>
      <c r="F10" s="25">
        <v>0.41180555555555554</v>
      </c>
      <c r="G10" s="25">
        <v>0.3902777777777778</v>
      </c>
      <c r="H10" s="24"/>
      <c r="I10" s="24"/>
      <c r="J10" s="25">
        <v>0.43819444444444444</v>
      </c>
      <c r="K10" s="25">
        <v>0.4131944444444444</v>
      </c>
      <c r="L10" s="25">
        <v>0.4284722222222222</v>
      </c>
      <c r="M10" s="23">
        <v>0.16666666666666666</v>
      </c>
      <c r="N10" s="23">
        <v>0.16666666666666666</v>
      </c>
      <c r="O10" s="24"/>
      <c r="P10" s="24"/>
      <c r="Q10" s="23">
        <v>0.3902777777777778</v>
      </c>
      <c r="R10" s="23">
        <v>0.4222222222222222</v>
      </c>
      <c r="S10" s="23">
        <v>0.3958333333333333</v>
      </c>
      <c r="T10" s="23">
        <v>0.41388888888888886</v>
      </c>
      <c r="U10" s="23">
        <v>0.38958333333333334</v>
      </c>
      <c r="V10" s="26"/>
      <c r="W10" s="26"/>
      <c r="X10" s="23">
        <v>0.20694444444444443</v>
      </c>
      <c r="Y10" s="23">
        <v>0.3951388888888889</v>
      </c>
      <c r="Z10" s="23">
        <v>0.4048611111111111</v>
      </c>
      <c r="AA10" s="23">
        <v>0.38055555555555554</v>
      </c>
      <c r="AB10" s="23">
        <v>0.46458333333333335</v>
      </c>
      <c r="AC10" s="26"/>
      <c r="AD10" s="26"/>
      <c r="AE10" s="25">
        <v>0.37569444444444444</v>
      </c>
      <c r="AF10" s="25">
        <v>0.39652777777777776</v>
      </c>
      <c r="AG10" s="23">
        <v>0.3784722222222222</v>
      </c>
      <c r="AH10" s="23">
        <v>0.4</v>
      </c>
      <c r="AI10" s="23">
        <v>0.36875</v>
      </c>
    </row>
    <row r="11">
      <c r="A11" s="32"/>
      <c r="B11" s="33">
        <v>9.0</v>
      </c>
      <c r="C11" s="34" t="s">
        <v>177</v>
      </c>
      <c r="D11" s="22">
        <f t="shared" si="2"/>
        <v>8.465972222</v>
      </c>
      <c r="E11" s="25">
        <v>0.36041666666666666</v>
      </c>
      <c r="F11" s="25">
        <v>0.3680555555555556</v>
      </c>
      <c r="G11" s="23">
        <v>0.3541666666666667</v>
      </c>
      <c r="H11" s="24"/>
      <c r="I11" s="24"/>
      <c r="J11" s="25">
        <v>0.36875</v>
      </c>
      <c r="K11" s="25">
        <v>0.3701388888888889</v>
      </c>
      <c r="L11" s="25">
        <v>0.37222222222222223</v>
      </c>
      <c r="M11" s="25">
        <v>0.36319444444444443</v>
      </c>
      <c r="N11" s="23">
        <v>0.3541666666666667</v>
      </c>
      <c r="O11" s="24"/>
      <c r="P11" s="24"/>
      <c r="Q11" s="23">
        <v>0.375</v>
      </c>
      <c r="R11" s="23">
        <v>0.37083333333333335</v>
      </c>
      <c r="S11" s="23">
        <v>0.36875</v>
      </c>
      <c r="T11" s="23">
        <v>0.3645833333333333</v>
      </c>
      <c r="U11" s="23">
        <v>0.3541666666666667</v>
      </c>
      <c r="V11" s="26"/>
      <c r="W11" s="26"/>
      <c r="X11" s="23">
        <v>0.3784722222222222</v>
      </c>
      <c r="Y11" s="23">
        <v>0.37777777777777777</v>
      </c>
      <c r="Z11" s="23">
        <v>0.3875</v>
      </c>
      <c r="AA11" s="23">
        <v>0.3701388888888889</v>
      </c>
      <c r="AB11" s="23">
        <v>0.3541666666666667</v>
      </c>
      <c r="AC11" s="26"/>
      <c r="AD11" s="26"/>
      <c r="AE11" s="25">
        <v>0.37569444444444444</v>
      </c>
      <c r="AF11" s="25">
        <v>0.3819444444444444</v>
      </c>
      <c r="AG11" s="23">
        <v>0.3736111111111111</v>
      </c>
      <c r="AH11" s="23">
        <v>0.3680555555555556</v>
      </c>
      <c r="AI11" s="23">
        <v>0.3541666666666667</v>
      </c>
    </row>
    <row r="12">
      <c r="A12" s="32"/>
      <c r="B12" s="20">
        <v>10.0</v>
      </c>
      <c r="C12" s="37" t="s">
        <v>216</v>
      </c>
      <c r="D12" s="22">
        <f t="shared" si="2"/>
        <v>8.140972222</v>
      </c>
      <c r="E12" s="25">
        <v>0.37916666666666665</v>
      </c>
      <c r="F12" s="25">
        <v>0.39861111111111114</v>
      </c>
      <c r="G12" s="23">
        <v>0.3541666666666667</v>
      </c>
      <c r="H12" s="24"/>
      <c r="I12" s="24"/>
      <c r="J12" s="26" t="s">
        <v>269</v>
      </c>
      <c r="K12" s="25">
        <v>0.38472222222222224</v>
      </c>
      <c r="L12" s="25">
        <v>0.39166666666666666</v>
      </c>
      <c r="M12" s="25">
        <v>0.39305555555555555</v>
      </c>
      <c r="N12" s="25">
        <v>0.2465277777777778</v>
      </c>
      <c r="O12" s="24"/>
      <c r="P12" s="24"/>
      <c r="Q12" s="23">
        <v>0.3541666666666667</v>
      </c>
      <c r="R12" s="23">
        <v>0.41875</v>
      </c>
      <c r="S12" s="23">
        <v>0.38055555555555554</v>
      </c>
      <c r="T12" s="23">
        <v>0.4423611111111111</v>
      </c>
      <c r="U12" s="23">
        <v>0.21458333333333332</v>
      </c>
      <c r="V12" s="26"/>
      <c r="W12" s="26"/>
      <c r="X12" s="23">
        <v>0.37222222222222223</v>
      </c>
      <c r="Y12" s="23">
        <v>0.4048611111111111</v>
      </c>
      <c r="Z12" s="23">
        <v>0.41597222222222224</v>
      </c>
      <c r="AA12" s="23">
        <v>0.2951388888888889</v>
      </c>
      <c r="AB12" s="23">
        <v>0.3541666666666667</v>
      </c>
      <c r="AC12" s="26"/>
      <c r="AD12" s="26"/>
      <c r="AE12" s="23">
        <v>0.3541666666666667</v>
      </c>
      <c r="AF12" s="25">
        <v>0.38055555555555554</v>
      </c>
      <c r="AG12" s="23">
        <v>0.46319444444444446</v>
      </c>
      <c r="AH12" s="23">
        <v>0.38819444444444445</v>
      </c>
      <c r="AI12" s="23">
        <v>0.3541666666666667</v>
      </c>
    </row>
    <row r="13">
      <c r="A13" s="32"/>
      <c r="B13" s="38">
        <v>11.0</v>
      </c>
      <c r="C13" s="39" t="s">
        <v>138</v>
      </c>
      <c r="D13" s="22">
        <f t="shared" si="2"/>
        <v>7.136111111</v>
      </c>
      <c r="E13" s="26" t="s">
        <v>271</v>
      </c>
      <c r="F13" s="26" t="s">
        <v>271</v>
      </c>
      <c r="G13" s="23">
        <v>0.3333333333333333</v>
      </c>
      <c r="H13" s="24"/>
      <c r="I13" s="24"/>
      <c r="J13" s="23">
        <v>0.16666666666666666</v>
      </c>
      <c r="K13" s="25">
        <v>0.4125</v>
      </c>
      <c r="L13" s="25">
        <v>0.3527777777777778</v>
      </c>
      <c r="M13" s="25">
        <v>0.3451388888888889</v>
      </c>
      <c r="N13" s="23">
        <v>0.3333333333333333</v>
      </c>
      <c r="O13" s="24"/>
      <c r="P13" s="24"/>
      <c r="Q13" s="23">
        <v>0.3333333333333333</v>
      </c>
      <c r="R13" s="23">
        <v>0.4152777777777778</v>
      </c>
      <c r="S13" s="23">
        <v>0.3263888888888889</v>
      </c>
      <c r="T13" s="23">
        <v>0.3972222222222222</v>
      </c>
      <c r="U13" s="23">
        <v>0.3333333333333333</v>
      </c>
      <c r="V13" s="26"/>
      <c r="W13" s="26"/>
      <c r="X13" s="23">
        <v>0.4986111111111111</v>
      </c>
      <c r="Y13" s="23">
        <v>0.2423611111111111</v>
      </c>
      <c r="Z13" s="23">
        <v>0.35</v>
      </c>
      <c r="AA13" s="23">
        <v>0.34652777777777777</v>
      </c>
      <c r="AB13" s="23">
        <v>0.3333333333333333</v>
      </c>
      <c r="AC13" s="26"/>
      <c r="AD13" s="26"/>
      <c r="AE13" s="25">
        <v>0.2375</v>
      </c>
      <c r="AF13" s="23">
        <v>0.3333333333333333</v>
      </c>
      <c r="AG13" s="23">
        <v>0.3333333333333333</v>
      </c>
      <c r="AH13" s="23">
        <v>0.3784722222222222</v>
      </c>
      <c r="AI13" s="23">
        <v>0.3333333333333333</v>
      </c>
    </row>
    <row r="14">
      <c r="A14" s="32"/>
      <c r="B14" s="38">
        <v>12.0</v>
      </c>
      <c r="C14" s="40" t="s">
        <v>228</v>
      </c>
      <c r="D14" s="22">
        <f t="shared" si="2"/>
        <v>7.367361111</v>
      </c>
      <c r="E14" s="25">
        <v>0.35208333333333336</v>
      </c>
      <c r="F14" s="25">
        <v>0.3368055555555556</v>
      </c>
      <c r="G14" s="23">
        <v>0.3333333333333333</v>
      </c>
      <c r="H14" s="24"/>
      <c r="I14" s="24"/>
      <c r="J14" s="25">
        <v>0.325</v>
      </c>
      <c r="K14" s="25">
        <v>0.33541666666666664</v>
      </c>
      <c r="L14" s="25">
        <v>0.34097222222222223</v>
      </c>
      <c r="M14" s="23">
        <v>0.3333333333333333</v>
      </c>
      <c r="N14" s="25">
        <v>0.30486111111111114</v>
      </c>
      <c r="O14" s="24"/>
      <c r="P14" s="24"/>
      <c r="Q14" s="23">
        <v>0.3375</v>
      </c>
      <c r="R14" s="23">
        <v>0.34652777777777777</v>
      </c>
      <c r="S14" s="23">
        <v>0.3215277777777778</v>
      </c>
      <c r="T14" s="26" t="s">
        <v>271</v>
      </c>
      <c r="U14" s="23">
        <v>0.3333333333333333</v>
      </c>
      <c r="V14" s="26"/>
      <c r="W14" s="26"/>
      <c r="X14" s="23">
        <v>0.3347222222222222</v>
      </c>
      <c r="Y14" s="23">
        <v>0.3423611111111111</v>
      </c>
      <c r="Z14" s="23">
        <v>0.3423611111111111</v>
      </c>
      <c r="AA14" s="23">
        <v>0.29583333333333334</v>
      </c>
      <c r="AB14" s="23">
        <v>0.3333333333333333</v>
      </c>
      <c r="AC14" s="26"/>
      <c r="AD14" s="26"/>
      <c r="AE14" s="25">
        <v>0.35555555555555557</v>
      </c>
      <c r="AF14" s="25">
        <v>0.3458333333333333</v>
      </c>
      <c r="AG14" s="23">
        <v>0.3333333333333333</v>
      </c>
      <c r="AH14" s="23">
        <v>0.35</v>
      </c>
      <c r="AI14" s="23">
        <v>0.3333333333333333</v>
      </c>
    </row>
    <row r="15">
      <c r="A15" s="32"/>
      <c r="B15" s="41">
        <v>13.0</v>
      </c>
      <c r="C15" s="40" t="s">
        <v>273</v>
      </c>
      <c r="D15" s="22">
        <f t="shared" si="2"/>
        <v>7.574305556</v>
      </c>
      <c r="E15" s="23">
        <v>0.3659722222222222</v>
      </c>
      <c r="F15" s="23">
        <v>0.3368055555555556</v>
      </c>
      <c r="G15" s="23">
        <v>0.35555555555555557</v>
      </c>
      <c r="H15" s="24"/>
      <c r="I15" s="24"/>
      <c r="J15" s="23">
        <v>0.38125</v>
      </c>
      <c r="K15" s="23">
        <v>0.34930555555555554</v>
      </c>
      <c r="L15" s="23">
        <v>0.16666666666666666</v>
      </c>
      <c r="M15" s="23">
        <v>0.3645833333333333</v>
      </c>
      <c r="N15" s="23">
        <v>0.3333333333333333</v>
      </c>
      <c r="O15" s="24"/>
      <c r="P15" s="24"/>
      <c r="Q15" s="23">
        <v>0.33958333333333335</v>
      </c>
      <c r="R15" s="23">
        <v>0.36736111111111114</v>
      </c>
      <c r="S15" s="23">
        <v>0.3486111111111111</v>
      </c>
      <c r="T15" s="23">
        <v>0.3680555555555556</v>
      </c>
      <c r="U15" s="23">
        <v>0.3333333333333333</v>
      </c>
      <c r="V15" s="26"/>
      <c r="W15" s="26"/>
      <c r="X15" s="23">
        <v>0.34791666666666665</v>
      </c>
      <c r="Y15" s="23">
        <v>0.3958333333333333</v>
      </c>
      <c r="Z15" s="23">
        <v>0.35833333333333334</v>
      </c>
      <c r="AA15" s="23">
        <v>0.40069444444444446</v>
      </c>
      <c r="AB15" s="23">
        <v>0.3333333333333333</v>
      </c>
      <c r="AC15" s="26"/>
      <c r="AD15" s="26"/>
      <c r="AE15" s="26" t="s">
        <v>271</v>
      </c>
      <c r="AF15" s="23">
        <v>0.26319444444444445</v>
      </c>
      <c r="AG15" s="23">
        <v>0.38263888888888886</v>
      </c>
      <c r="AH15" s="23">
        <v>0.3486111111111111</v>
      </c>
      <c r="AI15" s="23">
        <v>0.3333333333333333</v>
      </c>
    </row>
    <row r="16">
      <c r="A16" s="42" t="s">
        <v>274</v>
      </c>
      <c r="B16" s="33">
        <v>14.0</v>
      </c>
      <c r="C16" s="35" t="s">
        <v>213</v>
      </c>
      <c r="D16" s="22">
        <f t="shared" si="2"/>
        <v>8.188888889</v>
      </c>
      <c r="E16" s="25">
        <v>0.4236111111111111</v>
      </c>
      <c r="F16" s="25">
        <v>0.28194444444444444</v>
      </c>
      <c r="G16" s="23">
        <v>0.3541666666666667</v>
      </c>
      <c r="H16" s="24"/>
      <c r="I16" s="24"/>
      <c r="J16" s="26" t="s">
        <v>269</v>
      </c>
      <c r="K16" s="25">
        <v>0.3854166666666667</v>
      </c>
      <c r="L16" s="25">
        <v>0.42083333333333334</v>
      </c>
      <c r="M16" s="25">
        <v>0.3590277777777778</v>
      </c>
      <c r="N16" s="23">
        <v>0.3541666666666667</v>
      </c>
      <c r="O16" s="24"/>
      <c r="P16" s="24"/>
      <c r="Q16" s="23">
        <v>0.3541666666666667</v>
      </c>
      <c r="R16" s="23">
        <v>0.3333333333333333</v>
      </c>
      <c r="S16" s="23">
        <v>0.42986111111111114</v>
      </c>
      <c r="T16" s="23">
        <v>0.3333333333333333</v>
      </c>
      <c r="U16" s="23">
        <v>0.3541666666666667</v>
      </c>
      <c r="V16" s="26"/>
      <c r="W16" s="26"/>
      <c r="X16" s="23">
        <v>0.38263888888888886</v>
      </c>
      <c r="Y16" s="23">
        <v>0.4361111111111111</v>
      </c>
      <c r="Z16" s="23">
        <v>0.4423611111111111</v>
      </c>
      <c r="AA16" s="23">
        <v>0.29375</v>
      </c>
      <c r="AB16" s="23">
        <v>0.3541666666666667</v>
      </c>
      <c r="AC16" s="26"/>
      <c r="AD16" s="26"/>
      <c r="AE16" s="25">
        <v>0.3763888888888889</v>
      </c>
      <c r="AF16" s="25">
        <v>0.43680555555555556</v>
      </c>
      <c r="AG16" s="23">
        <v>0.38958333333333334</v>
      </c>
      <c r="AH16" s="23">
        <v>0.3388888888888889</v>
      </c>
      <c r="AI16" s="23">
        <v>0.3541666666666667</v>
      </c>
    </row>
    <row r="17">
      <c r="A17" s="32"/>
      <c r="B17" s="33">
        <v>15.0</v>
      </c>
      <c r="C17" s="43" t="s">
        <v>54</v>
      </c>
      <c r="D17" s="22">
        <f t="shared" si="2"/>
        <v>8.108333333</v>
      </c>
      <c r="E17" s="25">
        <v>0.40902777777777777</v>
      </c>
      <c r="F17" s="23">
        <v>0.16666666666666666</v>
      </c>
      <c r="G17" s="23">
        <v>0.3541666666666667</v>
      </c>
      <c r="H17" s="24"/>
      <c r="I17" s="24"/>
      <c r="J17" s="23">
        <v>0.16666666666666666</v>
      </c>
      <c r="K17" s="25">
        <v>0.5027777777777778</v>
      </c>
      <c r="L17" s="25">
        <v>0.3263888888888889</v>
      </c>
      <c r="M17" s="26" t="s">
        <v>269</v>
      </c>
      <c r="N17" s="23">
        <v>0.3541666666666667</v>
      </c>
      <c r="O17" s="24"/>
      <c r="P17" s="24"/>
      <c r="Q17" s="23">
        <v>0.43680555555555556</v>
      </c>
      <c r="R17" s="23">
        <v>0.4701388888888889</v>
      </c>
      <c r="S17" s="23">
        <v>0.42083333333333334</v>
      </c>
      <c r="T17" s="23">
        <v>0.4083333333333333</v>
      </c>
      <c r="U17" s="23">
        <v>0.3541666666666667</v>
      </c>
      <c r="V17" s="26"/>
      <c r="W17" s="26"/>
      <c r="X17" s="23">
        <v>0.35694444444444445</v>
      </c>
      <c r="Y17" s="23">
        <v>0.42986111111111114</v>
      </c>
      <c r="Z17" s="23">
        <v>0.38125</v>
      </c>
      <c r="AA17" s="23">
        <v>0.4013888888888889</v>
      </c>
      <c r="AB17" s="23">
        <v>0.3541666666666667</v>
      </c>
      <c r="AC17" s="26"/>
      <c r="AD17" s="26"/>
      <c r="AE17" s="25">
        <v>0.37083333333333335</v>
      </c>
      <c r="AF17" s="25">
        <v>0.3715277777777778</v>
      </c>
      <c r="AG17" s="23">
        <v>0.37916666666666665</v>
      </c>
      <c r="AH17" s="23">
        <v>0.3388888888888889</v>
      </c>
      <c r="AI17" s="23">
        <v>0.3541666666666667</v>
      </c>
    </row>
    <row r="18">
      <c r="A18" s="32"/>
      <c r="B18" s="33">
        <v>16.0</v>
      </c>
      <c r="C18" s="43" t="s">
        <v>159</v>
      </c>
      <c r="D18" s="22">
        <f t="shared" si="2"/>
        <v>8.145833333</v>
      </c>
      <c r="E18" s="23">
        <v>0.3541666666666667</v>
      </c>
      <c r="F18" s="23">
        <v>0.3541666666666667</v>
      </c>
      <c r="G18" s="23">
        <v>0.3541666666666667</v>
      </c>
      <c r="H18" s="24"/>
      <c r="I18" s="24"/>
      <c r="J18" s="23">
        <v>0.3541666666666667</v>
      </c>
      <c r="K18" s="23">
        <v>0.3541666666666667</v>
      </c>
      <c r="L18" s="23">
        <v>0.3541666666666667</v>
      </c>
      <c r="M18" s="23">
        <v>0.3541666666666667</v>
      </c>
      <c r="N18" s="23">
        <v>0.3541666666666667</v>
      </c>
      <c r="O18" s="24"/>
      <c r="P18" s="24"/>
      <c r="Q18" s="23">
        <v>0.3541666666666667</v>
      </c>
      <c r="R18" s="23">
        <v>0.3541666666666667</v>
      </c>
      <c r="S18" s="23">
        <v>0.3541666666666667</v>
      </c>
      <c r="T18" s="23">
        <v>0.3541666666666667</v>
      </c>
      <c r="U18" s="23">
        <v>0.3541666666666667</v>
      </c>
      <c r="V18" s="26"/>
      <c r="W18" s="26"/>
      <c r="X18" s="23">
        <v>0.3541666666666667</v>
      </c>
      <c r="Y18" s="23">
        <v>0.3541666666666667</v>
      </c>
      <c r="Z18" s="23">
        <v>0.3541666666666667</v>
      </c>
      <c r="AA18" s="23">
        <v>0.3541666666666667</v>
      </c>
      <c r="AB18" s="23">
        <v>0.3541666666666667</v>
      </c>
      <c r="AC18" s="26"/>
      <c r="AD18" s="26"/>
      <c r="AE18" s="23">
        <v>0.3541666666666667</v>
      </c>
      <c r="AF18" s="23">
        <v>0.3541666666666667</v>
      </c>
      <c r="AG18" s="23">
        <v>0.3541666666666667</v>
      </c>
      <c r="AH18" s="23">
        <v>0.3541666666666667</v>
      </c>
      <c r="AI18" s="23">
        <v>0.3541666666666667</v>
      </c>
    </row>
    <row r="19">
      <c r="A19" s="32"/>
      <c r="B19" s="20">
        <v>17.0</v>
      </c>
      <c r="C19" s="35" t="s">
        <v>156</v>
      </c>
      <c r="D19" s="22">
        <f t="shared" si="2"/>
        <v>8.407638889</v>
      </c>
      <c r="E19" s="25">
        <v>0.38263888888888886</v>
      </c>
      <c r="F19" s="25">
        <v>0.4041666666666667</v>
      </c>
      <c r="G19" s="23">
        <v>0.3541666666666667</v>
      </c>
      <c r="H19" s="24"/>
      <c r="I19" s="24"/>
      <c r="J19" s="25">
        <v>0.38263888888888886</v>
      </c>
      <c r="K19" s="25">
        <v>0.40625</v>
      </c>
      <c r="L19" s="25">
        <v>0.38055555555555554</v>
      </c>
      <c r="M19" s="25">
        <v>0.3861111111111111</v>
      </c>
      <c r="N19" s="23">
        <v>0.3541666666666667</v>
      </c>
      <c r="O19" s="24"/>
      <c r="P19" s="24"/>
      <c r="Q19" s="23">
        <v>0.38333333333333336</v>
      </c>
      <c r="R19" s="23">
        <v>0.39305555555555555</v>
      </c>
      <c r="S19" s="23">
        <v>0.4097222222222222</v>
      </c>
      <c r="T19" s="23">
        <v>0.4027777777777778</v>
      </c>
      <c r="U19" s="23">
        <v>0.3333333333333333</v>
      </c>
      <c r="V19" s="26"/>
      <c r="W19" s="26"/>
      <c r="X19" s="23">
        <v>0.39861111111111114</v>
      </c>
      <c r="Y19" s="23">
        <v>0.40069444444444446</v>
      </c>
      <c r="Z19" s="23">
        <v>0.38958333333333334</v>
      </c>
      <c r="AA19" s="23">
        <v>0.3840277777777778</v>
      </c>
      <c r="AB19" s="23">
        <v>0.3541666666666667</v>
      </c>
      <c r="AC19" s="26"/>
      <c r="AD19" s="26"/>
      <c r="AE19" s="26" t="s">
        <v>271</v>
      </c>
      <c r="AF19" s="25">
        <v>0.38055555555555554</v>
      </c>
      <c r="AG19" s="23">
        <v>0.3923611111111111</v>
      </c>
      <c r="AH19" s="23">
        <v>0.38055555555555554</v>
      </c>
      <c r="AI19" s="23">
        <v>0.3541666666666667</v>
      </c>
    </row>
    <row r="20">
      <c r="A20" s="32"/>
      <c r="B20" s="38">
        <v>18.0</v>
      </c>
      <c r="C20" s="44" t="s">
        <v>275</v>
      </c>
      <c r="D20" s="22">
        <f t="shared" si="2"/>
        <v>7.986111111</v>
      </c>
      <c r="E20" s="25">
        <v>0.3875</v>
      </c>
      <c r="F20" s="25">
        <v>0.3888888888888889</v>
      </c>
      <c r="G20" s="25">
        <v>0.37083333333333335</v>
      </c>
      <c r="H20" s="24"/>
      <c r="I20" s="24"/>
      <c r="J20" s="25">
        <v>0.3888888888888889</v>
      </c>
      <c r="K20" s="25">
        <v>0.37916666666666665</v>
      </c>
      <c r="L20" s="25">
        <v>0.3888888888888889</v>
      </c>
      <c r="M20" s="25">
        <v>0.40208333333333335</v>
      </c>
      <c r="N20" s="25">
        <v>0.33611111111111114</v>
      </c>
      <c r="O20" s="24"/>
      <c r="P20" s="24"/>
      <c r="Q20" s="23">
        <v>0.37430555555555556</v>
      </c>
      <c r="R20" s="26" t="s">
        <v>269</v>
      </c>
      <c r="S20" s="23">
        <v>0.38263888888888886</v>
      </c>
      <c r="T20" s="23">
        <v>0.3819444444444444</v>
      </c>
      <c r="U20" s="23">
        <v>0.29375</v>
      </c>
      <c r="V20" s="26"/>
      <c r="W20" s="26"/>
      <c r="X20" s="23">
        <v>0.40347222222222223</v>
      </c>
      <c r="Y20" s="23">
        <v>0.16666666666666666</v>
      </c>
      <c r="Z20" s="23">
        <v>0.36041666666666666</v>
      </c>
      <c r="AA20" s="23">
        <v>0.3798611111111111</v>
      </c>
      <c r="AB20" s="23">
        <v>0.3333333333333333</v>
      </c>
      <c r="AC20" s="26"/>
      <c r="AD20" s="26"/>
      <c r="AE20" s="25">
        <v>0.3854166666666667</v>
      </c>
      <c r="AF20" s="25">
        <v>0.3763888888888889</v>
      </c>
      <c r="AG20" s="23">
        <v>0.37777777777777777</v>
      </c>
      <c r="AH20" s="23">
        <v>0.40694444444444444</v>
      </c>
      <c r="AI20" s="23">
        <v>0.32083333333333336</v>
      </c>
    </row>
    <row r="21">
      <c r="A21" s="32"/>
      <c r="B21" s="33">
        <v>19.0</v>
      </c>
      <c r="C21" s="31" t="s">
        <v>57</v>
      </c>
      <c r="D21" s="22">
        <f t="shared" si="2"/>
        <v>4.784722222</v>
      </c>
      <c r="E21" s="26" t="s">
        <v>276</v>
      </c>
      <c r="F21" s="26" t="s">
        <v>276</v>
      </c>
      <c r="G21" s="26" t="s">
        <v>276</v>
      </c>
      <c r="H21" s="24"/>
      <c r="I21" s="24"/>
      <c r="J21" s="26" t="s">
        <v>276</v>
      </c>
      <c r="K21" s="26" t="s">
        <v>276</v>
      </c>
      <c r="L21" s="26" t="s">
        <v>276</v>
      </c>
      <c r="M21" s="26" t="s">
        <v>276</v>
      </c>
      <c r="N21" s="26" t="s">
        <v>276</v>
      </c>
      <c r="O21" s="24"/>
      <c r="P21" s="24"/>
      <c r="Q21" s="26" t="s">
        <v>276</v>
      </c>
      <c r="R21" s="26" t="s">
        <v>276</v>
      </c>
      <c r="S21" s="23">
        <v>0.3388888888888889</v>
      </c>
      <c r="T21" s="23">
        <v>0.36180555555555555</v>
      </c>
      <c r="U21" s="23">
        <v>0.3541666666666667</v>
      </c>
      <c r="V21" s="26"/>
      <c r="W21" s="26"/>
      <c r="X21" s="23">
        <v>0.3729166666666667</v>
      </c>
      <c r="Y21" s="23">
        <v>0.3625</v>
      </c>
      <c r="Z21" s="23">
        <v>0.38055555555555554</v>
      </c>
      <c r="AA21" s="23">
        <v>0.39305555555555555</v>
      </c>
      <c r="AB21" s="23">
        <v>0.3541666666666667</v>
      </c>
      <c r="AC21" s="26"/>
      <c r="AD21" s="26"/>
      <c r="AE21" s="25">
        <v>0.3576388888888889</v>
      </c>
      <c r="AF21" s="25">
        <v>0.3840277777777778</v>
      </c>
      <c r="AG21" s="23">
        <v>0.40347222222222223</v>
      </c>
      <c r="AH21" s="23">
        <v>0.36736111111111114</v>
      </c>
      <c r="AI21" s="23">
        <v>0.3541666666666667</v>
      </c>
    </row>
    <row r="22">
      <c r="A22" s="32"/>
      <c r="B22" s="41">
        <v>20.0</v>
      </c>
      <c r="C22" s="40" t="s">
        <v>51</v>
      </c>
      <c r="D22" s="22">
        <f t="shared" si="2"/>
        <v>8.304861111</v>
      </c>
      <c r="E22" s="25">
        <v>0.37083333333333335</v>
      </c>
      <c r="F22" s="25">
        <v>0.2798611111111111</v>
      </c>
      <c r="G22" s="23">
        <v>0.3333333333333333</v>
      </c>
      <c r="H22" s="24"/>
      <c r="I22" s="24"/>
      <c r="J22" s="23">
        <v>0.4166666666666667</v>
      </c>
      <c r="K22" s="23">
        <v>0.55625</v>
      </c>
      <c r="L22" s="23">
        <v>0.5284722222222222</v>
      </c>
      <c r="M22" s="25">
        <v>0.22847222222222222</v>
      </c>
      <c r="N22" s="23">
        <v>0.3333333333333333</v>
      </c>
      <c r="O22" s="24"/>
      <c r="P22" s="24"/>
      <c r="Q22" s="26" t="s">
        <v>271</v>
      </c>
      <c r="R22" s="23">
        <v>0.3402777777777778</v>
      </c>
      <c r="S22" s="23">
        <v>0.34791666666666665</v>
      </c>
      <c r="T22" s="23">
        <v>0.46875</v>
      </c>
      <c r="U22" s="23">
        <v>0.3333333333333333</v>
      </c>
      <c r="V22" s="26"/>
      <c r="W22" s="26"/>
      <c r="X22" s="23">
        <v>0.48680555555555555</v>
      </c>
      <c r="Y22" s="23">
        <v>0.3298611111111111</v>
      </c>
      <c r="Z22" s="23">
        <v>0.4756944444444444</v>
      </c>
      <c r="AA22" s="23">
        <v>0.2965277777777778</v>
      </c>
      <c r="AB22" s="23">
        <v>0.3333333333333333</v>
      </c>
      <c r="AC22" s="26"/>
      <c r="AD22" s="26"/>
      <c r="AE22" s="25">
        <v>0.36041666666666666</v>
      </c>
      <c r="AF22" s="23">
        <v>0.5034722222222222</v>
      </c>
      <c r="AG22" s="23">
        <v>0.30416666666666664</v>
      </c>
      <c r="AH22" s="23">
        <v>0.34375</v>
      </c>
      <c r="AI22" s="23">
        <v>0.3333333333333333</v>
      </c>
    </row>
    <row r="23">
      <c r="A23" s="32"/>
      <c r="B23" s="38">
        <v>21.0</v>
      </c>
      <c r="C23" s="45" t="s">
        <v>78</v>
      </c>
      <c r="D23" s="22">
        <f t="shared" si="2"/>
        <v>8.266666667</v>
      </c>
      <c r="E23" s="25">
        <v>0.3638888888888889</v>
      </c>
      <c r="F23" s="25">
        <v>0.41458333333333336</v>
      </c>
      <c r="G23" s="23">
        <v>0.3333333333333333</v>
      </c>
      <c r="H23" s="24"/>
      <c r="I23" s="24"/>
      <c r="J23" s="23">
        <v>0.4125</v>
      </c>
      <c r="K23" s="25">
        <v>0.3770833333333333</v>
      </c>
      <c r="L23" s="25">
        <v>0.40902777777777777</v>
      </c>
      <c r="M23" s="25">
        <v>0.38263888888888886</v>
      </c>
      <c r="N23" s="23">
        <v>0.3333333333333333</v>
      </c>
      <c r="O23" s="24"/>
      <c r="P23" s="24"/>
      <c r="Q23" s="23">
        <v>0.37430555555555556</v>
      </c>
      <c r="R23" s="23">
        <v>0.41180555555555554</v>
      </c>
      <c r="S23" s="23">
        <v>0.4041666666666667</v>
      </c>
      <c r="T23" s="23">
        <v>0.36180555555555555</v>
      </c>
      <c r="U23" s="23">
        <v>0.2965277777777778</v>
      </c>
      <c r="V23" s="26"/>
      <c r="W23" s="26"/>
      <c r="X23" s="23">
        <v>0.3541666666666667</v>
      </c>
      <c r="Y23" s="23">
        <v>0.3451388888888889</v>
      </c>
      <c r="Z23" s="23">
        <v>0.3333333333333333</v>
      </c>
      <c r="AA23" s="23">
        <v>0.3451388888888889</v>
      </c>
      <c r="AB23" s="23">
        <v>0.3333333333333333</v>
      </c>
      <c r="AC23" s="26"/>
      <c r="AD23" s="26"/>
      <c r="AE23" s="25">
        <v>0.37777777777777777</v>
      </c>
      <c r="AF23" s="25">
        <v>0.31180555555555556</v>
      </c>
      <c r="AG23" s="23">
        <v>0.3333333333333333</v>
      </c>
      <c r="AH23" s="23">
        <v>0.3333333333333333</v>
      </c>
      <c r="AI23" s="23">
        <v>0.32430555555555557</v>
      </c>
    </row>
    <row r="24">
      <c r="A24" s="32"/>
      <c r="B24" s="38">
        <v>22.0</v>
      </c>
      <c r="C24" s="46" t="s">
        <v>132</v>
      </c>
      <c r="D24" s="22">
        <f t="shared" si="2"/>
        <v>9.152083333</v>
      </c>
      <c r="E24" s="23">
        <v>0.5347222222222222</v>
      </c>
      <c r="F24" s="25">
        <v>0.4618055555555556</v>
      </c>
      <c r="G24" s="25">
        <v>0.3840277777777778</v>
      </c>
      <c r="H24" s="24"/>
      <c r="I24" s="24"/>
      <c r="J24" s="25">
        <v>0.44305555555555554</v>
      </c>
      <c r="K24" s="25">
        <v>0.3993055555555556</v>
      </c>
      <c r="L24" s="25">
        <v>0.3923611111111111</v>
      </c>
      <c r="M24" s="25">
        <v>0.43125</v>
      </c>
      <c r="N24" s="23">
        <v>0.3333333333333333</v>
      </c>
      <c r="O24" s="24"/>
      <c r="P24" s="24"/>
      <c r="Q24" s="23">
        <v>0.4131944444444444</v>
      </c>
      <c r="R24" s="23">
        <v>0.42569444444444443</v>
      </c>
      <c r="S24" s="23">
        <v>0.4125</v>
      </c>
      <c r="T24" s="23">
        <v>0.39166666666666666</v>
      </c>
      <c r="U24" s="23">
        <v>0.3333333333333333</v>
      </c>
      <c r="V24" s="26"/>
      <c r="W24" s="26"/>
      <c r="X24" s="23">
        <v>0.45416666666666666</v>
      </c>
      <c r="Y24" s="23">
        <v>0.3819444444444444</v>
      </c>
      <c r="Z24" s="23">
        <v>0.4027777777777778</v>
      </c>
      <c r="AA24" s="23">
        <v>0.5229166666666667</v>
      </c>
      <c r="AB24" s="23">
        <v>0.3333333333333333</v>
      </c>
      <c r="AC24" s="26"/>
      <c r="AD24" s="26"/>
      <c r="AE24" s="25">
        <v>0.40902777777777777</v>
      </c>
      <c r="AF24" s="25">
        <v>0.46875</v>
      </c>
      <c r="AG24" s="26" t="s">
        <v>269</v>
      </c>
      <c r="AH24" s="23">
        <v>0.45</v>
      </c>
      <c r="AI24" s="23">
        <v>0.3729166666666667</v>
      </c>
    </row>
    <row r="25">
      <c r="A25" s="32"/>
      <c r="B25" s="41">
        <v>23.0</v>
      </c>
      <c r="C25" s="47" t="s">
        <v>87</v>
      </c>
      <c r="D25" s="22">
        <f t="shared" si="2"/>
        <v>8.869444444</v>
      </c>
      <c r="E25" s="25">
        <v>0.43819444444444444</v>
      </c>
      <c r="F25" s="25">
        <v>0.42986111111111114</v>
      </c>
      <c r="G25" s="23">
        <v>0.3333333333333333</v>
      </c>
      <c r="H25" s="24"/>
      <c r="I25" s="24"/>
      <c r="J25" s="23">
        <v>0.3888888888888889</v>
      </c>
      <c r="K25" s="25">
        <v>0.40694444444444444</v>
      </c>
      <c r="L25" s="25">
        <v>0.44166666666666665</v>
      </c>
      <c r="M25" s="25">
        <v>0.3701388888888889</v>
      </c>
      <c r="N25" s="23">
        <v>0.3333333333333333</v>
      </c>
      <c r="O25" s="24"/>
      <c r="P25" s="24"/>
      <c r="Q25" s="23">
        <v>0.375</v>
      </c>
      <c r="R25" s="23">
        <v>0.36666666666666664</v>
      </c>
      <c r="S25" s="23">
        <v>0.42083333333333334</v>
      </c>
      <c r="T25" s="23">
        <v>0.41805555555555557</v>
      </c>
      <c r="U25" s="23">
        <v>0.3333333333333333</v>
      </c>
      <c r="V25" s="26"/>
      <c r="W25" s="26"/>
      <c r="X25" s="23">
        <v>0.38055555555555554</v>
      </c>
      <c r="Y25" s="23">
        <v>0.3798611111111111</v>
      </c>
      <c r="Z25" s="23">
        <v>0.40555555555555556</v>
      </c>
      <c r="AA25" s="23">
        <v>0.38125</v>
      </c>
      <c r="AB25" s="23">
        <v>0.3333333333333333</v>
      </c>
      <c r="AC25" s="26"/>
      <c r="AD25" s="26"/>
      <c r="AE25" s="25">
        <v>0.3840277777777778</v>
      </c>
      <c r="AF25" s="25">
        <v>0.38819444444444445</v>
      </c>
      <c r="AG25" s="23">
        <v>0.43333333333333335</v>
      </c>
      <c r="AH25" s="23">
        <v>0.39375</v>
      </c>
      <c r="AI25" s="23">
        <v>0.3333333333333333</v>
      </c>
    </row>
    <row r="26">
      <c r="A26" s="32"/>
      <c r="B26" s="38">
        <v>24.0</v>
      </c>
      <c r="C26" s="45" t="s">
        <v>99</v>
      </c>
      <c r="D26" s="22">
        <f t="shared" si="2"/>
        <v>8.172222222</v>
      </c>
      <c r="E26" s="26" t="s">
        <v>269</v>
      </c>
      <c r="F26" s="25">
        <v>0.4423611111111111</v>
      </c>
      <c r="G26" s="23">
        <v>0.3333333333333333</v>
      </c>
      <c r="H26" s="24"/>
      <c r="I26" s="24"/>
      <c r="J26" s="25">
        <v>0.3215277777777778</v>
      </c>
      <c r="K26" s="25">
        <v>0.33055555555555555</v>
      </c>
      <c r="L26" s="25">
        <v>0.41597222222222224</v>
      </c>
      <c r="M26" s="25">
        <v>0.3326388888888889</v>
      </c>
      <c r="N26" s="23">
        <v>0.3333333333333333</v>
      </c>
      <c r="O26" s="24"/>
      <c r="P26" s="24"/>
      <c r="Q26" s="23">
        <v>0.4013888888888889</v>
      </c>
      <c r="R26" s="23">
        <v>0.38125</v>
      </c>
      <c r="S26" s="23">
        <v>0.32013888888888886</v>
      </c>
      <c r="T26" s="23">
        <v>0.3736111111111111</v>
      </c>
      <c r="U26" s="23">
        <v>0.3333333333333333</v>
      </c>
      <c r="V26" s="26"/>
      <c r="W26" s="26"/>
      <c r="X26" s="23">
        <v>0.39791666666666664</v>
      </c>
      <c r="Y26" s="23">
        <v>0.4479166666666667</v>
      </c>
      <c r="Z26" s="23">
        <v>0.3763888888888889</v>
      </c>
      <c r="AA26" s="23">
        <v>0.4013888888888889</v>
      </c>
      <c r="AB26" s="23">
        <v>0.3333333333333333</v>
      </c>
      <c r="AC26" s="26"/>
      <c r="AD26" s="26"/>
      <c r="AE26" s="25">
        <v>0.4222222222222222</v>
      </c>
      <c r="AF26" s="25">
        <v>0.39861111111111114</v>
      </c>
      <c r="AG26" s="23">
        <v>0.3736111111111111</v>
      </c>
      <c r="AH26" s="23">
        <v>0.3680555555555556</v>
      </c>
      <c r="AI26" s="23">
        <v>0.3333333333333333</v>
      </c>
    </row>
    <row r="27">
      <c r="A27" s="32"/>
      <c r="B27" s="38">
        <v>25.0</v>
      </c>
      <c r="C27" s="45" t="s">
        <v>93</v>
      </c>
      <c r="D27" s="22">
        <f t="shared" si="2"/>
        <v>9.43125</v>
      </c>
      <c r="E27" s="25">
        <v>0.4576388888888889</v>
      </c>
      <c r="F27" s="25">
        <v>0.4576388888888889</v>
      </c>
      <c r="G27" s="25">
        <v>0.37916666666666665</v>
      </c>
      <c r="H27" s="24"/>
      <c r="I27" s="24"/>
      <c r="J27" s="25">
        <v>0.4513888888888889</v>
      </c>
      <c r="K27" s="25">
        <v>0.4</v>
      </c>
      <c r="L27" s="25">
        <v>0.39166666666666666</v>
      </c>
      <c r="M27" s="25">
        <v>0.43125</v>
      </c>
      <c r="N27" s="23">
        <v>0.3333333333333333</v>
      </c>
      <c r="O27" s="24"/>
      <c r="P27" s="24"/>
      <c r="Q27" s="23">
        <v>0.4215277777777778</v>
      </c>
      <c r="R27" s="23">
        <v>0.4263888888888889</v>
      </c>
      <c r="S27" s="23">
        <v>0.41388888888888886</v>
      </c>
      <c r="T27" s="23">
        <v>0.3902777777777778</v>
      </c>
      <c r="U27" s="23">
        <v>0.3333333333333333</v>
      </c>
      <c r="V27" s="26"/>
      <c r="W27" s="26"/>
      <c r="X27" s="23">
        <v>0.45</v>
      </c>
      <c r="Y27" s="23">
        <v>0.3819444444444444</v>
      </c>
      <c r="Z27" s="23">
        <v>0.4027777777777778</v>
      </c>
      <c r="AA27" s="23">
        <v>0.5229166666666667</v>
      </c>
      <c r="AB27" s="23">
        <v>0.3333333333333333</v>
      </c>
      <c r="AC27" s="26"/>
      <c r="AD27" s="26"/>
      <c r="AE27" s="25">
        <v>0.40902777777777777</v>
      </c>
      <c r="AF27" s="25">
        <v>0.46875</v>
      </c>
      <c r="AG27" s="23">
        <v>0.3923611111111111</v>
      </c>
      <c r="AH27" s="23">
        <v>0.44930555555555557</v>
      </c>
      <c r="AI27" s="23">
        <v>0.3333333333333333</v>
      </c>
    </row>
    <row r="28">
      <c r="A28" s="32"/>
      <c r="B28" s="41">
        <v>26.0</v>
      </c>
      <c r="C28" s="46" t="s">
        <v>135</v>
      </c>
      <c r="D28" s="22">
        <f t="shared" si="2"/>
        <v>8.490277778</v>
      </c>
      <c r="E28" s="25">
        <v>0.3875</v>
      </c>
      <c r="F28" s="25">
        <v>0.4305555555555556</v>
      </c>
      <c r="G28" s="25">
        <v>0.3763888888888889</v>
      </c>
      <c r="H28" s="24"/>
      <c r="I28" s="24"/>
      <c r="J28" s="23">
        <v>0.38472222222222224</v>
      </c>
      <c r="K28" s="25">
        <v>0.39375</v>
      </c>
      <c r="L28" s="25">
        <v>0.3645833333333333</v>
      </c>
      <c r="M28" s="25">
        <v>0.375</v>
      </c>
      <c r="N28" s="23">
        <v>0.3333333333333333</v>
      </c>
      <c r="O28" s="24"/>
      <c r="P28" s="24"/>
      <c r="Q28" s="23">
        <v>0.46458333333333335</v>
      </c>
      <c r="R28" s="23">
        <v>0.4083333333333333</v>
      </c>
      <c r="S28" s="23">
        <v>0.3854166666666667</v>
      </c>
      <c r="T28" s="23">
        <v>0.3888888888888889</v>
      </c>
      <c r="U28" s="23">
        <v>0.3333333333333333</v>
      </c>
      <c r="V28" s="26"/>
      <c r="W28" s="26"/>
      <c r="X28" s="23">
        <v>0.4027777777777778</v>
      </c>
      <c r="Y28" s="23">
        <v>0.39375</v>
      </c>
      <c r="Z28" s="23">
        <v>0.38125</v>
      </c>
      <c r="AA28" s="23">
        <v>0.48194444444444445</v>
      </c>
      <c r="AB28" s="23">
        <v>0.3333333333333333</v>
      </c>
      <c r="AC28" s="26"/>
      <c r="AD28" s="26"/>
      <c r="AE28" s="25">
        <v>0.44513888888888886</v>
      </c>
      <c r="AF28" s="25">
        <v>0.40555555555555556</v>
      </c>
      <c r="AG28" s="23">
        <v>0.28680555555555554</v>
      </c>
      <c r="AH28" s="26" t="s">
        <v>271</v>
      </c>
      <c r="AI28" s="23">
        <v>0.3333333333333333</v>
      </c>
    </row>
    <row r="29">
      <c r="A29" s="32"/>
      <c r="B29" s="38">
        <v>27.0</v>
      </c>
      <c r="C29" s="47" t="s">
        <v>183</v>
      </c>
      <c r="D29" s="22">
        <f t="shared" si="2"/>
        <v>8.465277778</v>
      </c>
      <c r="E29" s="25">
        <v>0.41180555555555554</v>
      </c>
      <c r="F29" s="25">
        <v>0.4048611111111111</v>
      </c>
      <c r="G29" s="23">
        <v>0.3333333333333333</v>
      </c>
      <c r="H29" s="24"/>
      <c r="I29" s="24"/>
      <c r="J29" s="23">
        <v>0.4166666666666667</v>
      </c>
      <c r="K29" s="25">
        <v>0.40069444444444446</v>
      </c>
      <c r="L29" s="25">
        <v>0.39861111111111114</v>
      </c>
      <c r="M29" s="25">
        <v>0.36875</v>
      </c>
      <c r="N29" s="23">
        <v>0.3333333333333333</v>
      </c>
      <c r="O29" s="24"/>
      <c r="P29" s="24"/>
      <c r="Q29" s="23">
        <v>0.4166666666666667</v>
      </c>
      <c r="R29" s="23">
        <v>0.4041666666666667</v>
      </c>
      <c r="S29" s="23">
        <v>0.38333333333333336</v>
      </c>
      <c r="T29" s="23">
        <v>0.3763888888888889</v>
      </c>
      <c r="U29" s="23">
        <v>0.3333333333333333</v>
      </c>
      <c r="V29" s="26"/>
      <c r="W29" s="26"/>
      <c r="X29" s="23">
        <v>0.42291666666666666</v>
      </c>
      <c r="Y29" s="23">
        <v>0.3701388888888889</v>
      </c>
      <c r="Z29" s="23">
        <v>0.42569444444444443</v>
      </c>
      <c r="AA29" s="23">
        <v>0.4270833333333333</v>
      </c>
      <c r="AB29" s="23">
        <v>0.3333333333333333</v>
      </c>
      <c r="AC29" s="26"/>
      <c r="AD29" s="26"/>
      <c r="AE29" s="26" t="s">
        <v>269</v>
      </c>
      <c r="AF29" s="25">
        <v>0.3798611111111111</v>
      </c>
      <c r="AG29" s="23">
        <v>0.3923611111111111</v>
      </c>
      <c r="AH29" s="23">
        <v>0.39861111111111114</v>
      </c>
      <c r="AI29" s="23">
        <v>0.3333333333333333</v>
      </c>
    </row>
    <row r="30">
      <c r="A30" s="32"/>
      <c r="B30" s="38">
        <v>28.0</v>
      </c>
      <c r="C30" s="45" t="s">
        <v>186</v>
      </c>
      <c r="D30" s="22">
        <f t="shared" si="2"/>
        <v>7.402083333</v>
      </c>
      <c r="E30" s="23">
        <v>0.3333333333333333</v>
      </c>
      <c r="F30" s="23">
        <v>0.3333333333333333</v>
      </c>
      <c r="G30" s="23">
        <v>0.3333333333333333</v>
      </c>
      <c r="H30" s="24"/>
      <c r="I30" s="24"/>
      <c r="J30" s="25">
        <v>0.38958333333333334</v>
      </c>
      <c r="K30" s="23">
        <v>0.3333333333333333</v>
      </c>
      <c r="L30" s="23">
        <v>0.3333333333333333</v>
      </c>
      <c r="M30" s="25">
        <v>0.3423611111111111</v>
      </c>
      <c r="N30" s="23">
        <v>0.3333333333333333</v>
      </c>
      <c r="O30" s="24"/>
      <c r="P30" s="24"/>
      <c r="Q30" s="23">
        <v>0.3333333333333333</v>
      </c>
      <c r="R30" s="23">
        <v>0.3333333333333333</v>
      </c>
      <c r="S30" s="23">
        <v>0.16666666666666666</v>
      </c>
      <c r="T30" s="23">
        <v>0.3333333333333333</v>
      </c>
      <c r="U30" s="23">
        <v>0.3333333333333333</v>
      </c>
      <c r="V30" s="26"/>
      <c r="W30" s="26"/>
      <c r="X30" s="23">
        <v>0.3333333333333333</v>
      </c>
      <c r="Y30" s="23">
        <v>0.3333333333333333</v>
      </c>
      <c r="Z30" s="23">
        <v>0.3333333333333333</v>
      </c>
      <c r="AA30" s="23">
        <v>0.36875</v>
      </c>
      <c r="AB30" s="23">
        <v>0.3333333333333333</v>
      </c>
      <c r="AC30" s="26"/>
      <c r="AD30" s="26"/>
      <c r="AE30" s="23">
        <v>0.16666666666666666</v>
      </c>
      <c r="AF30" s="23">
        <v>0.3333333333333333</v>
      </c>
      <c r="AG30" s="23">
        <v>0.3013888888888889</v>
      </c>
      <c r="AH30" s="23">
        <v>0.3333333333333333</v>
      </c>
      <c r="AI30" s="23">
        <v>0.3333333333333333</v>
      </c>
    </row>
    <row r="31">
      <c r="A31" s="32"/>
      <c r="B31" s="41">
        <v>29.0</v>
      </c>
      <c r="C31" s="47" t="s">
        <v>141</v>
      </c>
      <c r="D31" s="22">
        <f t="shared" si="2"/>
        <v>8.246527778</v>
      </c>
      <c r="E31" s="25">
        <v>0.3798611111111111</v>
      </c>
      <c r="F31" s="25">
        <v>0.4215277777777778</v>
      </c>
      <c r="G31" s="23">
        <v>0.3333333333333333</v>
      </c>
      <c r="H31" s="24"/>
      <c r="I31" s="24"/>
      <c r="J31" s="25">
        <v>0.3416666666666667</v>
      </c>
      <c r="K31" s="25">
        <v>0.40347222222222223</v>
      </c>
      <c r="L31" s="23">
        <v>0.5479166666666667</v>
      </c>
      <c r="M31" s="25">
        <v>0.3277777777777778</v>
      </c>
      <c r="N31" s="23">
        <v>0.3333333333333333</v>
      </c>
      <c r="O31" s="24"/>
      <c r="P31" s="24"/>
      <c r="Q31" s="23">
        <v>0.3333333333333333</v>
      </c>
      <c r="R31" s="23">
        <v>0.37777777777777777</v>
      </c>
      <c r="S31" s="23">
        <v>0.3840277777777778</v>
      </c>
      <c r="T31" s="23">
        <v>0.3729166666666667</v>
      </c>
      <c r="U31" s="23">
        <v>0.32083333333333336</v>
      </c>
      <c r="V31" s="26"/>
      <c r="W31" s="26"/>
      <c r="X31" s="26" t="s">
        <v>269</v>
      </c>
      <c r="Y31" s="23">
        <v>0.4152777777777778</v>
      </c>
      <c r="Z31" s="23">
        <v>0.39375</v>
      </c>
      <c r="AA31" s="23">
        <v>0.37777777777777777</v>
      </c>
      <c r="AB31" s="23">
        <v>0.3333333333333333</v>
      </c>
      <c r="AC31" s="26"/>
      <c r="AD31" s="26"/>
      <c r="AE31" s="25">
        <v>0.36319444444444443</v>
      </c>
      <c r="AF31" s="25">
        <v>0.3798611111111111</v>
      </c>
      <c r="AG31" s="23">
        <v>0.3993055555555556</v>
      </c>
      <c r="AH31" s="23">
        <v>0.3729166666666667</v>
      </c>
      <c r="AI31" s="23">
        <v>0.3333333333333333</v>
      </c>
    </row>
    <row r="32">
      <c r="A32" s="15"/>
      <c r="B32" s="38">
        <v>30.0</v>
      </c>
      <c r="C32" s="47" t="s">
        <v>207</v>
      </c>
      <c r="D32" s="22">
        <f t="shared" si="2"/>
        <v>6.088888889</v>
      </c>
      <c r="E32" s="25">
        <v>0.3104166666666667</v>
      </c>
      <c r="F32" s="25">
        <v>0.34791666666666665</v>
      </c>
      <c r="G32" s="23">
        <v>0.3333333333333333</v>
      </c>
      <c r="H32" s="24"/>
      <c r="I32" s="24"/>
      <c r="J32" s="25">
        <v>0.46458333333333335</v>
      </c>
      <c r="K32" s="25">
        <v>0.3993055555555556</v>
      </c>
      <c r="L32" s="25">
        <v>0.375</v>
      </c>
      <c r="M32" s="26" t="s">
        <v>277</v>
      </c>
      <c r="N32" s="23">
        <v>0.3333333333333333</v>
      </c>
      <c r="O32" s="24"/>
      <c r="P32" s="24"/>
      <c r="Q32" s="26" t="s">
        <v>271</v>
      </c>
      <c r="R32" s="26" t="s">
        <v>271</v>
      </c>
      <c r="S32" s="26" t="s">
        <v>271</v>
      </c>
      <c r="T32" s="26" t="s">
        <v>271</v>
      </c>
      <c r="U32" s="26" t="s">
        <v>271</v>
      </c>
      <c r="V32" s="26"/>
      <c r="W32" s="26"/>
      <c r="X32" s="23">
        <v>0.3333333333333333</v>
      </c>
      <c r="Y32" s="23">
        <v>0.3333333333333333</v>
      </c>
      <c r="Z32" s="23">
        <v>0.3333333333333333</v>
      </c>
      <c r="AA32" s="23">
        <v>0.3333333333333333</v>
      </c>
      <c r="AB32" s="23">
        <v>0.3333333333333333</v>
      </c>
      <c r="AC32" s="26"/>
      <c r="AD32" s="26"/>
      <c r="AE32" s="25">
        <v>0.34791666666666665</v>
      </c>
      <c r="AF32" s="25">
        <v>0.34305555555555556</v>
      </c>
      <c r="AG32" s="23">
        <v>0.4111111111111111</v>
      </c>
      <c r="AH32" s="23">
        <v>0.42291666666666666</v>
      </c>
      <c r="AI32" s="23">
        <v>0.3333333333333333</v>
      </c>
    </row>
    <row r="33">
      <c r="A33" s="48" t="s">
        <v>278</v>
      </c>
      <c r="B33" s="33">
        <v>31.0</v>
      </c>
      <c r="C33" s="31" t="s">
        <v>60</v>
      </c>
      <c r="D33" s="22">
        <f t="shared" si="2"/>
        <v>5.754166667</v>
      </c>
      <c r="E33" s="25">
        <v>0.39652777777777776</v>
      </c>
      <c r="F33" s="26" t="s">
        <v>269</v>
      </c>
      <c r="G33" s="23">
        <v>0.3541666666666667</v>
      </c>
      <c r="H33" s="24"/>
      <c r="I33" s="24"/>
      <c r="J33" s="26" t="s">
        <v>272</v>
      </c>
      <c r="K33" s="26" t="s">
        <v>272</v>
      </c>
      <c r="L33" s="26" t="s">
        <v>272</v>
      </c>
      <c r="M33" s="26" t="s">
        <v>272</v>
      </c>
      <c r="N33" s="26" t="s">
        <v>272</v>
      </c>
      <c r="O33" s="24"/>
      <c r="P33" s="24"/>
      <c r="Q33" s="23">
        <v>0.3333333333333333</v>
      </c>
      <c r="R33" s="23">
        <v>0.36041666666666666</v>
      </c>
      <c r="S33" s="23">
        <v>0.39305555555555555</v>
      </c>
      <c r="T33" s="23">
        <v>0.3333333333333333</v>
      </c>
      <c r="U33" s="23">
        <v>0.2263888888888889</v>
      </c>
      <c r="V33" s="26"/>
      <c r="W33" s="26"/>
      <c r="X33" s="23">
        <v>0.35</v>
      </c>
      <c r="Y33" s="23">
        <v>0.2881944444444444</v>
      </c>
      <c r="Z33" s="23">
        <v>0.3729166666666667</v>
      </c>
      <c r="AA33" s="23">
        <v>0.3284722222222222</v>
      </c>
      <c r="AB33" s="23">
        <v>0.33819444444444446</v>
      </c>
      <c r="AC33" s="26"/>
      <c r="AD33" s="26"/>
      <c r="AE33" s="25">
        <v>0.41041666666666665</v>
      </c>
      <c r="AF33" s="25">
        <v>0.3590277777777778</v>
      </c>
      <c r="AG33" s="23">
        <v>0.32708333333333334</v>
      </c>
      <c r="AH33" s="23">
        <v>0.3229166666666667</v>
      </c>
      <c r="AI33" s="23">
        <v>0.25972222222222224</v>
      </c>
    </row>
    <row r="34">
      <c r="A34" s="32"/>
      <c r="B34" s="20">
        <v>32.0</v>
      </c>
      <c r="C34" s="31" t="s">
        <v>249</v>
      </c>
      <c r="D34" s="22">
        <f t="shared" si="2"/>
        <v>3.939583333</v>
      </c>
      <c r="E34" s="25"/>
      <c r="F34" s="26"/>
      <c r="G34" s="26"/>
      <c r="H34" s="24"/>
      <c r="I34" s="24"/>
      <c r="J34" s="26"/>
      <c r="K34" s="26"/>
      <c r="L34" s="26"/>
      <c r="M34" s="26"/>
      <c r="N34" s="26"/>
      <c r="O34" s="24"/>
      <c r="P34" s="24"/>
      <c r="Q34" s="23"/>
      <c r="R34" s="23"/>
      <c r="S34" s="23"/>
      <c r="T34" s="23"/>
      <c r="U34" s="23">
        <v>0.36319444444444443</v>
      </c>
      <c r="V34" s="26"/>
      <c r="W34" s="26"/>
      <c r="X34" s="23">
        <v>0.3597222222222222</v>
      </c>
      <c r="Y34" s="23">
        <v>0.35833333333333334</v>
      </c>
      <c r="Z34" s="23">
        <v>0.3541666666666667</v>
      </c>
      <c r="AA34" s="23">
        <v>0.3590277777777778</v>
      </c>
      <c r="AB34" s="23">
        <v>0.3611111111111111</v>
      </c>
      <c r="AC34" s="26"/>
      <c r="AD34" s="26"/>
      <c r="AE34" s="25">
        <v>0.34444444444444444</v>
      </c>
      <c r="AF34" s="25">
        <v>0.3597222222222222</v>
      </c>
      <c r="AG34" s="23">
        <v>0.3597222222222222</v>
      </c>
      <c r="AH34" s="23">
        <v>0.36041666666666666</v>
      </c>
      <c r="AI34" s="23">
        <v>0.3597222222222222</v>
      </c>
    </row>
    <row r="35">
      <c r="A35" s="32"/>
      <c r="B35" s="33">
        <v>33.0</v>
      </c>
      <c r="C35" s="43" t="s">
        <v>20</v>
      </c>
      <c r="D35" s="22">
        <f t="shared" si="2"/>
        <v>8.277083333</v>
      </c>
      <c r="E35" s="25">
        <v>0.40694444444444444</v>
      </c>
      <c r="F35" s="25">
        <v>0.4041666666666667</v>
      </c>
      <c r="G35" s="25">
        <v>0.37430555555555556</v>
      </c>
      <c r="H35" s="24"/>
      <c r="I35" s="24"/>
      <c r="J35" s="23">
        <v>0.37430555555555556</v>
      </c>
      <c r="K35" s="25">
        <v>0.3659722222222222</v>
      </c>
      <c r="L35" s="25">
        <v>0.36180555555555555</v>
      </c>
      <c r="M35" s="25">
        <v>0.3611111111111111</v>
      </c>
      <c r="N35" s="23">
        <v>0.3541666666666667</v>
      </c>
      <c r="O35" s="24"/>
      <c r="P35" s="24"/>
      <c r="Q35" s="23">
        <v>0.35833333333333334</v>
      </c>
      <c r="R35" s="23">
        <v>0.3541666666666667</v>
      </c>
      <c r="S35" s="23">
        <v>0.35625</v>
      </c>
      <c r="T35" s="23">
        <v>0.3770833333333333</v>
      </c>
      <c r="U35" s="23">
        <v>0.3541666666666667</v>
      </c>
      <c r="V35" s="26"/>
      <c r="W35" s="26"/>
      <c r="X35" s="23">
        <v>0.34791666666666665</v>
      </c>
      <c r="Y35" s="23">
        <v>0.38333333333333336</v>
      </c>
      <c r="Z35" s="23">
        <v>0.34652777777777777</v>
      </c>
      <c r="AA35" s="23">
        <v>0.3729166666666667</v>
      </c>
      <c r="AB35" s="23">
        <v>0.3541666666666667</v>
      </c>
      <c r="AC35" s="26"/>
      <c r="AD35" s="26"/>
      <c r="AE35" s="25">
        <v>0.38333333333333336</v>
      </c>
      <c r="AF35" s="25">
        <v>0.38125</v>
      </c>
      <c r="AG35" s="23">
        <v>0.3819444444444444</v>
      </c>
      <c r="AH35" s="23">
        <v>0.3763888888888889</v>
      </c>
      <c r="AI35" s="23">
        <v>0.14652777777777778</v>
      </c>
    </row>
    <row r="36">
      <c r="A36" s="32"/>
      <c r="B36" s="33">
        <v>34.0</v>
      </c>
      <c r="C36" s="31" t="s">
        <v>72</v>
      </c>
      <c r="D36" s="22">
        <f t="shared" si="2"/>
        <v>8.913194444</v>
      </c>
      <c r="E36" s="25">
        <v>0.40694444444444444</v>
      </c>
      <c r="F36" s="25">
        <v>0.40069444444444446</v>
      </c>
      <c r="G36" s="25">
        <v>0.3798611111111111</v>
      </c>
      <c r="H36" s="24"/>
      <c r="I36" s="24"/>
      <c r="J36" s="25">
        <v>0.4013888888888889</v>
      </c>
      <c r="K36" s="25">
        <v>0.36875</v>
      </c>
      <c r="L36" s="25">
        <v>0.3819444444444444</v>
      </c>
      <c r="M36" s="25">
        <v>0.4041666666666667</v>
      </c>
      <c r="N36" s="23">
        <v>0.3541666666666667</v>
      </c>
      <c r="O36" s="24"/>
      <c r="P36" s="24"/>
      <c r="Q36" s="23">
        <v>0.4131944444444444</v>
      </c>
      <c r="R36" s="23">
        <v>0.3784722222222222</v>
      </c>
      <c r="S36" s="23">
        <v>0.3784722222222222</v>
      </c>
      <c r="T36" s="23">
        <v>0.3784722222222222</v>
      </c>
      <c r="U36" s="23">
        <v>0.3541666666666667</v>
      </c>
      <c r="V36" s="26"/>
      <c r="W36" s="26"/>
      <c r="X36" s="23">
        <v>0.39375</v>
      </c>
      <c r="Y36" s="23">
        <v>0.39166666666666666</v>
      </c>
      <c r="Z36" s="23">
        <v>0.3784722222222222</v>
      </c>
      <c r="AA36" s="23">
        <v>0.41875</v>
      </c>
      <c r="AB36" s="23">
        <v>0.3770833333333333</v>
      </c>
      <c r="AC36" s="26"/>
      <c r="AD36" s="26"/>
      <c r="AE36" s="25">
        <v>0.4041666666666667</v>
      </c>
      <c r="AF36" s="25">
        <v>0.4215277777777778</v>
      </c>
      <c r="AG36" s="23">
        <v>0.3784722222222222</v>
      </c>
      <c r="AH36" s="23">
        <v>0.39444444444444443</v>
      </c>
      <c r="AI36" s="23">
        <v>0.3541666666666667</v>
      </c>
    </row>
    <row r="37">
      <c r="A37" s="32"/>
      <c r="B37" s="20">
        <v>35.0</v>
      </c>
      <c r="C37" s="49" t="s">
        <v>168</v>
      </c>
      <c r="D37" s="22">
        <f t="shared" si="2"/>
        <v>8.13125</v>
      </c>
      <c r="E37" s="25">
        <v>0.3645833333333333</v>
      </c>
      <c r="F37" s="25">
        <v>0.40069444444444446</v>
      </c>
      <c r="G37" s="25">
        <v>0.38472222222222224</v>
      </c>
      <c r="H37" s="24"/>
      <c r="I37" s="24"/>
      <c r="J37" s="26" t="s">
        <v>269</v>
      </c>
      <c r="K37" s="23">
        <v>0.3638888888888889</v>
      </c>
      <c r="L37" s="25">
        <v>0.3597222222222222</v>
      </c>
      <c r="M37" s="25">
        <v>0.3576388888888889</v>
      </c>
      <c r="N37" s="23">
        <v>0.3541666666666667</v>
      </c>
      <c r="O37" s="24"/>
      <c r="P37" s="24"/>
      <c r="Q37" s="23">
        <v>0.3194444444444444</v>
      </c>
      <c r="R37" s="23">
        <v>0.36527777777777776</v>
      </c>
      <c r="S37" s="23">
        <v>0.3611111111111111</v>
      </c>
      <c r="T37" s="23">
        <v>0.36875</v>
      </c>
      <c r="U37" s="23">
        <v>0.36736111111111114</v>
      </c>
      <c r="V37" s="26"/>
      <c r="W37" s="26"/>
      <c r="X37" s="23">
        <v>0.3645833333333333</v>
      </c>
      <c r="Y37" s="23">
        <v>0.3548611111111111</v>
      </c>
      <c r="Z37" s="23">
        <v>0.4361111111111111</v>
      </c>
      <c r="AA37" s="23">
        <v>0.38472222222222224</v>
      </c>
      <c r="AB37" s="23">
        <v>0.44722222222222224</v>
      </c>
      <c r="AC37" s="26"/>
      <c r="AD37" s="26"/>
      <c r="AE37" s="25">
        <v>0.39791666666666664</v>
      </c>
      <c r="AF37" s="25">
        <v>0.3638888888888889</v>
      </c>
      <c r="AG37" s="23">
        <v>0.3638888888888889</v>
      </c>
      <c r="AH37" s="23">
        <v>0.2965277777777778</v>
      </c>
      <c r="AI37" s="23">
        <v>0.3541666666666667</v>
      </c>
    </row>
    <row r="38">
      <c r="A38" s="32"/>
      <c r="B38" s="33">
        <v>36.0</v>
      </c>
      <c r="C38" s="43" t="s">
        <v>204</v>
      </c>
      <c r="D38" s="22">
        <f t="shared" si="2"/>
        <v>7.885416667</v>
      </c>
      <c r="E38" s="25">
        <v>0.3590277777777778</v>
      </c>
      <c r="F38" s="25">
        <v>0.35208333333333336</v>
      </c>
      <c r="G38" s="25">
        <v>0.3659722222222222</v>
      </c>
      <c r="H38" s="24"/>
      <c r="I38" s="24"/>
      <c r="J38" s="23">
        <v>0.36944444444444446</v>
      </c>
      <c r="K38" s="23">
        <v>0.3659722222222222</v>
      </c>
      <c r="L38" s="25">
        <v>0.36180555555555555</v>
      </c>
      <c r="M38" s="25">
        <v>0.35833333333333334</v>
      </c>
      <c r="N38" s="23">
        <v>0.3541666666666667</v>
      </c>
      <c r="O38" s="24"/>
      <c r="P38" s="24"/>
      <c r="Q38" s="23">
        <v>0.3659722222222222</v>
      </c>
      <c r="R38" s="23">
        <v>0.3173611111111111</v>
      </c>
      <c r="S38" s="23">
        <v>0.35833333333333334</v>
      </c>
      <c r="T38" s="23">
        <v>0.3701388888888889</v>
      </c>
      <c r="U38" s="23">
        <v>0.36666666666666664</v>
      </c>
      <c r="V38" s="26"/>
      <c r="W38" s="26"/>
      <c r="X38" s="23">
        <v>0.3729166666666667</v>
      </c>
      <c r="Y38" s="23">
        <v>0.3527777777777778</v>
      </c>
      <c r="Z38" s="23">
        <v>0.3020833333333333</v>
      </c>
      <c r="AA38" s="26" t="s">
        <v>269</v>
      </c>
      <c r="AB38" s="23">
        <v>0.37569444444444444</v>
      </c>
      <c r="AC38" s="26"/>
      <c r="AD38" s="26"/>
      <c r="AE38" s="25">
        <v>0.3736111111111111</v>
      </c>
      <c r="AF38" s="25">
        <v>0.36041666666666666</v>
      </c>
      <c r="AG38" s="23">
        <v>0.3625</v>
      </c>
      <c r="AH38" s="23">
        <v>0.3659722222222222</v>
      </c>
      <c r="AI38" s="23">
        <v>0.3541666666666667</v>
      </c>
    </row>
    <row r="39">
      <c r="A39" s="32"/>
      <c r="B39" s="33">
        <v>37.0</v>
      </c>
      <c r="C39" s="43" t="s">
        <v>48</v>
      </c>
      <c r="D39" s="22">
        <f t="shared" si="2"/>
        <v>8.956944444</v>
      </c>
      <c r="E39" s="25">
        <v>0.4340277777777778</v>
      </c>
      <c r="F39" s="23">
        <v>0.47847222222222224</v>
      </c>
      <c r="G39" s="25">
        <v>0.4222222222222222</v>
      </c>
      <c r="H39" s="24"/>
      <c r="I39" s="24"/>
      <c r="J39" s="25">
        <v>0.34930555555555554</v>
      </c>
      <c r="K39" s="25">
        <v>0.40625</v>
      </c>
      <c r="L39" s="25">
        <v>0.4013888888888889</v>
      </c>
      <c r="M39" s="25">
        <v>0.39652777777777776</v>
      </c>
      <c r="N39" s="23">
        <v>0.3541666666666667</v>
      </c>
      <c r="O39" s="24"/>
      <c r="P39" s="24"/>
      <c r="Q39" s="23">
        <v>0.3993055555555556</v>
      </c>
      <c r="R39" s="23">
        <v>0.38680555555555557</v>
      </c>
      <c r="S39" s="23">
        <v>0.4736111111111111</v>
      </c>
      <c r="T39" s="23">
        <v>0.16666666666666666</v>
      </c>
      <c r="U39" s="23">
        <v>0.3541666666666667</v>
      </c>
      <c r="V39" s="26"/>
      <c r="W39" s="26"/>
      <c r="X39" s="23">
        <v>0.4479166666666667</v>
      </c>
      <c r="Y39" s="23">
        <v>0.4736111111111111</v>
      </c>
      <c r="Z39" s="23">
        <v>0.34375</v>
      </c>
      <c r="AA39" s="23">
        <v>0.41041666666666665</v>
      </c>
      <c r="AB39" s="23">
        <v>0.3541666666666667</v>
      </c>
      <c r="AC39" s="26"/>
      <c r="AD39" s="26"/>
      <c r="AE39" s="23">
        <v>0.16666666666666666</v>
      </c>
      <c r="AF39" s="25">
        <v>0.3888888888888889</v>
      </c>
      <c r="AG39" s="23">
        <v>0.43680555555555556</v>
      </c>
      <c r="AH39" s="23">
        <v>0.4847222222222222</v>
      </c>
      <c r="AI39" s="23">
        <v>0.4270833333333333</v>
      </c>
    </row>
    <row r="40">
      <c r="A40" s="32"/>
      <c r="B40" s="20">
        <v>38.0</v>
      </c>
      <c r="C40" s="34" t="s">
        <v>279</v>
      </c>
      <c r="D40" s="22">
        <f t="shared" si="2"/>
        <v>8.354166667</v>
      </c>
      <c r="E40" s="23">
        <v>0.3888888888888889</v>
      </c>
      <c r="F40" s="25">
        <v>0.3951388888888889</v>
      </c>
      <c r="G40" s="23">
        <v>0.3541666666666667</v>
      </c>
      <c r="H40" s="24"/>
      <c r="I40" s="24"/>
      <c r="J40" s="23">
        <v>0.375</v>
      </c>
      <c r="K40" s="25">
        <v>0.3611111111111111</v>
      </c>
      <c r="L40" s="25">
        <v>0.34930555555555554</v>
      </c>
      <c r="M40" s="25">
        <v>0.39375</v>
      </c>
      <c r="N40" s="23">
        <v>0.3541666666666667</v>
      </c>
      <c r="O40" s="24"/>
      <c r="P40" s="24"/>
      <c r="Q40" s="23">
        <v>0.3680555555555556</v>
      </c>
      <c r="R40" s="23">
        <v>0.36527777777777776</v>
      </c>
      <c r="S40" s="23">
        <v>0.3541666666666667</v>
      </c>
      <c r="T40" s="23">
        <v>0.3840277777777778</v>
      </c>
      <c r="U40" s="23">
        <v>0.3541666666666667</v>
      </c>
      <c r="V40" s="26"/>
      <c r="W40" s="26"/>
      <c r="X40" s="23">
        <v>0.3638888888888889</v>
      </c>
      <c r="Y40" s="23">
        <v>0.3541666666666667</v>
      </c>
      <c r="Z40" s="23">
        <v>0.3659722222222222</v>
      </c>
      <c r="AA40" s="23">
        <v>0.3840277777777778</v>
      </c>
      <c r="AB40" s="23">
        <v>0.3638888888888889</v>
      </c>
      <c r="AC40" s="26"/>
      <c r="AD40" s="26"/>
      <c r="AE40" s="25">
        <v>0.37222222222222223</v>
      </c>
      <c r="AF40" s="25">
        <v>0.38055555555555554</v>
      </c>
      <c r="AG40" s="23">
        <v>0.25625</v>
      </c>
      <c r="AH40" s="23">
        <v>0.36180555555555555</v>
      </c>
      <c r="AI40" s="23">
        <v>0.3541666666666667</v>
      </c>
    </row>
    <row r="41">
      <c r="A41" s="32"/>
      <c r="B41" s="38">
        <v>39.0</v>
      </c>
      <c r="C41" s="47" t="s">
        <v>14</v>
      </c>
      <c r="D41" s="22">
        <f t="shared" si="2"/>
        <v>8.468055556</v>
      </c>
      <c r="E41" s="25">
        <v>0.4173611111111111</v>
      </c>
      <c r="F41" s="25">
        <v>0.40347222222222223</v>
      </c>
      <c r="G41" s="23">
        <v>0.16666666666666666</v>
      </c>
      <c r="H41" s="24"/>
      <c r="I41" s="24"/>
      <c r="J41" s="25">
        <v>0.3888888888888889</v>
      </c>
      <c r="K41" s="25">
        <v>0.3347222222222222</v>
      </c>
      <c r="L41" s="25">
        <v>0.4027777777777778</v>
      </c>
      <c r="M41" s="25">
        <v>0.3541666666666667</v>
      </c>
      <c r="N41" s="23">
        <v>0.3333333333333333</v>
      </c>
      <c r="O41" s="24"/>
      <c r="P41" s="24"/>
      <c r="Q41" s="23">
        <v>0.3923611111111111</v>
      </c>
      <c r="R41" s="23">
        <v>0.44305555555555554</v>
      </c>
      <c r="S41" s="23">
        <v>0.44722222222222224</v>
      </c>
      <c r="T41" s="23">
        <v>0.42986111111111114</v>
      </c>
      <c r="U41" s="23">
        <v>0.3333333333333333</v>
      </c>
      <c r="V41" s="26"/>
      <c r="W41" s="26"/>
      <c r="X41" s="23">
        <v>0.3770833333333333</v>
      </c>
      <c r="Y41" s="23">
        <v>0.38333333333333336</v>
      </c>
      <c r="Z41" s="23">
        <v>0.45208333333333334</v>
      </c>
      <c r="AA41" s="23">
        <v>0.41458333333333336</v>
      </c>
      <c r="AB41" s="23">
        <v>0.3333333333333333</v>
      </c>
      <c r="AC41" s="26"/>
      <c r="AD41" s="26"/>
      <c r="AE41" s="26" t="s">
        <v>269</v>
      </c>
      <c r="AF41" s="25">
        <v>0.3909722222222222</v>
      </c>
      <c r="AG41" s="23">
        <v>0.44722222222222224</v>
      </c>
      <c r="AH41" s="23">
        <v>0.46805555555555556</v>
      </c>
      <c r="AI41" s="23">
        <v>0.3541666666666667</v>
      </c>
    </row>
    <row r="42">
      <c r="A42" s="32"/>
      <c r="B42" s="33">
        <v>40.0</v>
      </c>
      <c r="C42" s="50" t="s">
        <v>81</v>
      </c>
      <c r="D42" s="22">
        <f t="shared" si="2"/>
        <v>8.686111111</v>
      </c>
      <c r="E42" s="23">
        <v>0.5333333333333333</v>
      </c>
      <c r="F42" s="26" t="s">
        <v>280</v>
      </c>
      <c r="G42" s="25">
        <v>0.3263888888888889</v>
      </c>
      <c r="H42" s="24"/>
      <c r="I42" s="24"/>
      <c r="J42" s="25">
        <v>0.4236111111111111</v>
      </c>
      <c r="K42" s="25">
        <v>0.45555555555555555</v>
      </c>
      <c r="L42" s="23">
        <v>0.5451388888888888</v>
      </c>
      <c r="M42" s="23">
        <v>0.16666666666666666</v>
      </c>
      <c r="N42" s="23">
        <v>0.3541666666666667</v>
      </c>
      <c r="O42" s="24"/>
      <c r="P42" s="24"/>
      <c r="Q42" s="26"/>
      <c r="R42" s="23">
        <v>0.4236111111111111</v>
      </c>
      <c r="S42" s="23">
        <v>0.46458333333333335</v>
      </c>
      <c r="T42" s="23">
        <v>0.49027777777777776</v>
      </c>
      <c r="U42" s="23">
        <v>0.44027777777777777</v>
      </c>
      <c r="V42" s="26"/>
      <c r="W42" s="26"/>
      <c r="X42" s="23">
        <v>0.3368055555555556</v>
      </c>
      <c r="Y42" s="26" t="s">
        <v>271</v>
      </c>
      <c r="Z42" s="23">
        <v>0.375</v>
      </c>
      <c r="AA42" s="23">
        <v>0.5173611111111112</v>
      </c>
      <c r="AB42" s="23">
        <v>0.3541666666666667</v>
      </c>
      <c r="AC42" s="26"/>
      <c r="AD42" s="26"/>
      <c r="AE42" s="25">
        <v>0.5291666666666667</v>
      </c>
      <c r="AF42" s="25">
        <v>0.4722222222222222</v>
      </c>
      <c r="AG42" s="23">
        <v>0.375</v>
      </c>
      <c r="AH42" s="23">
        <v>0.5743055555555555</v>
      </c>
      <c r="AI42" s="23">
        <v>0.5284722222222222</v>
      </c>
    </row>
    <row r="43">
      <c r="A43" s="32"/>
      <c r="B43" s="20">
        <v>41.0</v>
      </c>
      <c r="C43" s="43" t="s">
        <v>153</v>
      </c>
      <c r="D43" s="22">
        <f t="shared" si="2"/>
        <v>8.061805556</v>
      </c>
      <c r="E43" s="25">
        <v>0.4173611111111111</v>
      </c>
      <c r="F43" s="23">
        <v>0.16666666666666666</v>
      </c>
      <c r="G43" s="23">
        <v>0.3541666666666667</v>
      </c>
      <c r="H43" s="24"/>
      <c r="I43" s="24"/>
      <c r="J43" s="25">
        <v>0.44027777777777777</v>
      </c>
      <c r="K43" s="23">
        <v>0.3541666666666667</v>
      </c>
      <c r="L43" s="23">
        <v>0.16666666666666666</v>
      </c>
      <c r="M43" s="25">
        <v>0.4305555555555556</v>
      </c>
      <c r="N43" s="23">
        <v>0.3541666666666667</v>
      </c>
      <c r="O43" s="24"/>
      <c r="P43" s="24"/>
      <c r="Q43" s="23">
        <v>0.16666666666666666</v>
      </c>
      <c r="R43" s="23">
        <v>0.40555555555555556</v>
      </c>
      <c r="S43" s="23">
        <v>0.4597222222222222</v>
      </c>
      <c r="T43" s="23">
        <v>0.3958333333333333</v>
      </c>
      <c r="U43" s="23">
        <v>0.3541666666666667</v>
      </c>
      <c r="V43" s="26"/>
      <c r="W43" s="26"/>
      <c r="X43" s="23">
        <v>0.41875</v>
      </c>
      <c r="Y43" s="23">
        <v>0.42430555555555555</v>
      </c>
      <c r="Z43" s="23">
        <v>0.4027777777777778</v>
      </c>
      <c r="AA43" s="23">
        <v>0.5041666666666667</v>
      </c>
      <c r="AB43" s="23">
        <v>0.3541666666666667</v>
      </c>
      <c r="AC43" s="26"/>
      <c r="AD43" s="26"/>
      <c r="AE43" s="26" t="s">
        <v>269</v>
      </c>
      <c r="AF43" s="25">
        <v>0.4270833333333333</v>
      </c>
      <c r="AG43" s="23">
        <v>0.425</v>
      </c>
      <c r="AH43" s="23">
        <v>0.28541666666666665</v>
      </c>
      <c r="AI43" s="23">
        <v>0.3541666666666667</v>
      </c>
    </row>
    <row r="44">
      <c r="A44" s="32"/>
      <c r="B44" s="33">
        <v>42.0</v>
      </c>
      <c r="C44" s="34" t="s">
        <v>198</v>
      </c>
      <c r="D44" s="22">
        <f t="shared" si="2"/>
        <v>7.86875</v>
      </c>
      <c r="E44" s="25">
        <v>0.3784722222222222</v>
      </c>
      <c r="F44" s="25">
        <v>0.39166666666666666</v>
      </c>
      <c r="G44" s="23">
        <v>0.3541666666666667</v>
      </c>
      <c r="H44" s="24"/>
      <c r="I44" s="24"/>
      <c r="J44" s="23">
        <v>0.3972222222222222</v>
      </c>
      <c r="K44" s="23">
        <v>0.3798611111111111</v>
      </c>
      <c r="L44" s="23">
        <v>0.36666666666666664</v>
      </c>
      <c r="M44" s="25">
        <v>0.4041666666666667</v>
      </c>
      <c r="N44" s="23">
        <v>0.3541666666666667</v>
      </c>
      <c r="O44" s="24"/>
      <c r="P44" s="24"/>
      <c r="Q44" s="23">
        <v>0.37777777777777777</v>
      </c>
      <c r="R44" s="23">
        <v>0.3888888888888889</v>
      </c>
      <c r="S44" s="23">
        <v>0.3854166666666667</v>
      </c>
      <c r="T44" s="23">
        <v>0.38333333333333336</v>
      </c>
      <c r="U44" s="23">
        <v>0.3541666666666667</v>
      </c>
      <c r="V44" s="26"/>
      <c r="W44" s="26"/>
      <c r="X44" s="23">
        <v>0.3611111111111111</v>
      </c>
      <c r="Y44" s="23">
        <v>0.3541666666666667</v>
      </c>
      <c r="Z44" s="23">
        <v>0.3923611111111111</v>
      </c>
      <c r="AA44" s="23">
        <v>0.38819444444444445</v>
      </c>
      <c r="AB44" s="26" t="s">
        <v>269</v>
      </c>
      <c r="AC44" s="26"/>
      <c r="AD44" s="26"/>
      <c r="AE44" s="23">
        <v>0.3541666666666667</v>
      </c>
      <c r="AF44" s="23">
        <v>0.3541666666666667</v>
      </c>
      <c r="AG44" s="26" t="s">
        <v>271</v>
      </c>
      <c r="AH44" s="23">
        <v>0.39444444444444443</v>
      </c>
      <c r="AI44" s="23">
        <v>0.3541666666666667</v>
      </c>
    </row>
    <row r="45">
      <c r="A45" s="32"/>
      <c r="B45" s="38">
        <v>43.0</v>
      </c>
      <c r="C45" s="47" t="s">
        <v>105</v>
      </c>
      <c r="D45" s="22">
        <f t="shared" si="2"/>
        <v>7.642361111</v>
      </c>
      <c r="E45" s="25">
        <v>0.36041666666666666</v>
      </c>
      <c r="F45" s="25">
        <v>0.36736111111111114</v>
      </c>
      <c r="G45" s="25">
        <v>0.3458333333333333</v>
      </c>
      <c r="H45" s="24"/>
      <c r="I45" s="24"/>
      <c r="J45" s="23">
        <v>0.3590277777777778</v>
      </c>
      <c r="K45" s="25">
        <v>0.3506944444444444</v>
      </c>
      <c r="L45" s="25">
        <v>0.35138888888888886</v>
      </c>
      <c r="M45" s="25">
        <v>0.3472222222222222</v>
      </c>
      <c r="N45" s="25">
        <v>0.2972222222222222</v>
      </c>
      <c r="O45" s="24"/>
      <c r="P45" s="24"/>
      <c r="Q45" s="23">
        <v>0.3423611111111111</v>
      </c>
      <c r="R45" s="23">
        <v>0.16666666666666666</v>
      </c>
      <c r="S45" s="23">
        <v>0.3729166666666667</v>
      </c>
      <c r="T45" s="23">
        <v>0.34305555555555556</v>
      </c>
      <c r="U45" s="23">
        <v>0.16666666666666666</v>
      </c>
      <c r="V45" s="26"/>
      <c r="W45" s="26"/>
      <c r="X45" s="23">
        <v>0.38958333333333334</v>
      </c>
      <c r="Y45" s="23">
        <v>0.34930555555555554</v>
      </c>
      <c r="Z45" s="23">
        <v>0.3423611111111111</v>
      </c>
      <c r="AA45" s="23">
        <v>0.3388888888888889</v>
      </c>
      <c r="AB45" s="23">
        <v>0.3402777777777778</v>
      </c>
      <c r="AC45" s="26"/>
      <c r="AD45" s="26"/>
      <c r="AE45" s="25">
        <v>0.34652777777777777</v>
      </c>
      <c r="AF45" s="25">
        <v>0.3541666666666667</v>
      </c>
      <c r="AG45" s="23">
        <v>0.33958333333333335</v>
      </c>
      <c r="AH45" s="23">
        <v>0.3375</v>
      </c>
      <c r="AI45" s="23">
        <v>0.3333333333333333</v>
      </c>
    </row>
    <row r="46">
      <c r="A46" s="15"/>
      <c r="B46" s="41">
        <v>44.0</v>
      </c>
      <c r="C46" s="51" t="s">
        <v>29</v>
      </c>
      <c r="D46" s="22">
        <f t="shared" si="2"/>
        <v>7.466666667</v>
      </c>
      <c r="E46" s="23">
        <v>0.3333333333333333</v>
      </c>
      <c r="F46" s="25">
        <v>0.3423611111111111</v>
      </c>
      <c r="G46" s="23">
        <v>0.3333333333333333</v>
      </c>
      <c r="H46" s="24"/>
      <c r="I46" s="24"/>
      <c r="J46" s="25">
        <v>0.32013888888888886</v>
      </c>
      <c r="K46" s="23">
        <v>0.3333333333333333</v>
      </c>
      <c r="L46" s="23">
        <v>0.3333333333333333</v>
      </c>
      <c r="M46" s="25">
        <v>0.33402777777777776</v>
      </c>
      <c r="N46" s="23">
        <v>0.3541666666666667</v>
      </c>
      <c r="O46" s="24"/>
      <c r="P46" s="24"/>
      <c r="Q46" s="23">
        <v>0.3333333333333333</v>
      </c>
      <c r="R46" s="23">
        <v>0.2923611111111111</v>
      </c>
      <c r="S46" s="23">
        <v>0.3333333333333333</v>
      </c>
      <c r="T46" s="23">
        <v>0.3333333333333333</v>
      </c>
      <c r="U46" s="23">
        <v>0.3236111111111111</v>
      </c>
      <c r="V46" s="26"/>
      <c r="W46" s="26"/>
      <c r="X46" s="23">
        <v>0.3333333333333333</v>
      </c>
      <c r="Y46" s="23">
        <v>0.3333333333333333</v>
      </c>
      <c r="Z46" s="23">
        <v>0.34375</v>
      </c>
      <c r="AA46" s="23">
        <v>0.33402777777777776</v>
      </c>
      <c r="AB46" s="23">
        <v>0.3333333333333333</v>
      </c>
      <c r="AC46" s="26"/>
      <c r="AD46" s="26"/>
      <c r="AE46" s="23">
        <v>0.3333333333333333</v>
      </c>
      <c r="AF46" s="23">
        <v>0.16666666666666666</v>
      </c>
      <c r="AG46" s="23">
        <v>0.3333333333333333</v>
      </c>
      <c r="AH46" s="23">
        <v>0.32222222222222224</v>
      </c>
      <c r="AI46" s="23">
        <v>0.3333333333333333</v>
      </c>
    </row>
    <row r="47">
      <c r="A47" s="52">
        <v>45547.0</v>
      </c>
      <c r="B47" s="33">
        <v>45.0</v>
      </c>
      <c r="C47" s="31" t="s">
        <v>26</v>
      </c>
      <c r="D47" s="22">
        <f t="shared" si="2"/>
        <v>10.97291667</v>
      </c>
      <c r="E47" s="25">
        <v>0.40555555555555556</v>
      </c>
      <c r="F47" s="25">
        <v>0.43194444444444446</v>
      </c>
      <c r="G47" s="23">
        <v>0.3541666666666667</v>
      </c>
      <c r="H47" s="24"/>
      <c r="I47" s="24"/>
      <c r="J47" s="23">
        <v>0.42083333333333334</v>
      </c>
      <c r="K47" s="23">
        <v>0.55625</v>
      </c>
      <c r="L47" s="23">
        <v>0.5875</v>
      </c>
      <c r="M47" s="23">
        <v>0.5020833333333333</v>
      </c>
      <c r="N47" s="23">
        <v>0.3333333333333333</v>
      </c>
      <c r="O47" s="24"/>
      <c r="P47" s="24"/>
      <c r="Q47" s="23">
        <v>0.5763888888888888</v>
      </c>
      <c r="R47" s="23">
        <v>0.5548611111111111</v>
      </c>
      <c r="S47" s="23">
        <v>0.6694444444444444</v>
      </c>
      <c r="T47" s="23">
        <v>0.5527777777777778</v>
      </c>
      <c r="U47" s="23">
        <v>0.3541666666666667</v>
      </c>
      <c r="V47" s="26"/>
      <c r="W47" s="26"/>
      <c r="X47" s="23">
        <v>0.47291666666666665</v>
      </c>
      <c r="Y47" s="23">
        <v>0.42986111111111114</v>
      </c>
      <c r="Z47" s="23">
        <v>0.5</v>
      </c>
      <c r="AA47" s="23">
        <v>0.5215277777777778</v>
      </c>
      <c r="AB47" s="23">
        <v>0.3541666666666667</v>
      </c>
      <c r="AC47" s="26"/>
      <c r="AD47" s="26"/>
      <c r="AE47" s="23">
        <v>0.46111111111111114</v>
      </c>
      <c r="AF47" s="23">
        <v>0.6201388888888889</v>
      </c>
      <c r="AG47" s="23">
        <v>0.5826388888888889</v>
      </c>
      <c r="AH47" s="23">
        <v>0.3770833333333333</v>
      </c>
      <c r="AI47" s="23">
        <v>0.3541666666666667</v>
      </c>
    </row>
    <row r="48">
      <c r="A48" s="32"/>
      <c r="B48" s="38">
        <v>46.0</v>
      </c>
      <c r="C48" s="47" t="s">
        <v>23</v>
      </c>
      <c r="D48" s="22">
        <f t="shared" si="2"/>
        <v>6.031944444</v>
      </c>
      <c r="E48" s="25">
        <v>0.37430555555555556</v>
      </c>
      <c r="F48" s="25">
        <v>0.3451388888888889</v>
      </c>
      <c r="G48" s="23">
        <v>0.3333333333333333</v>
      </c>
      <c r="H48" s="24"/>
      <c r="I48" s="24"/>
      <c r="J48" s="25">
        <v>0.3875</v>
      </c>
      <c r="K48" s="25">
        <v>0.3576388888888889</v>
      </c>
      <c r="L48" s="25">
        <v>0.3486111111111111</v>
      </c>
      <c r="M48" s="23">
        <v>0.16666666666666666</v>
      </c>
      <c r="N48" s="23">
        <v>0.3333333333333333</v>
      </c>
      <c r="O48" s="24"/>
      <c r="P48" s="24"/>
      <c r="Q48" s="26" t="s">
        <v>269</v>
      </c>
      <c r="R48" s="23">
        <v>0.2534722222222222</v>
      </c>
      <c r="S48" s="23">
        <v>0.16666666666666666</v>
      </c>
      <c r="T48" s="23">
        <v>0.3034722222222222</v>
      </c>
      <c r="U48" s="23">
        <v>0.3333333333333333</v>
      </c>
      <c r="V48" s="26"/>
      <c r="W48" s="26"/>
      <c r="X48" s="23">
        <v>0.16666666666666666</v>
      </c>
      <c r="Y48" s="26" t="s">
        <v>269</v>
      </c>
      <c r="Z48" s="23">
        <v>0.2965277777777778</v>
      </c>
      <c r="AA48" s="23">
        <v>0.29583333333333334</v>
      </c>
      <c r="AB48" s="23">
        <v>0.3333333333333333</v>
      </c>
      <c r="AC48" s="26"/>
      <c r="AD48" s="26"/>
      <c r="AE48" s="23">
        <v>0.4326388888888889</v>
      </c>
      <c r="AF48" s="26" t="s">
        <v>269</v>
      </c>
      <c r="AG48" s="23">
        <v>0.16666666666666666</v>
      </c>
      <c r="AH48" s="23">
        <v>0.3034722222222222</v>
      </c>
      <c r="AI48" s="23">
        <v>0.3333333333333333</v>
      </c>
    </row>
    <row r="49">
      <c r="A49" s="32"/>
      <c r="B49" s="41">
        <v>47.0</v>
      </c>
      <c r="C49" s="51" t="s">
        <v>17</v>
      </c>
      <c r="D49" s="22">
        <f t="shared" si="2"/>
        <v>8.770833333</v>
      </c>
      <c r="E49" s="25">
        <v>0.3659722222222222</v>
      </c>
      <c r="F49" s="25">
        <v>0.3798611111111111</v>
      </c>
      <c r="G49" s="23">
        <v>0.16666666666666666</v>
      </c>
      <c r="H49" s="24"/>
      <c r="I49" s="24"/>
      <c r="J49" s="25">
        <v>0.38819444444444445</v>
      </c>
      <c r="K49" s="25">
        <v>0.4027777777777778</v>
      </c>
      <c r="L49" s="25">
        <v>0.38472222222222224</v>
      </c>
      <c r="M49" s="25">
        <v>0.3680555555555556</v>
      </c>
      <c r="N49" s="23">
        <v>0.3333333333333333</v>
      </c>
      <c r="O49" s="24"/>
      <c r="P49" s="24"/>
      <c r="Q49" s="23">
        <v>0.425</v>
      </c>
      <c r="R49" s="23">
        <v>0.4076388888888889</v>
      </c>
      <c r="S49" s="23">
        <v>0.40069444444444446</v>
      </c>
      <c r="T49" s="23">
        <v>0.4131944444444444</v>
      </c>
      <c r="U49" s="23">
        <v>0.47291666666666665</v>
      </c>
      <c r="V49" s="26"/>
      <c r="W49" s="26"/>
      <c r="X49" s="23">
        <v>0.3923611111111111</v>
      </c>
      <c r="Y49" s="23">
        <v>0.3993055555555556</v>
      </c>
      <c r="Z49" s="23">
        <v>0.425</v>
      </c>
      <c r="AA49" s="23">
        <v>0.4097222222222222</v>
      </c>
      <c r="AB49" s="23">
        <v>0.46805555555555556</v>
      </c>
      <c r="AC49" s="26"/>
      <c r="AD49" s="26"/>
      <c r="AE49" s="23">
        <v>0.16666666666666666</v>
      </c>
      <c r="AF49" s="25">
        <v>0.4354166666666667</v>
      </c>
      <c r="AG49" s="23">
        <v>0.3993055555555556</v>
      </c>
      <c r="AH49" s="23">
        <v>0.38472222222222224</v>
      </c>
      <c r="AI49" s="23">
        <v>0.38125</v>
      </c>
    </row>
    <row r="50">
      <c r="A50" s="32"/>
      <c r="B50" s="38">
        <v>48.0</v>
      </c>
      <c r="C50" s="46" t="s">
        <v>150</v>
      </c>
      <c r="D50" s="22">
        <f t="shared" si="2"/>
        <v>8.579861111</v>
      </c>
      <c r="E50" s="25">
        <v>0.3951388888888889</v>
      </c>
      <c r="F50" s="25">
        <v>0.38472222222222224</v>
      </c>
      <c r="G50" s="25">
        <v>0.37083333333333335</v>
      </c>
      <c r="H50" s="24"/>
      <c r="I50" s="24"/>
      <c r="J50" s="25">
        <v>0.41944444444444445</v>
      </c>
      <c r="K50" s="25">
        <v>0.3659722222222222</v>
      </c>
      <c r="L50" s="25">
        <v>0.3798611111111111</v>
      </c>
      <c r="M50" s="23">
        <v>0.46111111111111114</v>
      </c>
      <c r="N50" s="23">
        <v>0.16666666666666666</v>
      </c>
      <c r="O50" s="24"/>
      <c r="P50" s="24"/>
      <c r="Q50" s="23">
        <v>0.4840277777777778</v>
      </c>
      <c r="R50" s="23">
        <v>0.16666666666666666</v>
      </c>
      <c r="S50" s="23">
        <v>0.36527777777777776</v>
      </c>
      <c r="T50" s="23">
        <v>0.3770833333333333</v>
      </c>
      <c r="U50" s="23">
        <v>0.3333333333333333</v>
      </c>
      <c r="V50" s="26"/>
      <c r="W50" s="26"/>
      <c r="X50" s="23">
        <v>0.3194444444444444</v>
      </c>
      <c r="Y50" s="23">
        <v>0.3923611111111111</v>
      </c>
      <c r="Z50" s="23">
        <v>0.44305555555555554</v>
      </c>
      <c r="AA50" s="23">
        <v>0.4097222222222222</v>
      </c>
      <c r="AB50" s="23">
        <v>0.38472222222222224</v>
      </c>
      <c r="AC50" s="26"/>
      <c r="AD50" s="26"/>
      <c r="AE50" s="25">
        <v>0.41944444444444445</v>
      </c>
      <c r="AF50" s="25">
        <v>0.4597222222222222</v>
      </c>
      <c r="AG50" s="23">
        <v>0.36666666666666664</v>
      </c>
      <c r="AH50" s="23">
        <v>0.38125</v>
      </c>
      <c r="AI50" s="23">
        <v>0.3333333333333333</v>
      </c>
    </row>
    <row r="51">
      <c r="A51" s="53" t="s">
        <v>281</v>
      </c>
      <c r="B51" s="33">
        <v>49.0</v>
      </c>
      <c r="C51" s="31" t="s">
        <v>32</v>
      </c>
      <c r="D51" s="22">
        <f t="shared" si="2"/>
        <v>7.097222222</v>
      </c>
      <c r="E51" s="25">
        <v>0.16041666666666668</v>
      </c>
      <c r="F51" s="25">
        <v>0.5472222222222223</v>
      </c>
      <c r="G51" s="23">
        <v>0.3541666666666667</v>
      </c>
      <c r="H51" s="24"/>
      <c r="I51" s="24"/>
      <c r="J51" s="23">
        <v>0.39305555555555555</v>
      </c>
      <c r="K51" s="23">
        <v>0.16666666666666666</v>
      </c>
      <c r="L51" s="23">
        <v>0.2659722222222222</v>
      </c>
      <c r="M51" s="23">
        <v>0.5451388888888888</v>
      </c>
      <c r="N51" s="23">
        <v>0.3541666666666667</v>
      </c>
      <c r="O51" s="24"/>
      <c r="P51" s="24"/>
      <c r="Q51" s="26" t="s">
        <v>269</v>
      </c>
      <c r="R51" s="26" t="s">
        <v>271</v>
      </c>
      <c r="S51" s="23">
        <v>0.29444444444444445</v>
      </c>
      <c r="T51" s="23">
        <v>0.23958333333333334</v>
      </c>
      <c r="U51" s="23">
        <v>0.3541666666666667</v>
      </c>
      <c r="V51" s="26"/>
      <c r="W51" s="26"/>
      <c r="X51" s="23">
        <v>0.16666666666666666</v>
      </c>
      <c r="Y51" s="23">
        <v>0.27152777777777776</v>
      </c>
      <c r="Z51" s="23">
        <v>0.4625</v>
      </c>
      <c r="AA51" s="23">
        <v>0.4222222222222222</v>
      </c>
      <c r="AB51" s="23">
        <v>0.3541666666666667</v>
      </c>
      <c r="AC51" s="26"/>
      <c r="AD51" s="26"/>
      <c r="AE51" s="23">
        <v>0.3541666666666667</v>
      </c>
      <c r="AF51" s="25">
        <v>0.32083333333333336</v>
      </c>
      <c r="AG51" s="23">
        <v>0.3597222222222222</v>
      </c>
      <c r="AH51" s="23">
        <v>0.3840277777777778</v>
      </c>
      <c r="AI51" s="23">
        <v>0.3263888888888889</v>
      </c>
    </row>
    <row r="52">
      <c r="A52" s="54" t="s">
        <v>282</v>
      </c>
      <c r="B52" s="55">
        <v>50.0</v>
      </c>
      <c r="C52" s="56" t="s">
        <v>10</v>
      </c>
      <c r="D52" s="22">
        <f t="shared" si="2"/>
        <v>9.780555556</v>
      </c>
      <c r="E52" s="26" t="s">
        <v>280</v>
      </c>
      <c r="F52" s="23">
        <v>0.42291666666666666</v>
      </c>
      <c r="G52" s="23">
        <v>0.3541666666666667</v>
      </c>
      <c r="H52" s="24"/>
      <c r="I52" s="24"/>
      <c r="J52" s="23">
        <v>0.2875</v>
      </c>
      <c r="K52" s="23">
        <v>0.5597222222222222</v>
      </c>
      <c r="L52" s="23">
        <v>0.5326388888888889</v>
      </c>
      <c r="M52" s="23">
        <v>0.4930555555555556</v>
      </c>
      <c r="N52" s="23">
        <v>0.3541666666666667</v>
      </c>
      <c r="O52" s="24"/>
      <c r="P52" s="24"/>
      <c r="Q52" s="23">
        <v>0.5097222222222222</v>
      </c>
      <c r="R52" s="23">
        <v>0.5</v>
      </c>
      <c r="S52" s="23">
        <v>0.6027777777777777</v>
      </c>
      <c r="T52" s="23">
        <v>0.6027777777777777</v>
      </c>
      <c r="U52" s="23">
        <v>0.3541666666666667</v>
      </c>
      <c r="V52" s="26"/>
      <c r="W52" s="26"/>
      <c r="X52" s="23">
        <v>0.6361111111111111</v>
      </c>
      <c r="Y52" s="23">
        <v>0.5305555555555556</v>
      </c>
      <c r="Z52" s="23">
        <v>0.47708333333333336</v>
      </c>
      <c r="AA52" s="23">
        <v>0.5173611111111112</v>
      </c>
      <c r="AB52" s="23">
        <v>0.3541666666666667</v>
      </c>
      <c r="AC52" s="26"/>
      <c r="AD52" s="26"/>
      <c r="AE52" s="23">
        <v>0.2916666666666667</v>
      </c>
      <c r="AF52" s="23">
        <v>0.5173611111111112</v>
      </c>
      <c r="AG52" s="23">
        <v>0.5284722222222222</v>
      </c>
      <c r="AH52" s="26" t="s">
        <v>283</v>
      </c>
      <c r="AI52" s="23">
        <v>0.3541666666666667</v>
      </c>
    </row>
    <row r="53">
      <c r="A53" s="32"/>
      <c r="B53" s="57">
        <v>51.0</v>
      </c>
      <c r="C53" s="58" t="s">
        <v>6</v>
      </c>
      <c r="D53" s="22">
        <f t="shared" si="2"/>
        <v>10.65208333</v>
      </c>
      <c r="E53" s="25">
        <v>0.47152777777777777</v>
      </c>
      <c r="F53" s="25">
        <v>0.4638888888888889</v>
      </c>
      <c r="G53" s="23">
        <v>0.5034722222222222</v>
      </c>
      <c r="H53" s="24"/>
      <c r="I53" s="24"/>
      <c r="J53" s="25">
        <v>0.4791666666666667</v>
      </c>
      <c r="K53" s="25">
        <v>0.44027777777777777</v>
      </c>
      <c r="L53" s="25">
        <v>0.46805555555555556</v>
      </c>
      <c r="M53" s="25">
        <v>0.4666666666666667</v>
      </c>
      <c r="N53" s="23">
        <v>0.3541666666666667</v>
      </c>
      <c r="O53" s="24"/>
      <c r="P53" s="24"/>
      <c r="Q53" s="23">
        <v>0.38819444444444445</v>
      </c>
      <c r="R53" s="23">
        <v>0.47152777777777777</v>
      </c>
      <c r="S53" s="23">
        <v>0.4722222222222222</v>
      </c>
      <c r="T53" s="23">
        <v>0.4548611111111111</v>
      </c>
      <c r="U53" s="23">
        <v>0.4736111111111111</v>
      </c>
      <c r="V53" s="26"/>
      <c r="W53" s="26"/>
      <c r="X53" s="23">
        <v>0.4666666666666667</v>
      </c>
      <c r="Y53" s="23">
        <v>0.4625</v>
      </c>
      <c r="Z53" s="23">
        <v>0.5458333333333333</v>
      </c>
      <c r="AA53" s="23">
        <v>0.4777777777777778</v>
      </c>
      <c r="AB53" s="23">
        <v>0.5125</v>
      </c>
      <c r="AC53" s="26"/>
      <c r="AD53" s="26"/>
      <c r="AE53" s="25">
        <v>0.4847222222222222</v>
      </c>
      <c r="AF53" s="25">
        <v>0.49375</v>
      </c>
      <c r="AG53" s="23">
        <v>0.4722222222222222</v>
      </c>
      <c r="AH53" s="23">
        <v>0.525</v>
      </c>
      <c r="AI53" s="23">
        <v>0.3034722222222222</v>
      </c>
    </row>
    <row r="54">
      <c r="A54" s="32"/>
      <c r="B54" s="57">
        <v>52.0</v>
      </c>
      <c r="C54" s="59" t="s">
        <v>75</v>
      </c>
      <c r="D54" s="22">
        <f t="shared" si="2"/>
        <v>7.669444444</v>
      </c>
      <c r="E54" s="25">
        <v>0.32916666666666666</v>
      </c>
      <c r="F54" s="23">
        <v>0.32222222222222224</v>
      </c>
      <c r="G54" s="23">
        <v>0.3541666666666667</v>
      </c>
      <c r="H54" s="24"/>
      <c r="I54" s="24"/>
      <c r="J54" s="23">
        <v>0.29583333333333334</v>
      </c>
      <c r="K54" s="23">
        <v>0.34930555555555554</v>
      </c>
      <c r="L54" s="25">
        <v>0.30625</v>
      </c>
      <c r="M54" s="25">
        <v>0.3347222222222222</v>
      </c>
      <c r="N54" s="23">
        <v>0.3541666666666667</v>
      </c>
      <c r="O54" s="24"/>
      <c r="P54" s="24"/>
      <c r="Q54" s="23">
        <v>0.2638888888888889</v>
      </c>
      <c r="R54" s="23">
        <v>0.30833333333333335</v>
      </c>
      <c r="S54" s="23">
        <v>0.3506944444444444</v>
      </c>
      <c r="T54" s="23">
        <v>0.3263888888888889</v>
      </c>
      <c r="U54" s="23">
        <v>0.3541666666666667</v>
      </c>
      <c r="V54" s="26"/>
      <c r="W54" s="26"/>
      <c r="X54" s="23">
        <v>0.2791666666666667</v>
      </c>
      <c r="Y54" s="23">
        <v>0.32222222222222224</v>
      </c>
      <c r="Z54" s="23">
        <v>0.33125</v>
      </c>
      <c r="AA54" s="23">
        <v>0.3993055555555556</v>
      </c>
      <c r="AB54" s="23">
        <v>0.36180555555555555</v>
      </c>
      <c r="AC54" s="26"/>
      <c r="AD54" s="26"/>
      <c r="AE54" s="25">
        <v>0.34444444444444444</v>
      </c>
      <c r="AF54" s="25">
        <v>0.35347222222222224</v>
      </c>
      <c r="AG54" s="23">
        <v>0.33958333333333335</v>
      </c>
      <c r="AH54" s="23">
        <v>0.3347222222222222</v>
      </c>
      <c r="AI54" s="23">
        <v>0.3541666666666667</v>
      </c>
    </row>
    <row r="55">
      <c r="A55" s="32"/>
      <c r="B55" s="55">
        <v>53.0</v>
      </c>
      <c r="C55" s="60" t="s">
        <v>120</v>
      </c>
      <c r="D55" s="22">
        <f t="shared" si="2"/>
        <v>9.265277778</v>
      </c>
      <c r="E55" s="25">
        <v>0.41041666666666665</v>
      </c>
      <c r="F55" s="25">
        <v>0.39861111111111114</v>
      </c>
      <c r="G55" s="25">
        <v>0.38263888888888886</v>
      </c>
      <c r="H55" s="24"/>
      <c r="I55" s="24"/>
      <c r="J55" s="25">
        <v>0.4152777777777778</v>
      </c>
      <c r="K55" s="25">
        <v>0.39791666666666664</v>
      </c>
      <c r="L55" s="25">
        <v>0.40555555555555556</v>
      </c>
      <c r="M55" s="23">
        <v>0.375</v>
      </c>
      <c r="N55" s="25">
        <v>0.41944444444444445</v>
      </c>
      <c r="O55" s="24"/>
      <c r="P55" s="24"/>
      <c r="Q55" s="23">
        <v>0.4284722222222222</v>
      </c>
      <c r="R55" s="23">
        <v>0.425</v>
      </c>
      <c r="S55" s="23">
        <v>0.40208333333333335</v>
      </c>
      <c r="T55" s="23">
        <v>0.3958333333333333</v>
      </c>
      <c r="U55" s="23">
        <v>0.3923611111111111</v>
      </c>
      <c r="V55" s="26"/>
      <c r="W55" s="26"/>
      <c r="X55" s="23">
        <v>0.4111111111111111</v>
      </c>
      <c r="Y55" s="23">
        <v>0.41388888888888886</v>
      </c>
      <c r="Z55" s="23">
        <v>0.4263888888888889</v>
      </c>
      <c r="AA55" s="23">
        <v>0.4027777777777778</v>
      </c>
      <c r="AB55" s="23">
        <v>0.375</v>
      </c>
      <c r="AC55" s="26"/>
      <c r="AD55" s="26"/>
      <c r="AE55" s="25">
        <v>0.425</v>
      </c>
      <c r="AF55" s="25">
        <v>0.41458333333333336</v>
      </c>
      <c r="AG55" s="23">
        <v>0.375</v>
      </c>
      <c r="AH55" s="23">
        <v>0.3347222222222222</v>
      </c>
      <c r="AI55" s="23">
        <v>0.43819444444444444</v>
      </c>
    </row>
    <row r="56">
      <c r="A56" s="32"/>
      <c r="B56" s="57">
        <v>54.0</v>
      </c>
      <c r="C56" s="61" t="s">
        <v>123</v>
      </c>
      <c r="D56" s="22">
        <f t="shared" si="2"/>
        <v>7.368055556</v>
      </c>
      <c r="E56" s="25">
        <v>0.39861111111111114</v>
      </c>
      <c r="F56" s="25">
        <v>0.41597222222222224</v>
      </c>
      <c r="G56" s="23">
        <v>0.375</v>
      </c>
      <c r="H56" s="24"/>
      <c r="I56" s="24"/>
      <c r="J56" s="26" t="s">
        <v>283</v>
      </c>
      <c r="K56" s="26" t="s">
        <v>283</v>
      </c>
      <c r="L56" s="26" t="s">
        <v>283</v>
      </c>
      <c r="M56" s="26" t="s">
        <v>283</v>
      </c>
      <c r="N56" s="25">
        <v>0.39652777777777776</v>
      </c>
      <c r="O56" s="24"/>
      <c r="P56" s="24"/>
      <c r="Q56" s="23">
        <v>0.3909722222222222</v>
      </c>
      <c r="R56" s="23">
        <v>0.41041666666666665</v>
      </c>
      <c r="S56" s="23">
        <v>0.39652777777777776</v>
      </c>
      <c r="T56" s="23">
        <v>0.3638888888888889</v>
      </c>
      <c r="U56" s="23">
        <v>0.36527777777777776</v>
      </c>
      <c r="V56" s="26"/>
      <c r="W56" s="26"/>
      <c r="X56" s="23">
        <v>0.3972222222222222</v>
      </c>
      <c r="Y56" s="23">
        <v>0.39166666666666666</v>
      </c>
      <c r="Z56" s="23">
        <v>0.37569444444444444</v>
      </c>
      <c r="AA56" s="23">
        <v>0.38680555555555557</v>
      </c>
      <c r="AB56" s="23">
        <v>0.4048611111111111</v>
      </c>
      <c r="AC56" s="26"/>
      <c r="AD56" s="26"/>
      <c r="AE56" s="25">
        <v>0.3840277777777778</v>
      </c>
      <c r="AF56" s="25">
        <v>0.36736111111111114</v>
      </c>
      <c r="AG56" s="23">
        <v>0.3729166666666667</v>
      </c>
      <c r="AH56" s="23">
        <v>0.36180555555555555</v>
      </c>
      <c r="AI56" s="23">
        <v>0.4125</v>
      </c>
    </row>
    <row r="57">
      <c r="A57" s="32"/>
      <c r="B57" s="57">
        <v>55.0</v>
      </c>
      <c r="C57" s="59" t="s">
        <v>111</v>
      </c>
      <c r="D57" s="22">
        <f t="shared" si="2"/>
        <v>9.120833333</v>
      </c>
      <c r="E57" s="25">
        <v>0.37777777777777777</v>
      </c>
      <c r="F57" s="25">
        <v>0.375</v>
      </c>
      <c r="G57" s="25">
        <v>0.34444444444444444</v>
      </c>
      <c r="H57" s="25">
        <v>0.3909722222222222</v>
      </c>
      <c r="I57" s="25">
        <v>0.35208333333333336</v>
      </c>
      <c r="J57" s="26" t="s">
        <v>283</v>
      </c>
      <c r="K57" s="25">
        <v>0.3784722222222222</v>
      </c>
      <c r="L57" s="25">
        <v>0.38333333333333336</v>
      </c>
      <c r="M57" s="25">
        <v>0.3951388888888889</v>
      </c>
      <c r="N57" s="25">
        <v>0.32222222222222224</v>
      </c>
      <c r="O57" s="25">
        <v>0.39861111111111114</v>
      </c>
      <c r="P57" s="25">
        <v>0.36736111111111114</v>
      </c>
      <c r="Q57" s="26" t="s">
        <v>284</v>
      </c>
      <c r="R57" s="23">
        <v>0.3506944444444444</v>
      </c>
      <c r="S57" s="23">
        <v>0.35625</v>
      </c>
      <c r="T57" s="23">
        <v>0.3090277777777778</v>
      </c>
      <c r="U57" s="23">
        <v>0.3451388888888889</v>
      </c>
      <c r="V57" s="23">
        <v>0.32013888888888886</v>
      </c>
      <c r="W57" s="23">
        <v>0.36875</v>
      </c>
      <c r="X57" s="26" t="s">
        <v>284</v>
      </c>
      <c r="Y57" s="23">
        <v>0.4</v>
      </c>
      <c r="Z57" s="23">
        <v>0.34305555555555556</v>
      </c>
      <c r="AA57" s="23">
        <v>0.3104166666666667</v>
      </c>
      <c r="AB57" s="23">
        <v>0.3125</v>
      </c>
      <c r="AC57" s="23"/>
      <c r="AD57" s="26"/>
      <c r="AE57" s="25">
        <v>0.3263888888888889</v>
      </c>
      <c r="AF57" s="25">
        <v>0.3472222222222222</v>
      </c>
      <c r="AG57" s="23">
        <v>0.3215277777777778</v>
      </c>
      <c r="AH57" s="23">
        <v>0.32083333333333336</v>
      </c>
      <c r="AI57" s="23">
        <v>0.3034722222222222</v>
      </c>
    </row>
    <row r="58">
      <c r="A58" s="32"/>
      <c r="B58" s="55">
        <v>56.0</v>
      </c>
      <c r="C58" s="61" t="s">
        <v>114</v>
      </c>
      <c r="D58" s="22">
        <f t="shared" si="2"/>
        <v>8.830555556</v>
      </c>
      <c r="E58" s="25">
        <v>0.33819444444444446</v>
      </c>
      <c r="F58" s="26" t="s">
        <v>284</v>
      </c>
      <c r="G58" s="25">
        <v>0.33055555555555555</v>
      </c>
      <c r="H58" s="23">
        <v>0.375</v>
      </c>
      <c r="I58" s="25">
        <v>0.3798611111111111</v>
      </c>
      <c r="J58" s="25">
        <v>0.3402777777777778</v>
      </c>
      <c r="K58" s="25">
        <v>0.3506944444444444</v>
      </c>
      <c r="L58" s="25">
        <v>0.3388888888888889</v>
      </c>
      <c r="M58" s="26" t="s">
        <v>284</v>
      </c>
      <c r="N58" s="25">
        <v>0.35694444444444445</v>
      </c>
      <c r="O58" s="25">
        <v>0.41875</v>
      </c>
      <c r="P58" s="25">
        <v>0.4048611111111111</v>
      </c>
      <c r="Q58" s="23">
        <v>0.3263888888888889</v>
      </c>
      <c r="R58" s="26" t="s">
        <v>284</v>
      </c>
      <c r="S58" s="23">
        <v>0.38263888888888886</v>
      </c>
      <c r="T58" s="26" t="s">
        <v>285</v>
      </c>
      <c r="U58" s="23">
        <v>0.3625</v>
      </c>
      <c r="V58" s="23">
        <v>0.37430555555555556</v>
      </c>
      <c r="W58" s="23">
        <v>0.3798611111111111</v>
      </c>
      <c r="X58" s="23">
        <v>0.3402777777777778</v>
      </c>
      <c r="Y58" s="23">
        <v>0.35138888888888886</v>
      </c>
      <c r="Z58" s="23">
        <v>0.3527777777777778</v>
      </c>
      <c r="AA58" s="26" t="s">
        <v>284</v>
      </c>
      <c r="AB58" s="23">
        <v>0.3284722222222222</v>
      </c>
      <c r="AC58" s="23">
        <v>0.3368055555555556</v>
      </c>
      <c r="AD58" s="23">
        <v>0.3625</v>
      </c>
      <c r="AE58" s="25">
        <v>0.25625</v>
      </c>
      <c r="AF58" s="25">
        <v>0.3451388888888889</v>
      </c>
      <c r="AG58" s="23">
        <v>0.3368055555555556</v>
      </c>
      <c r="AH58" s="26" t="s">
        <v>286</v>
      </c>
      <c r="AI58" s="23">
        <v>0.36041666666666666</v>
      </c>
    </row>
    <row r="59">
      <c r="A59" s="32"/>
      <c r="B59" s="57">
        <v>57.0</v>
      </c>
      <c r="C59" s="61" t="s">
        <v>129</v>
      </c>
      <c r="D59" s="22">
        <f t="shared" si="2"/>
        <v>10.25763889</v>
      </c>
      <c r="E59" s="23">
        <v>0.33125</v>
      </c>
      <c r="F59" s="23">
        <v>0.3458333333333333</v>
      </c>
      <c r="G59" s="23">
        <v>0.34652777777777777</v>
      </c>
      <c r="H59" s="26" t="s">
        <v>286</v>
      </c>
      <c r="I59" s="23">
        <v>0.3333333333333333</v>
      </c>
      <c r="J59" s="23">
        <v>0.33541666666666664</v>
      </c>
      <c r="K59" s="23">
        <v>0.3326388888888889</v>
      </c>
      <c r="L59" s="23">
        <v>0.33402777777777776</v>
      </c>
      <c r="M59" s="23">
        <v>0.33958333333333335</v>
      </c>
      <c r="N59" s="23">
        <v>0.34305555555555556</v>
      </c>
      <c r="O59" s="25"/>
      <c r="P59" s="25"/>
      <c r="Q59" s="23">
        <v>0.6534722222222222</v>
      </c>
      <c r="R59" s="23">
        <v>0.775</v>
      </c>
      <c r="S59" s="23">
        <v>0.6652777777777777</v>
      </c>
      <c r="T59" s="23">
        <v>0.6479166666666667</v>
      </c>
      <c r="U59" s="23">
        <v>0.6590277777777778</v>
      </c>
      <c r="V59" s="26" t="s">
        <v>286</v>
      </c>
      <c r="W59" s="23">
        <v>0.35208333333333336</v>
      </c>
      <c r="X59" s="23">
        <v>0.3541666666666667</v>
      </c>
      <c r="Y59" s="23">
        <v>0.3527777777777778</v>
      </c>
      <c r="Z59" s="23">
        <v>0.34305555555555556</v>
      </c>
      <c r="AA59" s="23">
        <v>0.35347222222222224</v>
      </c>
      <c r="AB59" s="23">
        <v>0.34791666666666665</v>
      </c>
      <c r="AC59" s="23"/>
      <c r="AD59" s="23"/>
      <c r="AE59" s="23">
        <v>0.33958333333333335</v>
      </c>
      <c r="AF59" s="23">
        <v>0.34930555555555554</v>
      </c>
      <c r="AG59" s="23">
        <v>0.3423611111111111</v>
      </c>
      <c r="AH59" s="23">
        <v>0.3402777777777778</v>
      </c>
      <c r="AI59" s="23">
        <v>0.3402777777777778</v>
      </c>
    </row>
    <row r="60">
      <c r="A60" s="32"/>
      <c r="B60" s="57">
        <v>58.0</v>
      </c>
      <c r="C60" s="60" t="s">
        <v>126</v>
      </c>
      <c r="D60" s="22">
        <f t="shared" si="2"/>
        <v>11.35208333</v>
      </c>
      <c r="E60" s="25">
        <v>0.4583333333333333</v>
      </c>
      <c r="F60" s="25">
        <v>0.43819444444444444</v>
      </c>
      <c r="G60" s="26" t="s">
        <v>284</v>
      </c>
      <c r="H60" s="25">
        <v>0.4173611111111111</v>
      </c>
      <c r="I60" s="25">
        <v>0.36736111111111114</v>
      </c>
      <c r="J60" s="25">
        <v>0.44166666666666665</v>
      </c>
      <c r="K60" s="25">
        <v>0.49583333333333335</v>
      </c>
      <c r="L60" s="25">
        <v>0.36875</v>
      </c>
      <c r="M60" s="25">
        <v>0.44583333333333336</v>
      </c>
      <c r="N60" s="26" t="s">
        <v>286</v>
      </c>
      <c r="O60" s="25">
        <v>0.3472222222222222</v>
      </c>
      <c r="P60" s="25">
        <v>0.3763888888888889</v>
      </c>
      <c r="Q60" s="23">
        <v>0.3770833333333333</v>
      </c>
      <c r="R60" s="23">
        <v>0.35625</v>
      </c>
      <c r="S60" s="23">
        <v>0.45625</v>
      </c>
      <c r="T60" s="23">
        <v>0.40902777777777777</v>
      </c>
      <c r="U60" s="23">
        <v>0.49583333333333335</v>
      </c>
      <c r="V60" s="23">
        <v>0.5743055555555555</v>
      </c>
      <c r="W60" s="23">
        <v>0.35347222222222224</v>
      </c>
      <c r="X60" s="23">
        <v>0.4673611111111111</v>
      </c>
      <c r="Y60" s="23">
        <v>0.125</v>
      </c>
      <c r="Z60" s="23">
        <v>0.3763888888888889</v>
      </c>
      <c r="AA60" s="23">
        <v>0.3861111111111111</v>
      </c>
      <c r="AB60" s="23">
        <v>0.4444444444444444</v>
      </c>
      <c r="AC60" s="23">
        <v>0.5090277777777777</v>
      </c>
      <c r="AD60" s="26"/>
      <c r="AE60" s="25">
        <v>0.53125</v>
      </c>
      <c r="AF60" s="25">
        <v>0.34097222222222223</v>
      </c>
      <c r="AG60" s="23">
        <v>0.3840277777777778</v>
      </c>
      <c r="AH60" s="23">
        <v>0.25416666666666665</v>
      </c>
      <c r="AI60" s="23">
        <v>0.3541666666666667</v>
      </c>
    </row>
    <row r="61">
      <c r="A61" s="32"/>
      <c r="B61" s="55">
        <v>59.0</v>
      </c>
      <c r="C61" s="60" t="s">
        <v>287</v>
      </c>
      <c r="D61" s="22">
        <f t="shared" si="2"/>
        <v>9.39375</v>
      </c>
      <c r="E61" s="26" t="s">
        <v>286</v>
      </c>
      <c r="F61" s="25">
        <v>0.35138888888888886</v>
      </c>
      <c r="G61" s="25">
        <v>0.43125</v>
      </c>
      <c r="H61" s="25">
        <v>0.34444444444444444</v>
      </c>
      <c r="I61" s="25">
        <v>0.35</v>
      </c>
      <c r="J61" s="25">
        <v>0.41458333333333336</v>
      </c>
      <c r="K61" s="25">
        <v>0.4979166666666667</v>
      </c>
      <c r="L61" s="26" t="s">
        <v>286</v>
      </c>
      <c r="M61" s="25">
        <v>0.34305555555555556</v>
      </c>
      <c r="N61" s="25">
        <v>0.36041666666666666</v>
      </c>
      <c r="O61" s="25">
        <v>0.34375</v>
      </c>
      <c r="P61" s="23">
        <v>0.33611111111111114</v>
      </c>
      <c r="Q61" s="23">
        <v>0.3375</v>
      </c>
      <c r="R61" s="23">
        <v>0.3506944444444444</v>
      </c>
      <c r="S61" s="23">
        <v>0.3659722222222222</v>
      </c>
      <c r="T61" s="26" t="s">
        <v>284</v>
      </c>
      <c r="U61" s="23">
        <v>0.34097222222222223</v>
      </c>
      <c r="V61" s="23">
        <v>0.37916666666666665</v>
      </c>
      <c r="W61" s="23">
        <v>0.35</v>
      </c>
      <c r="X61" s="23">
        <v>0.35555555555555557</v>
      </c>
      <c r="Y61" s="26" t="s">
        <v>284</v>
      </c>
      <c r="Z61" s="23">
        <v>0.35833333333333334</v>
      </c>
      <c r="AA61" s="23">
        <v>0.33611111111111114</v>
      </c>
      <c r="AB61" s="23">
        <v>0.36736111111111114</v>
      </c>
      <c r="AC61" s="23">
        <v>0.3458333333333333</v>
      </c>
      <c r="AD61" s="23">
        <v>0.3458333333333333</v>
      </c>
      <c r="AE61" s="25">
        <v>0.35138888888888886</v>
      </c>
      <c r="AF61" s="25">
        <v>0.33819444444444446</v>
      </c>
      <c r="AG61" s="26" t="s">
        <v>284</v>
      </c>
      <c r="AH61" s="23">
        <v>0.35</v>
      </c>
      <c r="AI61" s="23">
        <v>0.34791666666666665</v>
      </c>
    </row>
    <row r="62">
      <c r="A62" s="32"/>
      <c r="B62" s="57">
        <v>60.0</v>
      </c>
      <c r="C62" s="62" t="s">
        <v>162</v>
      </c>
      <c r="D62" s="22">
        <f t="shared" si="2"/>
        <v>12.30138889</v>
      </c>
      <c r="E62" s="25">
        <v>0.41180555555555554</v>
      </c>
      <c r="F62" s="25">
        <v>0.4583333333333333</v>
      </c>
      <c r="G62" s="23">
        <v>0.4701388888888889</v>
      </c>
      <c r="H62" s="25">
        <v>0.3958333333333333</v>
      </c>
      <c r="I62" s="26" t="s">
        <v>286</v>
      </c>
      <c r="J62" s="25">
        <v>0.49027777777777776</v>
      </c>
      <c r="K62" s="25">
        <v>0.42777777777777776</v>
      </c>
      <c r="L62" s="25">
        <v>0.41875</v>
      </c>
      <c r="M62" s="25">
        <v>0.46458333333333335</v>
      </c>
      <c r="N62" s="23">
        <v>0.4652777777777778</v>
      </c>
      <c r="O62" s="23">
        <v>0.4166666666666667</v>
      </c>
      <c r="P62" s="23">
        <v>0.4173611111111111</v>
      </c>
      <c r="Q62" s="23">
        <v>0.38333333333333336</v>
      </c>
      <c r="R62" s="23">
        <v>0.4409722222222222</v>
      </c>
      <c r="S62" s="23">
        <v>0.4444444444444444</v>
      </c>
      <c r="T62" s="23">
        <v>0.4444444444444444</v>
      </c>
      <c r="U62" s="23">
        <v>0.44722222222222224</v>
      </c>
      <c r="V62" s="23">
        <v>0.37222222222222223</v>
      </c>
      <c r="W62" s="26" t="s">
        <v>284</v>
      </c>
      <c r="X62" s="23">
        <v>0.4576388888888889</v>
      </c>
      <c r="Y62" s="23">
        <v>0.4131944444444444</v>
      </c>
      <c r="Z62" s="23">
        <v>0.5743055555555555</v>
      </c>
      <c r="AA62" s="23">
        <v>0.41388888888888886</v>
      </c>
      <c r="AB62" s="23">
        <v>0.6020833333333333</v>
      </c>
      <c r="AC62" s="23">
        <v>0.38263888888888886</v>
      </c>
      <c r="AD62" s="26"/>
      <c r="AE62" s="25">
        <v>0.4722222222222222</v>
      </c>
      <c r="AF62" s="25">
        <v>0.4534722222222222</v>
      </c>
      <c r="AG62" s="23">
        <v>0.40902777777777777</v>
      </c>
      <c r="AH62" s="23">
        <v>0.45</v>
      </c>
      <c r="AI62" s="23">
        <v>0.3034722222222222</v>
      </c>
    </row>
    <row r="63">
      <c r="A63" s="32"/>
      <c r="B63" s="57">
        <v>61.0</v>
      </c>
      <c r="C63" s="59" t="s">
        <v>38</v>
      </c>
      <c r="D63" s="22">
        <f t="shared" si="2"/>
        <v>6.904861111</v>
      </c>
      <c r="E63" s="25">
        <v>0.36527777777777776</v>
      </c>
      <c r="F63" s="25">
        <v>0.3729166666666667</v>
      </c>
      <c r="G63" s="25">
        <v>0.37916666666666665</v>
      </c>
      <c r="H63" s="24"/>
      <c r="I63" s="24"/>
      <c r="J63" s="25">
        <v>0.37430555555555556</v>
      </c>
      <c r="K63" s="25">
        <v>0.3659722222222222</v>
      </c>
      <c r="L63" s="25">
        <v>0.5756944444444444</v>
      </c>
      <c r="M63" s="25">
        <v>0.3611111111111111</v>
      </c>
      <c r="N63" s="23">
        <v>0.3541666666666667</v>
      </c>
      <c r="O63" s="24"/>
      <c r="P63" s="24"/>
      <c r="Q63" s="23">
        <v>0.3659722222222222</v>
      </c>
      <c r="R63" s="23">
        <v>0.40555555555555556</v>
      </c>
      <c r="S63" s="23">
        <v>0.3715277777777778</v>
      </c>
      <c r="T63" s="23">
        <v>0.3784722222222222</v>
      </c>
      <c r="U63" s="23">
        <v>0.3541666666666667</v>
      </c>
      <c r="V63" s="26"/>
      <c r="W63" s="26"/>
      <c r="X63" s="23">
        <v>0.36319444444444443</v>
      </c>
      <c r="Y63" s="23">
        <v>0.36875</v>
      </c>
      <c r="Z63" s="23">
        <v>0.3888888888888889</v>
      </c>
      <c r="AA63" s="23">
        <v>0.36944444444444446</v>
      </c>
      <c r="AB63" s="23">
        <v>0.3902777777777778</v>
      </c>
      <c r="AC63" s="26"/>
      <c r="AD63" s="26"/>
      <c r="AE63" s="26" t="s">
        <v>272</v>
      </c>
      <c r="AF63" s="26" t="s">
        <v>272</v>
      </c>
      <c r="AG63" s="26" t="s">
        <v>272</v>
      </c>
      <c r="AH63" s="26" t="s">
        <v>272</v>
      </c>
      <c r="AI63" s="26" t="s">
        <v>272</v>
      </c>
    </row>
    <row r="64">
      <c r="A64" s="32"/>
      <c r="B64" s="55">
        <v>62.0</v>
      </c>
      <c r="C64" s="63" t="s">
        <v>35</v>
      </c>
      <c r="D64" s="22">
        <f t="shared" si="2"/>
        <v>0</v>
      </c>
      <c r="E64" s="25"/>
      <c r="F64" s="25"/>
      <c r="G64" s="25"/>
      <c r="H64" s="24"/>
      <c r="I64" s="24"/>
      <c r="J64" s="25"/>
      <c r="K64" s="24"/>
      <c r="L64" s="25"/>
      <c r="M64" s="25"/>
      <c r="N64" s="24"/>
      <c r="O64" s="24"/>
      <c r="P64" s="24"/>
      <c r="Q64" s="23"/>
      <c r="R64" s="23"/>
      <c r="S64" s="23"/>
      <c r="T64" s="26"/>
      <c r="U64" s="23"/>
      <c r="V64" s="26"/>
      <c r="W64" s="26"/>
      <c r="X64" s="26"/>
      <c r="Y64" s="26"/>
      <c r="Z64" s="23"/>
      <c r="AA64" s="23"/>
      <c r="AB64" s="26"/>
      <c r="AC64" s="26"/>
      <c r="AD64" s="26"/>
      <c r="AE64" s="25"/>
      <c r="AF64" s="25"/>
      <c r="AG64" s="23"/>
      <c r="AH64" s="23"/>
      <c r="AI64" s="26"/>
    </row>
    <row r="65">
      <c r="A65" s="32"/>
      <c r="B65" s="57">
        <v>63.0</v>
      </c>
      <c r="C65" s="59" t="s">
        <v>117</v>
      </c>
      <c r="D65" s="22">
        <f t="shared" si="2"/>
        <v>9.750694444</v>
      </c>
      <c r="E65" s="23">
        <v>0.375</v>
      </c>
      <c r="F65" s="23">
        <v>0.3333333333333333</v>
      </c>
      <c r="G65" s="23">
        <v>0.3541666666666667</v>
      </c>
      <c r="H65" s="25"/>
      <c r="I65" s="24"/>
      <c r="J65" s="25">
        <v>0.6055555555555555</v>
      </c>
      <c r="K65" s="25">
        <v>0.4576388888888889</v>
      </c>
      <c r="L65" s="23">
        <v>0.3541666666666667</v>
      </c>
      <c r="M65" s="25">
        <v>0.4305555555555556</v>
      </c>
      <c r="N65" s="23">
        <v>0.3972222222222222</v>
      </c>
      <c r="O65" s="25"/>
      <c r="P65" s="24"/>
      <c r="Q65" s="23">
        <v>0.3333333333333333</v>
      </c>
      <c r="R65" s="23">
        <v>0.5069444444444444</v>
      </c>
      <c r="S65" s="26" t="s">
        <v>284</v>
      </c>
      <c r="T65" s="23">
        <v>0.45555555555555555</v>
      </c>
      <c r="U65" s="23">
        <v>0.4791666666666667</v>
      </c>
      <c r="V65" s="26"/>
      <c r="W65" s="26"/>
      <c r="X65" s="23">
        <v>0.43472222222222223</v>
      </c>
      <c r="Y65" s="23">
        <v>0.3597222222222222</v>
      </c>
      <c r="Z65" s="23">
        <v>0.5625</v>
      </c>
      <c r="AA65" s="23">
        <v>0.4701388888888889</v>
      </c>
      <c r="AB65" s="23">
        <v>0.3451388888888889</v>
      </c>
      <c r="AC65" s="23"/>
      <c r="AD65" s="26"/>
      <c r="AE65" s="25">
        <v>0.58125</v>
      </c>
      <c r="AF65" s="23">
        <v>0.4888888888888889</v>
      </c>
      <c r="AG65" s="23">
        <v>0.5013888888888889</v>
      </c>
      <c r="AH65" s="23">
        <v>0.4166666666666667</v>
      </c>
      <c r="AI65" s="23">
        <v>0.5076388888888889</v>
      </c>
    </row>
    <row r="66">
      <c r="A66" s="15"/>
      <c r="B66" s="57">
        <v>64.0</v>
      </c>
      <c r="C66" s="60" t="s">
        <v>237</v>
      </c>
      <c r="D66" s="22">
        <f t="shared" si="2"/>
        <v>10.04027778</v>
      </c>
      <c r="E66" s="23">
        <v>0.35555555555555557</v>
      </c>
      <c r="F66" s="23">
        <v>0.35694444444444445</v>
      </c>
      <c r="G66" s="26" t="s">
        <v>284</v>
      </c>
      <c r="H66" s="23">
        <v>0.3611111111111111</v>
      </c>
      <c r="I66" s="23">
        <v>0.33611111111111114</v>
      </c>
      <c r="J66" s="23">
        <v>0.33402777777777776</v>
      </c>
      <c r="K66" s="23">
        <v>0.3333333333333333</v>
      </c>
      <c r="L66" s="23">
        <v>0.3375</v>
      </c>
      <c r="M66" s="23">
        <v>0.3333333333333333</v>
      </c>
      <c r="N66" s="26" t="s">
        <v>286</v>
      </c>
      <c r="O66" s="23">
        <v>0.325</v>
      </c>
      <c r="P66" s="23">
        <v>0.3263888888888889</v>
      </c>
      <c r="Q66" s="23">
        <v>0.6631944444444444</v>
      </c>
      <c r="R66" s="23">
        <v>0.6625</v>
      </c>
      <c r="S66" s="23">
        <v>0.6645833333333333</v>
      </c>
      <c r="T66" s="23">
        <v>0.6611111111111111</v>
      </c>
      <c r="U66" s="23">
        <v>0.625</v>
      </c>
      <c r="V66" s="23">
        <v>0.33958333333333335</v>
      </c>
      <c r="W66" s="23">
        <v>0.3402777777777778</v>
      </c>
      <c r="X66" s="23">
        <v>0.3333333333333333</v>
      </c>
      <c r="Y66" s="23">
        <v>0.3368055555555556</v>
      </c>
      <c r="Z66" s="23">
        <v>0.33125</v>
      </c>
      <c r="AA66" s="23">
        <v>0.33611111111111114</v>
      </c>
      <c r="AB66" s="26" t="s">
        <v>284</v>
      </c>
      <c r="AC66" s="26"/>
      <c r="AD66" s="23"/>
      <c r="AE66" s="23">
        <v>0.3416666666666667</v>
      </c>
      <c r="AF66" s="23">
        <v>0.3347222222222222</v>
      </c>
      <c r="AG66" s="23">
        <v>0.3368055555555556</v>
      </c>
      <c r="AH66" s="23">
        <v>0.33402777777777776</v>
      </c>
      <c r="AI66" s="26" t="s">
        <v>284</v>
      </c>
    </row>
    <row r="67">
      <c r="A67" s="64"/>
      <c r="B67" s="55">
        <v>65.0</v>
      </c>
      <c r="C67" s="60" t="s">
        <v>288</v>
      </c>
      <c r="D67" s="22">
        <f t="shared" si="2"/>
        <v>4.034027778</v>
      </c>
      <c r="E67" s="23"/>
      <c r="F67" s="23"/>
      <c r="G67" s="26"/>
      <c r="H67" s="23"/>
      <c r="I67" s="23"/>
      <c r="J67" s="23"/>
      <c r="K67" s="23"/>
      <c r="L67" s="23"/>
      <c r="M67" s="23"/>
      <c r="N67" s="26"/>
      <c r="O67" s="23"/>
      <c r="P67" s="23"/>
      <c r="Q67" s="23"/>
      <c r="R67" s="23"/>
      <c r="S67" s="23"/>
      <c r="T67" s="23"/>
      <c r="U67" s="23"/>
      <c r="V67" s="23">
        <v>0.3368055555555556</v>
      </c>
      <c r="W67" s="23">
        <v>0.33402777777777776</v>
      </c>
      <c r="X67" s="23">
        <v>0.33541666666666664</v>
      </c>
      <c r="Y67" s="26" t="s">
        <v>284</v>
      </c>
      <c r="Z67" s="23">
        <v>0.3375</v>
      </c>
      <c r="AA67" s="23">
        <v>0.3423611111111111</v>
      </c>
      <c r="AB67" s="23">
        <v>0.3236111111111111</v>
      </c>
      <c r="AC67" s="23">
        <v>0.35138888888888886</v>
      </c>
      <c r="AD67" s="23">
        <v>0.3298611111111111</v>
      </c>
      <c r="AE67" s="25">
        <v>0.33541666666666664</v>
      </c>
      <c r="AF67" s="26" t="s">
        <v>284</v>
      </c>
      <c r="AG67" s="23">
        <v>0.3236111111111111</v>
      </c>
      <c r="AH67" s="23">
        <v>0.33958333333333335</v>
      </c>
      <c r="AI67" s="23">
        <v>0.34444444444444444</v>
      </c>
    </row>
    <row r="68"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</row>
    <row r="69"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</row>
    <row r="70"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</row>
    <row r="71"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</row>
    <row r="72"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</row>
    <row r="73"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</row>
    <row r="74"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</row>
    <row r="75"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</row>
    <row r="76"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</row>
    <row r="77"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</row>
    <row r="78"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</row>
    <row r="79"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</row>
    <row r="80"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</row>
    <row r="81"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AI81" s="66"/>
    </row>
    <row r="82"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AI82" s="66"/>
    </row>
    <row r="83"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AI83" s="66"/>
    </row>
    <row r="84"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AI84" s="66"/>
    </row>
    <row r="85"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AI85" s="66"/>
    </row>
    <row r="86"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AI86" s="66"/>
    </row>
    <row r="87"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AI87" s="66"/>
    </row>
    <row r="88"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AI88" s="66"/>
    </row>
    <row r="89"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AI89" s="66"/>
    </row>
    <row r="90"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AI90" s="66"/>
    </row>
    <row r="91"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AI91" s="66"/>
    </row>
    <row r="92"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AI92" s="66"/>
    </row>
    <row r="93"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AI93" s="66"/>
    </row>
    <row r="94"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AI94" s="66"/>
    </row>
    <row r="95"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AI95" s="66"/>
    </row>
    <row r="96"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AI96" s="66"/>
    </row>
    <row r="97"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AI97" s="66"/>
    </row>
    <row r="98"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AI98" s="66"/>
    </row>
    <row r="99"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AI99" s="66"/>
    </row>
    <row r="100"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AI100" s="66"/>
    </row>
    <row r="101"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AI101" s="66"/>
    </row>
    <row r="102"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AI102" s="66"/>
    </row>
    <row r="103"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AI103" s="66"/>
    </row>
    <row r="104"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AI104" s="66"/>
    </row>
    <row r="105"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AI105" s="66"/>
    </row>
    <row r="106"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AI106" s="66"/>
    </row>
    <row r="107"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AI107" s="66"/>
    </row>
    <row r="108"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AI108" s="66"/>
    </row>
    <row r="109"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AI109" s="66"/>
    </row>
    <row r="110"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AI110" s="66"/>
    </row>
    <row r="111"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AI111" s="66"/>
    </row>
    <row r="112"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AI112" s="66"/>
    </row>
    <row r="113"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AI113" s="66"/>
    </row>
    <row r="114"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AI114" s="66"/>
    </row>
    <row r="115"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AI115" s="66"/>
    </row>
    <row r="116"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AI116" s="66"/>
    </row>
    <row r="117"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AI117" s="66"/>
    </row>
    <row r="118"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AI118" s="66"/>
    </row>
    <row r="119"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AI119" s="66"/>
    </row>
    <row r="120"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AI120" s="66"/>
    </row>
    <row r="121"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AI121" s="66"/>
    </row>
    <row r="122"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AI122" s="66"/>
    </row>
    <row r="123"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AI123" s="66"/>
    </row>
    <row r="124"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AI124" s="66"/>
    </row>
    <row r="125"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AI125" s="66"/>
    </row>
    <row r="126"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AI126" s="66"/>
    </row>
    <row r="127"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AI127" s="66"/>
    </row>
    <row r="128"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AI128" s="66"/>
    </row>
    <row r="129"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AI129" s="66"/>
    </row>
    <row r="130"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AI130" s="66"/>
    </row>
    <row r="131"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AI131" s="66"/>
    </row>
    <row r="132"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AI132" s="66"/>
    </row>
    <row r="133"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AI133" s="66"/>
    </row>
    <row r="134"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AI134" s="66"/>
    </row>
    <row r="135"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AI135" s="66"/>
    </row>
    <row r="136"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AI136" s="66"/>
    </row>
    <row r="137"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AI137" s="66"/>
    </row>
    <row r="138"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AI138" s="66"/>
    </row>
    <row r="139"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AI139" s="66"/>
    </row>
    <row r="140"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AI140" s="66"/>
    </row>
    <row r="141"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AI141" s="66"/>
    </row>
    <row r="142"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AI142" s="66"/>
    </row>
    <row r="143"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AI143" s="66"/>
    </row>
    <row r="144"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AI144" s="66"/>
    </row>
    <row r="145"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AI145" s="66"/>
    </row>
    <row r="146"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</row>
    <row r="147"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</row>
    <row r="148"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</row>
    <row r="149"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</row>
    <row r="150"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</row>
    <row r="151"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</row>
    <row r="152"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</row>
    <row r="153"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</row>
    <row r="154"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</row>
    <row r="155"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</row>
    <row r="156"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</row>
    <row r="157"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</row>
    <row r="158"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</row>
    <row r="159"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</row>
    <row r="160"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</row>
    <row r="161"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</row>
    <row r="162"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</row>
    <row r="163"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</row>
    <row r="164"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</row>
    <row r="165"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</row>
    <row r="166"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</row>
    <row r="167"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</row>
    <row r="168"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</row>
    <row r="169"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</row>
    <row r="170"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</row>
    <row r="171"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</row>
    <row r="172"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</row>
    <row r="173"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</row>
    <row r="174"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</row>
    <row r="175"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</row>
    <row r="176"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</row>
    <row r="177"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</row>
    <row r="178"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</row>
    <row r="179"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</row>
    <row r="180"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</row>
    <row r="181"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</row>
    <row r="182"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</row>
    <row r="183"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</row>
    <row r="184"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</row>
    <row r="185"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</row>
    <row r="186"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</row>
    <row r="187"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</row>
    <row r="188"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</row>
    <row r="189"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</row>
    <row r="190"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</row>
    <row r="191"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</row>
    <row r="192"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</row>
    <row r="193"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</row>
    <row r="194"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</row>
    <row r="195"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</row>
    <row r="196"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</row>
    <row r="197"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</row>
    <row r="198"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</row>
    <row r="199"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</row>
    <row r="200"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</row>
    <row r="201"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</row>
    <row r="202"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</row>
    <row r="203"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</row>
    <row r="204"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</row>
    <row r="205"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</row>
    <row r="206"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</row>
    <row r="207"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</row>
    <row r="208"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</row>
    <row r="209"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</row>
    <row r="210"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</row>
    <row r="211"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</row>
    <row r="212"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</row>
    <row r="213"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</row>
    <row r="214"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</row>
    <row r="215"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</row>
    <row r="216"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</row>
    <row r="217"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</row>
    <row r="218"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</row>
    <row r="219"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</row>
    <row r="220"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</row>
    <row r="221"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</row>
    <row r="222"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</row>
    <row r="223"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</row>
    <row r="224"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</row>
    <row r="225"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</row>
    <row r="226"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</row>
    <row r="227"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</row>
    <row r="228"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</row>
    <row r="229"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</row>
    <row r="230"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</row>
    <row r="231"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</row>
    <row r="232"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</row>
    <row r="233"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</row>
    <row r="234"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</row>
    <row r="235"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</row>
    <row r="236"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</row>
    <row r="237"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</row>
    <row r="238"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</row>
    <row r="239"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</row>
    <row r="240"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</row>
    <row r="241"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</row>
    <row r="242"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</row>
    <row r="243"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</row>
    <row r="244"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</row>
    <row r="245"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</row>
    <row r="246"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</row>
    <row r="247"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</row>
    <row r="248"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</row>
    <row r="249"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</row>
    <row r="250"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</row>
    <row r="251"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</row>
    <row r="252"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</row>
    <row r="253"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</row>
    <row r="254"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</row>
    <row r="255"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</row>
    <row r="256"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</row>
    <row r="257"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</row>
    <row r="258"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</row>
    <row r="259"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</row>
    <row r="260"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</row>
    <row r="261"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</row>
    <row r="262"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</row>
    <row r="263"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</row>
    <row r="264"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</row>
    <row r="265"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</row>
    <row r="266"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</row>
    <row r="267"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</row>
    <row r="268"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</row>
    <row r="269"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</row>
    <row r="270"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</row>
    <row r="271"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</row>
    <row r="272"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</row>
    <row r="273"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</row>
    <row r="274"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</row>
    <row r="275"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</row>
    <row r="276"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</row>
    <row r="277"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</row>
    <row r="278"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</row>
    <row r="279"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</row>
    <row r="280"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</row>
    <row r="281"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</row>
    <row r="282"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</row>
    <row r="283"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</row>
    <row r="284"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</row>
    <row r="285"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</row>
    <row r="286"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</row>
    <row r="287"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</row>
    <row r="288"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</row>
    <row r="289"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</row>
    <row r="290"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</row>
    <row r="291"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</row>
    <row r="292"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</row>
    <row r="293"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</row>
    <row r="294"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</row>
    <row r="295"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</row>
    <row r="296"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</row>
    <row r="297"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</row>
    <row r="298"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</row>
    <row r="299"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</row>
    <row r="300"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</row>
    <row r="301"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</row>
    <row r="302"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</row>
    <row r="303"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</row>
    <row r="304"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</row>
    <row r="305"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</row>
    <row r="306"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</row>
    <row r="307"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</row>
    <row r="308"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</row>
    <row r="309"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</row>
    <row r="310"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</row>
    <row r="311"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</row>
    <row r="312"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</row>
    <row r="313"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</row>
    <row r="314"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</row>
    <row r="315"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</row>
    <row r="316"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</row>
    <row r="317"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</row>
    <row r="318"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</row>
    <row r="319"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</row>
    <row r="320"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</row>
    <row r="321"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</row>
    <row r="322"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</row>
    <row r="323"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</row>
    <row r="324"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</row>
    <row r="325"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</row>
    <row r="326"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</row>
    <row r="327"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</row>
    <row r="328"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</row>
    <row r="329"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</row>
    <row r="330"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</row>
    <row r="331"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</row>
    <row r="332"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</row>
    <row r="333"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</row>
    <row r="334"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</row>
    <row r="335"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</row>
    <row r="336"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</row>
    <row r="337"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</row>
    <row r="338"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</row>
    <row r="339"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</row>
    <row r="340"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</row>
    <row r="341"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</row>
    <row r="342"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</row>
    <row r="343"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</row>
    <row r="344"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</row>
    <row r="345"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</row>
    <row r="346"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</row>
    <row r="347"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</row>
    <row r="348"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</row>
    <row r="349"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</row>
    <row r="350"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</row>
    <row r="351"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</row>
    <row r="352"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</row>
    <row r="353"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</row>
    <row r="354"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</row>
    <row r="355"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</row>
    <row r="356"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</row>
    <row r="357"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</row>
    <row r="358"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</row>
    <row r="359"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</row>
    <row r="360"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</row>
    <row r="361"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</row>
    <row r="362"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</row>
    <row r="363"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</row>
    <row r="364"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</row>
    <row r="365"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</row>
    <row r="366"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</row>
    <row r="367"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</row>
    <row r="368"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</row>
    <row r="369"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</row>
    <row r="370"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</row>
    <row r="371"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</row>
    <row r="372"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</row>
    <row r="373"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</row>
    <row r="374"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</row>
    <row r="375"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</row>
    <row r="376"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</row>
    <row r="377"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</row>
    <row r="378"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</row>
    <row r="379"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</row>
    <row r="380"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</row>
    <row r="381"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</row>
    <row r="382"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</row>
    <row r="383"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</row>
    <row r="384"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</row>
    <row r="385"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</row>
    <row r="386"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</row>
    <row r="387"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</row>
    <row r="388"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</row>
    <row r="389"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</row>
    <row r="390"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</row>
    <row r="391"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</row>
    <row r="392"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</row>
    <row r="393"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</row>
    <row r="394"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</row>
    <row r="395"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</row>
    <row r="396"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</row>
    <row r="397"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</row>
    <row r="398"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</row>
    <row r="399"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</row>
    <row r="400"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</row>
    <row r="401"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</row>
    <row r="402"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</row>
    <row r="403"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</row>
    <row r="404"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</row>
    <row r="405"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</row>
    <row r="406"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</row>
    <row r="407"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</row>
    <row r="408"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</row>
    <row r="409"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</row>
    <row r="410"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</row>
    <row r="411"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</row>
    <row r="412"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</row>
    <row r="413"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</row>
    <row r="414"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</row>
    <row r="415"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</row>
    <row r="416"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</row>
    <row r="417"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</row>
    <row r="418"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</row>
    <row r="419"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</row>
    <row r="420"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</row>
    <row r="421"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</row>
    <row r="422"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</row>
    <row r="423"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</row>
    <row r="424"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</row>
    <row r="425"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</row>
    <row r="426"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</row>
    <row r="427"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</row>
    <row r="428"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</row>
    <row r="429"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</row>
    <row r="430"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</row>
    <row r="431"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</row>
    <row r="432"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</row>
    <row r="433"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</row>
    <row r="434"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</row>
    <row r="435"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</row>
    <row r="436"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</row>
    <row r="437"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</row>
    <row r="438"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</row>
    <row r="439"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</row>
    <row r="440"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</row>
    <row r="441"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</row>
    <row r="442"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</row>
    <row r="443"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</row>
    <row r="444"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</row>
    <row r="445"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</row>
    <row r="446"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</row>
    <row r="447"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</row>
    <row r="448"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</row>
    <row r="449"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</row>
    <row r="450"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</row>
    <row r="451"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</row>
    <row r="452"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</row>
    <row r="453"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</row>
    <row r="454"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</row>
    <row r="455"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</row>
    <row r="456"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</row>
    <row r="457"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</row>
    <row r="458"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</row>
    <row r="459"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</row>
    <row r="460"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</row>
    <row r="461"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</row>
    <row r="462"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</row>
    <row r="463"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</row>
    <row r="464"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</row>
    <row r="465"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</row>
    <row r="466"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</row>
    <row r="467"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</row>
    <row r="468"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</row>
    <row r="469"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</row>
    <row r="470"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</row>
    <row r="471"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</row>
    <row r="472"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</row>
    <row r="473"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</row>
    <row r="474"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</row>
    <row r="475"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</row>
    <row r="476"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</row>
    <row r="477"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</row>
    <row r="478"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</row>
    <row r="479"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</row>
    <row r="480"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</row>
    <row r="481"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</row>
    <row r="482"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</row>
    <row r="483"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</row>
    <row r="484"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</row>
    <row r="485"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</row>
    <row r="486"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</row>
    <row r="487"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</row>
    <row r="488"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</row>
    <row r="489"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</row>
    <row r="490"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</row>
    <row r="491"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</row>
    <row r="492"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</row>
    <row r="493"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</row>
    <row r="494"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</row>
    <row r="495"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</row>
    <row r="496"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</row>
    <row r="497"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</row>
    <row r="498"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</row>
    <row r="499"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</row>
    <row r="500"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</row>
    <row r="501"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</row>
    <row r="502"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</row>
    <row r="503"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</row>
    <row r="504"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</row>
    <row r="505"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</row>
    <row r="506"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</row>
    <row r="507"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</row>
    <row r="508"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</row>
    <row r="509"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</row>
    <row r="510"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</row>
    <row r="511"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</row>
    <row r="512"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</row>
    <row r="513"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</row>
    <row r="514"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</row>
    <row r="515"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</row>
    <row r="516"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</row>
    <row r="517"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</row>
    <row r="518"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</row>
    <row r="519"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</row>
    <row r="520"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</row>
    <row r="521"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</row>
    <row r="522"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</row>
    <row r="523"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</row>
    <row r="524"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</row>
    <row r="525"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</row>
    <row r="526"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</row>
    <row r="527"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</row>
    <row r="528"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</row>
    <row r="529"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</row>
    <row r="530"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</row>
    <row r="531"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</row>
    <row r="532"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</row>
    <row r="533"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</row>
    <row r="534"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</row>
    <row r="535"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</row>
    <row r="536"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</row>
    <row r="537"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</row>
    <row r="538"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</row>
    <row r="539"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</row>
    <row r="540"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</row>
    <row r="541"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</row>
    <row r="542"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</row>
    <row r="543"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</row>
    <row r="544"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</row>
    <row r="545"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</row>
    <row r="546"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</row>
    <row r="547"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</row>
    <row r="548"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</row>
    <row r="549"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</row>
    <row r="550"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</row>
    <row r="551"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</row>
    <row r="552"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</row>
    <row r="553"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</row>
    <row r="554"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</row>
    <row r="555"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</row>
    <row r="556"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</row>
    <row r="557"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</row>
    <row r="558"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</row>
    <row r="559"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</row>
    <row r="560"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</row>
    <row r="561"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</row>
    <row r="562"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</row>
    <row r="563"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</row>
    <row r="564"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</row>
    <row r="565"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</row>
    <row r="566"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</row>
    <row r="567"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</row>
    <row r="568"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</row>
    <row r="569"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</row>
    <row r="570"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</row>
    <row r="571"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</row>
    <row r="572"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</row>
    <row r="573"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</row>
    <row r="574"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</row>
    <row r="575"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</row>
    <row r="576"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</row>
    <row r="577"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</row>
    <row r="578"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</row>
    <row r="579"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</row>
    <row r="580"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</row>
    <row r="581"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</row>
    <row r="582"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</row>
    <row r="583"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</row>
    <row r="584"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</row>
    <row r="585"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</row>
    <row r="586"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</row>
    <row r="587"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</row>
    <row r="588"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</row>
    <row r="589"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</row>
    <row r="590"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</row>
    <row r="591"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</row>
    <row r="592"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</row>
    <row r="593"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</row>
    <row r="594"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</row>
    <row r="595"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</row>
    <row r="596"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</row>
    <row r="597"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</row>
    <row r="598"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</row>
    <row r="599"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</row>
    <row r="600"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</row>
    <row r="601"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</row>
    <row r="602"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</row>
    <row r="603"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</row>
    <row r="604"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</row>
    <row r="605"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</row>
    <row r="606"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</row>
    <row r="607"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</row>
    <row r="608"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</row>
    <row r="609"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</row>
    <row r="610"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</row>
    <row r="611"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</row>
    <row r="612"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</row>
    <row r="613"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</row>
    <row r="614"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</row>
    <row r="615"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</row>
    <row r="616"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</row>
    <row r="617"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</row>
    <row r="618"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</row>
    <row r="619"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</row>
    <row r="620"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</row>
    <row r="621"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</row>
    <row r="622"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</row>
    <row r="623"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</row>
    <row r="624"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</row>
    <row r="625"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</row>
    <row r="626"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</row>
    <row r="627"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</row>
    <row r="628"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</row>
    <row r="629"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</row>
    <row r="630"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</row>
    <row r="631"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</row>
    <row r="632"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</row>
    <row r="633"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</row>
    <row r="634"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</row>
    <row r="635"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</row>
    <row r="636"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</row>
    <row r="637"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</row>
    <row r="638"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</row>
    <row r="639"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</row>
    <row r="640"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</row>
    <row r="641"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</row>
    <row r="642"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</row>
    <row r="643"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</row>
    <row r="644"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</row>
    <row r="645"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</row>
    <row r="646"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</row>
    <row r="647"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</row>
    <row r="648"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</row>
    <row r="649"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</row>
    <row r="650"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</row>
    <row r="651"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</row>
    <row r="652"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</row>
    <row r="653"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</row>
    <row r="654"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</row>
    <row r="655"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</row>
    <row r="656"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</row>
    <row r="657"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</row>
    <row r="658"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</row>
    <row r="659"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</row>
    <row r="660"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</row>
    <row r="661"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</row>
    <row r="662"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</row>
    <row r="663"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</row>
    <row r="664"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</row>
    <row r="665"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</row>
    <row r="666"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</row>
    <row r="667"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</row>
    <row r="668"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</row>
    <row r="669"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</row>
    <row r="670"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</row>
    <row r="671"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</row>
    <row r="672"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</row>
    <row r="673"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</row>
    <row r="674"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</row>
    <row r="675"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</row>
    <row r="676"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</row>
    <row r="677"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</row>
    <row r="678"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</row>
    <row r="679"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</row>
    <row r="680"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</row>
    <row r="681"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</row>
    <row r="682"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</row>
    <row r="683"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</row>
    <row r="684"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</row>
    <row r="685"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</row>
    <row r="686"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</row>
    <row r="687"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</row>
    <row r="688"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</row>
    <row r="689"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</row>
    <row r="690"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</row>
    <row r="691"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</row>
    <row r="692"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</row>
    <row r="693"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</row>
    <row r="694"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</row>
    <row r="695"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</row>
    <row r="696"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</row>
    <row r="697"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</row>
    <row r="698"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</row>
    <row r="699"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</row>
    <row r="700"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</row>
    <row r="701"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</row>
    <row r="702"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</row>
    <row r="703"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</row>
    <row r="704"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</row>
    <row r="705"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</row>
    <row r="706"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</row>
    <row r="707"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</row>
    <row r="708"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</row>
    <row r="709"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</row>
    <row r="710"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</row>
    <row r="711"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</row>
    <row r="712"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</row>
    <row r="713"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</row>
    <row r="714"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</row>
    <row r="715"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</row>
    <row r="716"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</row>
    <row r="717"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</row>
    <row r="718"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</row>
    <row r="719"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</row>
    <row r="720"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</row>
    <row r="721"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</row>
    <row r="722"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</row>
    <row r="723"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</row>
    <row r="724"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</row>
    <row r="725"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</row>
    <row r="726"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</row>
    <row r="727"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</row>
    <row r="728"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</row>
    <row r="729"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</row>
    <row r="730"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</row>
    <row r="731"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</row>
    <row r="732"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</row>
    <row r="733"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</row>
    <row r="734"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</row>
    <row r="735"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</row>
    <row r="736"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</row>
    <row r="737"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</row>
    <row r="738"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</row>
    <row r="739"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</row>
    <row r="740"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</row>
    <row r="741"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</row>
    <row r="742"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</row>
    <row r="743"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</row>
    <row r="744"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</row>
    <row r="745"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</row>
    <row r="746"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</row>
    <row r="747"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</row>
    <row r="748"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</row>
    <row r="749"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</row>
    <row r="750"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</row>
    <row r="751"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</row>
    <row r="752"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</row>
    <row r="753"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</row>
    <row r="754"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</row>
    <row r="755"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</row>
    <row r="756"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</row>
    <row r="757"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</row>
    <row r="758"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</row>
    <row r="759"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</row>
    <row r="760"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</row>
    <row r="761"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</row>
    <row r="762"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</row>
    <row r="763"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</row>
    <row r="764"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</row>
    <row r="765"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</row>
    <row r="766"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</row>
    <row r="767"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</row>
    <row r="768"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</row>
    <row r="769"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</row>
    <row r="770"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</row>
    <row r="771"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</row>
    <row r="772"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</row>
    <row r="773"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</row>
    <row r="774"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</row>
    <row r="775"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</row>
    <row r="776"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</row>
    <row r="777"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</row>
    <row r="778"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</row>
    <row r="779"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</row>
    <row r="780"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</row>
    <row r="781"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</row>
    <row r="782"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</row>
    <row r="783"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</row>
    <row r="784"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</row>
    <row r="785"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</row>
    <row r="786"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</row>
    <row r="787"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</row>
    <row r="788"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</row>
    <row r="789"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</row>
    <row r="790"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</row>
    <row r="791"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</row>
    <row r="792"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</row>
    <row r="793"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</row>
    <row r="794"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</row>
    <row r="795"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</row>
    <row r="796"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</row>
    <row r="797"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</row>
    <row r="798"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</row>
    <row r="799"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</row>
    <row r="800"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</row>
    <row r="801"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</row>
    <row r="802"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</row>
    <row r="803"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</row>
    <row r="804"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</row>
    <row r="805"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</row>
    <row r="806"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</row>
    <row r="807"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</row>
    <row r="808"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</row>
    <row r="809"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</row>
    <row r="810"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</row>
    <row r="811"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</row>
    <row r="812"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</row>
    <row r="813"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</row>
    <row r="814"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</row>
    <row r="815"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</row>
    <row r="816"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</row>
    <row r="817"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</row>
    <row r="818"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</row>
    <row r="819"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</row>
    <row r="820"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</row>
    <row r="821"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</row>
    <row r="822"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</row>
    <row r="823"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</row>
    <row r="824"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</row>
    <row r="825"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</row>
    <row r="826"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</row>
    <row r="827"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</row>
    <row r="828"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</row>
    <row r="829"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</row>
    <row r="830"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</row>
    <row r="831"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</row>
    <row r="832"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</row>
    <row r="833"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</row>
    <row r="834"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</row>
    <row r="835"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</row>
    <row r="836"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</row>
    <row r="837"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</row>
    <row r="838"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</row>
    <row r="839"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</row>
    <row r="840"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</row>
    <row r="841"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</row>
    <row r="842"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</row>
    <row r="843"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</row>
    <row r="844"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</row>
    <row r="845"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</row>
    <row r="846"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</row>
    <row r="847"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</row>
    <row r="848"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</row>
    <row r="849"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</row>
    <row r="850"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</row>
    <row r="851"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</row>
    <row r="852"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</row>
    <row r="853"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</row>
    <row r="854"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</row>
    <row r="855"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</row>
    <row r="856"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</row>
    <row r="857"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</row>
    <row r="858"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</row>
    <row r="859"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</row>
    <row r="860"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</row>
    <row r="861"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</row>
    <row r="862"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</row>
    <row r="863"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</row>
    <row r="864"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</row>
    <row r="865"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</row>
    <row r="866"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</row>
    <row r="867"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</row>
    <row r="868"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</row>
    <row r="869"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</row>
    <row r="870"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</row>
    <row r="871"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</row>
    <row r="872"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</row>
    <row r="873"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</row>
    <row r="874"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</row>
    <row r="875"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</row>
    <row r="876"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</row>
    <row r="877"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</row>
    <row r="878"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</row>
    <row r="879"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</row>
    <row r="880"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</row>
    <row r="881"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</row>
    <row r="882"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</row>
    <row r="883"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</row>
    <row r="884"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</row>
    <row r="885"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</row>
    <row r="886"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</row>
    <row r="887"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</row>
    <row r="888"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</row>
    <row r="889"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</row>
    <row r="890"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</row>
    <row r="891"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</row>
    <row r="892"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</row>
    <row r="893"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</row>
    <row r="894"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</row>
    <row r="895"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</row>
    <row r="896"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</row>
    <row r="897"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</row>
    <row r="898"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</row>
    <row r="899"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</row>
    <row r="900"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</row>
    <row r="901"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</row>
    <row r="902"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</row>
    <row r="903"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</row>
    <row r="904"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</row>
    <row r="905"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</row>
    <row r="906"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</row>
    <row r="907"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</row>
    <row r="908"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</row>
    <row r="909"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</row>
    <row r="910"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</row>
    <row r="911"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</row>
    <row r="912"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</row>
    <row r="913"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</row>
    <row r="914"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</row>
    <row r="915"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</row>
    <row r="916"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</row>
    <row r="917"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</row>
    <row r="918"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</row>
    <row r="919"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</row>
    <row r="920"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</row>
    <row r="921"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</row>
    <row r="922"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</row>
    <row r="923"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</row>
    <row r="924"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</row>
    <row r="925"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</row>
    <row r="926"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</row>
    <row r="927"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</row>
    <row r="928"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</row>
    <row r="929"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</row>
    <row r="930"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</row>
    <row r="931"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</row>
    <row r="932"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</row>
    <row r="933"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</row>
    <row r="934"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</row>
    <row r="935"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</row>
    <row r="936"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</row>
    <row r="937"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</row>
    <row r="938"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</row>
    <row r="939"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</row>
    <row r="940"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</row>
    <row r="941"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</row>
    <row r="942"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</row>
    <row r="943"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</row>
    <row r="944"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</row>
    <row r="945"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</row>
    <row r="946"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</row>
    <row r="947"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</row>
    <row r="948"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</row>
    <row r="949"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</row>
    <row r="950"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</row>
    <row r="951"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</row>
    <row r="952"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</row>
    <row r="953"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</row>
    <row r="954"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</row>
    <row r="955"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</row>
    <row r="956"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</row>
    <row r="957"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</row>
    <row r="958"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</row>
    <row r="959"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</row>
    <row r="960"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</row>
    <row r="961"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</row>
    <row r="962"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</row>
    <row r="963"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</row>
    <row r="964"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</row>
    <row r="965"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</row>
    <row r="966"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</row>
    <row r="967"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</row>
    <row r="968"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</row>
    <row r="969"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</row>
    <row r="970"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</row>
    <row r="971"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</row>
    <row r="972"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</row>
    <row r="973"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</row>
    <row r="974"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</row>
    <row r="975"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</row>
    <row r="976"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</row>
    <row r="977"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</row>
    <row r="978"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</row>
    <row r="979"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</row>
    <row r="980"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</row>
    <row r="981"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</row>
    <row r="982"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</row>
    <row r="983"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</row>
    <row r="984"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</row>
    <row r="985"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</row>
    <row r="986"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</row>
    <row r="987"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</row>
    <row r="988"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</row>
    <row r="989"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</row>
    <row r="990"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</row>
    <row r="991"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</row>
    <row r="992"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</row>
    <row r="993"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</row>
    <row r="994"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</row>
    <row r="995"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</row>
    <row r="996"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</row>
    <row r="997"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</row>
    <row r="998"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</row>
    <row r="999"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</row>
    <row r="1000"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</row>
    <row r="1001"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</row>
    <row r="1002"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</row>
    <row r="1003"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</row>
  </sheetData>
  <mergeCells count="10">
    <mergeCell ref="A33:A46"/>
    <mergeCell ref="A47:A50"/>
    <mergeCell ref="A52:A66"/>
    <mergeCell ref="A1:A2"/>
    <mergeCell ref="B1:B2"/>
    <mergeCell ref="C1:C2"/>
    <mergeCell ref="D1:D2"/>
    <mergeCell ref="A4:A5"/>
    <mergeCell ref="A6:A15"/>
    <mergeCell ref="A16:A32"/>
  </mergeCells>
  <conditionalFormatting sqref="M6:AD6 AG6:AI6 AI84">
    <cfRule type="cellIs" dxfId="0" priority="1" operator="lessThan">
      <formula>"09:00:00"</formula>
    </cfRule>
  </conditionalFormatting>
  <conditionalFormatting sqref="D3:D67 M6:AD6 AG6:AI6 AI84">
    <cfRule type="notContainsText" dxfId="1" priority="2" operator="notContains" text="0">
      <formula>ISERROR(SEARCH(("0"),(D3)))</formula>
    </cfRule>
  </conditionalFormatting>
  <conditionalFormatting sqref="D3:D67">
    <cfRule type="cellIs" dxfId="2" priority="3" operator="greaterThanOrEqual">
      <formula>"08:45:00"</formula>
    </cfRule>
  </conditionalFormatting>
  <conditionalFormatting sqref="D3:D67">
    <cfRule type="cellIs" dxfId="3" priority="4" operator="between">
      <formula>"08:44:00"</formula>
      <formula>"08:00:00"</formula>
    </cfRule>
  </conditionalFormatting>
  <conditionalFormatting sqref="D3:D67 M6:AD6 AG6:AI6 AI84">
    <cfRule type="cellIs" dxfId="4" priority="5" operator="between">
      <formula>"08:00:00"</formula>
      <formula>"07:00:00"</formula>
    </cfRule>
  </conditionalFormatting>
  <conditionalFormatting sqref="D3:D67 M6:AD6 AG6:AI6 AI84">
    <cfRule type="cellIs" dxfId="5" priority="6" operator="between">
      <formula>"07:00:00"</formula>
      <formula>"00:00:01"</formula>
    </cfRule>
  </conditionalFormatting>
  <conditionalFormatting sqref="D3:D67 M6:AD6 AG6:AI6 AI84">
    <cfRule type="containsText" dxfId="6" priority="7" operator="containsText" text="Leave">
      <formula>NOT(ISERROR(SEARCH(("Leave"),(D3))))</formula>
    </cfRule>
  </conditionalFormatting>
  <conditionalFormatting sqref="D3:D67 M6:AD6 AG6:AI6 AI84">
    <cfRule type="notContainsBlanks" dxfId="7" priority="8">
      <formula>LEN(TRIM(D3))&gt;0</formula>
    </cfRule>
  </conditionalFormatting>
  <conditionalFormatting sqref="E3:AI67 AI81:AI145">
    <cfRule type="notContainsText" dxfId="8" priority="9" operator="notContains" text="0">
      <formula>ISERROR(SEARCH(("0"),(E3)))</formula>
    </cfRule>
  </conditionalFormatting>
  <conditionalFormatting sqref="E3:AI67 AI81:AI145">
    <cfRule type="cellIs" dxfId="2" priority="10" operator="greaterThanOrEqual">
      <formula>"08:45:00"</formula>
    </cfRule>
  </conditionalFormatting>
  <conditionalFormatting sqref="E3:AI67 AI81:AI145">
    <cfRule type="cellIs" dxfId="3" priority="11" operator="between">
      <formula>"08:44:00"</formula>
      <formula>"08:00:00"</formula>
    </cfRule>
  </conditionalFormatting>
  <conditionalFormatting sqref="E3:AI67 AI81:AI145">
    <cfRule type="cellIs" dxfId="9" priority="12" operator="between">
      <formula>"07:59:00"</formula>
      <formula>"07:00:00"</formula>
    </cfRule>
  </conditionalFormatting>
  <conditionalFormatting sqref="E3:AI67 AI81:AI145">
    <cfRule type="cellIs" dxfId="5" priority="13" operator="between">
      <formula>"06:59:00"</formula>
      <formula>"00:00:01"</formula>
    </cfRule>
  </conditionalFormatting>
  <conditionalFormatting sqref="E3:AI67 AI81:AI145">
    <cfRule type="notContainsBlanks" dxfId="10" priority="14">
      <formula>LEN(TRIM(E3))&gt;0</formula>
    </cfRule>
  </conditionalFormatting>
  <conditionalFormatting sqref="E3:AI67 AI81:AI145">
    <cfRule type="containsText" dxfId="11" priority="15" operator="containsText" text="Leave">
      <formula>NOT(ISERROR(SEARCH(("Leave"),(E3))))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63"/>
    <col customWidth="1" min="2" max="2" width="21.63"/>
    <col customWidth="1" min="4" max="4" width="15.63"/>
    <col customWidth="1" min="6" max="6" width="14.13"/>
    <col customWidth="1" min="7" max="7" width="15.63"/>
    <col customWidth="1" min="8" max="8" width="12.0"/>
    <col customWidth="1" min="9" max="9" width="9.5"/>
    <col customWidth="1" min="10" max="10" width="8.63"/>
    <col customWidth="1" min="11" max="11" width="11.5"/>
    <col customWidth="1" min="17" max="17" width="4.63"/>
    <col customWidth="1" min="18" max="18" width="22.63"/>
    <col customWidth="1" min="20" max="20" width="8.13"/>
    <col customWidth="1" min="21" max="21" width="12.5"/>
    <col customWidth="1" min="27" max="27" width="10.5"/>
    <col customWidth="1" min="28" max="28" width="7.63"/>
    <col customWidth="1" min="29" max="29" width="8.88"/>
    <col customWidth="1" min="30" max="30" width="8.0"/>
  </cols>
  <sheetData>
    <row r="1" ht="49.5" customHeight="1">
      <c r="A1" s="67"/>
      <c r="B1" s="68"/>
      <c r="C1" s="69" t="s">
        <v>289</v>
      </c>
      <c r="D1" s="68"/>
      <c r="E1" s="68"/>
      <c r="F1" s="68"/>
      <c r="G1" s="68"/>
      <c r="H1" s="68"/>
      <c r="I1" s="68"/>
      <c r="J1" s="68"/>
      <c r="K1" s="70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</row>
    <row r="2">
      <c r="A2" s="72" t="s">
        <v>290</v>
      </c>
      <c r="B2" s="73" t="s">
        <v>2</v>
      </c>
      <c r="C2" s="73" t="s">
        <v>291</v>
      </c>
      <c r="D2" s="72" t="s">
        <v>292</v>
      </c>
      <c r="E2" s="72" t="s">
        <v>293</v>
      </c>
      <c r="F2" s="72" t="s">
        <v>294</v>
      </c>
      <c r="G2" s="74" t="s">
        <v>295</v>
      </c>
      <c r="H2" s="72" t="s">
        <v>296</v>
      </c>
      <c r="I2" s="75" t="s">
        <v>297</v>
      </c>
      <c r="J2" s="75" t="s">
        <v>298</v>
      </c>
      <c r="K2" s="76" t="s">
        <v>299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</row>
    <row r="3">
      <c r="A3" s="77">
        <v>1.0</v>
      </c>
      <c r="B3" s="78" t="s">
        <v>174</v>
      </c>
      <c r="C3" s="79" t="s">
        <v>300</v>
      </c>
      <c r="D3" s="80">
        <v>23.0</v>
      </c>
      <c r="E3" s="81">
        <f t="shared" ref="E3:E67" si="1">D3-K3</f>
        <v>19</v>
      </c>
      <c r="F3" s="80">
        <v>5.0</v>
      </c>
      <c r="G3" s="82">
        <v>19.0</v>
      </c>
      <c r="H3" s="83">
        <v>6.729166666666667</v>
      </c>
      <c r="I3" s="84">
        <v>6.609722222222223</v>
      </c>
      <c r="J3" s="85">
        <f t="shared" ref="J3:J67" si="2">I3-H3</f>
        <v>-0.1194444444</v>
      </c>
      <c r="K3" s="82">
        <v>4.0</v>
      </c>
      <c r="L3" s="65"/>
      <c r="M3" s="65"/>
      <c r="N3" s="65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</row>
    <row r="4">
      <c r="A4" s="79">
        <v>2.0</v>
      </c>
      <c r="B4" s="86" t="s">
        <v>222</v>
      </c>
      <c r="C4" s="79" t="s">
        <v>301</v>
      </c>
      <c r="D4" s="80">
        <v>23.0</v>
      </c>
      <c r="E4" s="81">
        <f t="shared" si="1"/>
        <v>20</v>
      </c>
      <c r="F4" s="80">
        <v>5.0</v>
      </c>
      <c r="G4" s="82">
        <v>3.0</v>
      </c>
      <c r="H4" s="83">
        <v>7.083333333333333</v>
      </c>
      <c r="I4" s="87">
        <v>6.722916666666666</v>
      </c>
      <c r="J4" s="88">
        <f t="shared" si="2"/>
        <v>-0.3604166667</v>
      </c>
      <c r="K4" s="82">
        <v>3.0</v>
      </c>
      <c r="L4" s="65"/>
      <c r="M4" s="65"/>
      <c r="N4" s="65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</row>
    <row r="5">
      <c r="A5" s="79">
        <v>3.0</v>
      </c>
      <c r="B5" s="86" t="s">
        <v>41</v>
      </c>
      <c r="C5" s="79" t="s">
        <v>301</v>
      </c>
      <c r="D5" s="80">
        <v>23.0</v>
      </c>
      <c r="E5" s="81">
        <f t="shared" si="1"/>
        <v>18</v>
      </c>
      <c r="F5" s="80">
        <v>5.0</v>
      </c>
      <c r="G5" s="82">
        <v>3.0</v>
      </c>
      <c r="H5" s="89">
        <v>6.375</v>
      </c>
      <c r="I5" s="84">
        <v>6.372222222222223</v>
      </c>
      <c r="J5" s="88">
        <f t="shared" si="2"/>
        <v>-0.002777777778</v>
      </c>
      <c r="K5" s="82">
        <v>5.0</v>
      </c>
      <c r="L5" s="65"/>
      <c r="M5" s="65"/>
      <c r="N5" s="65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</row>
    <row r="6">
      <c r="A6" s="77">
        <v>4.0</v>
      </c>
      <c r="B6" s="86" t="s">
        <v>234</v>
      </c>
      <c r="C6" s="79" t="s">
        <v>301</v>
      </c>
      <c r="D6" s="80">
        <v>23.0</v>
      </c>
      <c r="E6" s="81">
        <f t="shared" si="1"/>
        <v>23</v>
      </c>
      <c r="F6" s="80">
        <v>5.0</v>
      </c>
      <c r="G6" s="82">
        <v>5.0</v>
      </c>
      <c r="H6" s="89">
        <v>8.145833333333334</v>
      </c>
      <c r="I6" s="84">
        <v>8.260416666666666</v>
      </c>
      <c r="J6" s="85">
        <f t="shared" si="2"/>
        <v>0.1145833333</v>
      </c>
      <c r="K6" s="90">
        <v>0.0</v>
      </c>
      <c r="L6" s="65"/>
      <c r="M6" s="65"/>
      <c r="N6" s="65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</row>
    <row r="7">
      <c r="A7" s="79">
        <v>5.0</v>
      </c>
      <c r="B7" s="91" t="s">
        <v>201</v>
      </c>
      <c r="C7" s="79" t="s">
        <v>300</v>
      </c>
      <c r="D7" s="80">
        <v>23.0</v>
      </c>
      <c r="E7" s="81">
        <f t="shared" si="1"/>
        <v>22</v>
      </c>
      <c r="F7" s="80">
        <v>5.0</v>
      </c>
      <c r="G7" s="82">
        <v>3.0</v>
      </c>
      <c r="H7" s="89">
        <v>7.791666666666667</v>
      </c>
      <c r="I7" s="84">
        <v>7.843750000000003</v>
      </c>
      <c r="J7" s="85">
        <f t="shared" si="2"/>
        <v>0.05208333333</v>
      </c>
      <c r="K7" s="82">
        <v>1.0</v>
      </c>
      <c r="L7" s="65"/>
      <c r="M7" s="65"/>
      <c r="N7" s="65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</row>
    <row r="8">
      <c r="A8" s="92">
        <v>6.0</v>
      </c>
      <c r="B8" s="93" t="s">
        <v>246</v>
      </c>
      <c r="C8" s="79" t="s">
        <v>300</v>
      </c>
      <c r="D8" s="80">
        <v>23.0</v>
      </c>
      <c r="E8" s="81">
        <f t="shared" si="1"/>
        <v>21</v>
      </c>
      <c r="F8" s="80">
        <v>5.0</v>
      </c>
      <c r="G8" s="82">
        <v>3.0</v>
      </c>
      <c r="H8" s="94">
        <v>7.4375</v>
      </c>
      <c r="I8" s="84">
        <v>7.539583333333335</v>
      </c>
      <c r="J8" s="95">
        <f t="shared" si="2"/>
        <v>0.1020833333</v>
      </c>
      <c r="K8" s="82">
        <v>2.0</v>
      </c>
      <c r="L8" s="65"/>
      <c r="M8" s="65"/>
      <c r="N8" s="65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</row>
    <row r="9">
      <c r="A9" s="77">
        <v>7.0</v>
      </c>
      <c r="B9" s="91" t="s">
        <v>231</v>
      </c>
      <c r="C9" s="79" t="s">
        <v>302</v>
      </c>
      <c r="D9" s="80">
        <v>23.0</v>
      </c>
      <c r="E9" s="81">
        <f t="shared" si="1"/>
        <v>22</v>
      </c>
      <c r="F9" s="80">
        <v>5.0</v>
      </c>
      <c r="G9" s="82">
        <v>3.0</v>
      </c>
      <c r="H9" s="89">
        <v>7.791666666666667</v>
      </c>
      <c r="I9" s="84">
        <v>8.575</v>
      </c>
      <c r="J9" s="85">
        <f t="shared" si="2"/>
        <v>0.7833333333</v>
      </c>
      <c r="K9" s="82">
        <v>1.0</v>
      </c>
      <c r="L9" s="65"/>
      <c r="M9" s="65"/>
      <c r="N9" s="65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</row>
    <row r="10">
      <c r="A10" s="77">
        <v>8.0</v>
      </c>
      <c r="B10" s="96" t="s">
        <v>147</v>
      </c>
      <c r="C10" s="79" t="s">
        <v>302</v>
      </c>
      <c r="D10" s="80">
        <v>23.0</v>
      </c>
      <c r="E10" s="81">
        <f t="shared" si="1"/>
        <v>23</v>
      </c>
      <c r="F10" s="80">
        <v>5.0</v>
      </c>
      <c r="G10" s="82">
        <v>0.0</v>
      </c>
      <c r="H10" s="89">
        <v>8.145833333333334</v>
      </c>
      <c r="I10" s="84">
        <v>8.60763888888889</v>
      </c>
      <c r="J10" s="85">
        <f t="shared" si="2"/>
        <v>0.4618055556</v>
      </c>
      <c r="K10" s="90">
        <v>0.0</v>
      </c>
      <c r="L10" s="65"/>
      <c r="M10" s="65"/>
      <c r="N10" s="65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</row>
    <row r="11">
      <c r="A11" s="79">
        <v>9.0</v>
      </c>
      <c r="B11" s="91" t="s">
        <v>177</v>
      </c>
      <c r="C11" s="79" t="s">
        <v>302</v>
      </c>
      <c r="D11" s="80">
        <v>23.0</v>
      </c>
      <c r="E11" s="81">
        <f t="shared" si="1"/>
        <v>23</v>
      </c>
      <c r="F11" s="80">
        <v>5.0</v>
      </c>
      <c r="G11" s="82">
        <v>5.0</v>
      </c>
      <c r="H11" s="89">
        <v>8.145833333333334</v>
      </c>
      <c r="I11" s="84">
        <v>8.465972222222222</v>
      </c>
      <c r="J11" s="88">
        <f t="shared" si="2"/>
        <v>0.3201388889</v>
      </c>
      <c r="K11" s="97">
        <v>0.0</v>
      </c>
      <c r="L11" s="65"/>
      <c r="M11" s="65"/>
      <c r="N11" s="65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</row>
    <row r="12">
      <c r="A12" s="79">
        <v>10.0</v>
      </c>
      <c r="B12" s="98" t="s">
        <v>216</v>
      </c>
      <c r="C12" s="79" t="s">
        <v>302</v>
      </c>
      <c r="D12" s="80">
        <v>23.0</v>
      </c>
      <c r="E12" s="81">
        <f t="shared" si="1"/>
        <v>22</v>
      </c>
      <c r="F12" s="80">
        <v>5.0</v>
      </c>
      <c r="G12" s="82">
        <v>4.0</v>
      </c>
      <c r="H12" s="89">
        <v>7.791666666666667</v>
      </c>
      <c r="I12" s="84">
        <v>8.140972222222222</v>
      </c>
      <c r="J12" s="85">
        <f t="shared" si="2"/>
        <v>0.3493055556</v>
      </c>
      <c r="K12" s="82">
        <v>1.0</v>
      </c>
      <c r="L12" s="65"/>
      <c r="M12" s="65"/>
      <c r="N12" s="65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</row>
    <row r="13">
      <c r="A13" s="77">
        <v>11.0</v>
      </c>
      <c r="B13" s="99" t="s">
        <v>138</v>
      </c>
      <c r="C13" s="79" t="s">
        <v>302</v>
      </c>
      <c r="D13" s="80">
        <v>23.0</v>
      </c>
      <c r="E13" s="81">
        <f t="shared" si="1"/>
        <v>21</v>
      </c>
      <c r="F13" s="80">
        <v>5.0</v>
      </c>
      <c r="G13" s="82">
        <v>7.0</v>
      </c>
      <c r="H13" s="89">
        <v>7.0</v>
      </c>
      <c r="I13" s="84">
        <v>7.136111111111109</v>
      </c>
      <c r="J13" s="85">
        <f t="shared" si="2"/>
        <v>0.1361111111</v>
      </c>
      <c r="K13" s="82">
        <v>2.0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</row>
    <row r="14">
      <c r="A14" s="77">
        <v>12.0</v>
      </c>
      <c r="B14" s="93" t="s">
        <v>228</v>
      </c>
      <c r="C14" s="79" t="s">
        <v>301</v>
      </c>
      <c r="D14" s="80">
        <v>23.0</v>
      </c>
      <c r="E14" s="81">
        <f t="shared" si="1"/>
        <v>22</v>
      </c>
      <c r="F14" s="80">
        <v>5.0</v>
      </c>
      <c r="G14" s="82">
        <v>6.0</v>
      </c>
      <c r="H14" s="89">
        <v>7.333333333333333</v>
      </c>
      <c r="I14" s="84">
        <v>7.3673611111111095</v>
      </c>
      <c r="J14" s="85">
        <f t="shared" si="2"/>
        <v>0.03402777778</v>
      </c>
      <c r="K14" s="82">
        <v>1.0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</row>
    <row r="15">
      <c r="A15" s="79">
        <v>13.0</v>
      </c>
      <c r="B15" s="93" t="s">
        <v>273</v>
      </c>
      <c r="C15" s="79" t="s">
        <v>303</v>
      </c>
      <c r="D15" s="80">
        <v>23.0</v>
      </c>
      <c r="E15" s="81">
        <f t="shared" si="1"/>
        <v>22</v>
      </c>
      <c r="F15" s="80">
        <v>5.0</v>
      </c>
      <c r="G15" s="82">
        <v>3.0</v>
      </c>
      <c r="H15" s="89">
        <v>7.333333333333333</v>
      </c>
      <c r="I15" s="84">
        <v>7.574305555555554</v>
      </c>
      <c r="J15" s="85">
        <f t="shared" si="2"/>
        <v>0.2409722222</v>
      </c>
      <c r="K15" s="82">
        <v>1.0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</row>
    <row r="16">
      <c r="A16" s="92">
        <v>14.0</v>
      </c>
      <c r="B16" s="93" t="s">
        <v>213</v>
      </c>
      <c r="C16" s="79" t="s">
        <v>304</v>
      </c>
      <c r="D16" s="80">
        <v>23.0</v>
      </c>
      <c r="E16" s="81">
        <f t="shared" si="1"/>
        <v>22</v>
      </c>
      <c r="F16" s="80">
        <v>5.0</v>
      </c>
      <c r="G16" s="82">
        <v>6.0</v>
      </c>
      <c r="H16" s="94">
        <v>7.791666666666667</v>
      </c>
      <c r="I16" s="84">
        <v>8.18888888888889</v>
      </c>
      <c r="J16" s="85">
        <f t="shared" si="2"/>
        <v>0.3972222222</v>
      </c>
      <c r="K16" s="82">
        <v>1.0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</row>
    <row r="17">
      <c r="A17" s="79">
        <v>15.0</v>
      </c>
      <c r="B17" s="100" t="s">
        <v>54</v>
      </c>
      <c r="C17" s="79" t="s">
        <v>304</v>
      </c>
      <c r="D17" s="80">
        <v>23.0</v>
      </c>
      <c r="E17" s="81">
        <f t="shared" si="1"/>
        <v>22</v>
      </c>
      <c r="F17" s="80">
        <v>5.0</v>
      </c>
      <c r="G17" s="82">
        <v>5.0</v>
      </c>
      <c r="H17" s="94">
        <v>7.791666666666667</v>
      </c>
      <c r="I17" s="84">
        <v>8.108333333333333</v>
      </c>
      <c r="J17" s="88">
        <f t="shared" si="2"/>
        <v>0.3166666667</v>
      </c>
      <c r="K17" s="82">
        <v>1.0</v>
      </c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</row>
    <row r="18">
      <c r="A18" s="79">
        <v>16.0</v>
      </c>
      <c r="B18" s="100" t="s">
        <v>159</v>
      </c>
      <c r="C18" s="79" t="s">
        <v>301</v>
      </c>
      <c r="D18" s="80">
        <v>23.0</v>
      </c>
      <c r="E18" s="81">
        <f t="shared" si="1"/>
        <v>23</v>
      </c>
      <c r="F18" s="80">
        <v>5.0</v>
      </c>
      <c r="G18" s="82">
        <v>23.0</v>
      </c>
      <c r="H18" s="89">
        <v>8.145833333333334</v>
      </c>
      <c r="I18" s="84">
        <v>8.145833333333336</v>
      </c>
      <c r="J18" s="85">
        <f t="shared" si="2"/>
        <v>0</v>
      </c>
      <c r="K18" s="90">
        <v>0.0</v>
      </c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</row>
    <row r="19">
      <c r="A19" s="79">
        <v>17.0</v>
      </c>
      <c r="B19" s="93" t="s">
        <v>156</v>
      </c>
      <c r="C19" s="79" t="s">
        <v>301</v>
      </c>
      <c r="D19" s="80">
        <v>23.0</v>
      </c>
      <c r="E19" s="81">
        <f t="shared" si="1"/>
        <v>22</v>
      </c>
      <c r="F19" s="80">
        <v>5.0</v>
      </c>
      <c r="G19" s="82">
        <v>5.0</v>
      </c>
      <c r="H19" s="94">
        <v>7.791666666666667</v>
      </c>
      <c r="I19" s="84">
        <v>8.407638888888888</v>
      </c>
      <c r="J19" s="88">
        <f t="shared" si="2"/>
        <v>0.6159722222</v>
      </c>
      <c r="K19" s="82">
        <v>1.0</v>
      </c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</row>
    <row r="20">
      <c r="A20" s="79">
        <v>18.0</v>
      </c>
      <c r="B20" s="101" t="s">
        <v>275</v>
      </c>
      <c r="C20" s="79" t="s">
        <v>301</v>
      </c>
      <c r="D20" s="80">
        <v>23.0</v>
      </c>
      <c r="E20" s="81">
        <f t="shared" si="1"/>
        <v>22</v>
      </c>
      <c r="F20" s="80">
        <v>5.0</v>
      </c>
      <c r="G20" s="82">
        <v>2.0</v>
      </c>
      <c r="H20" s="94">
        <v>7.333333333333333</v>
      </c>
      <c r="I20" s="84">
        <v>7.986111111111111</v>
      </c>
      <c r="J20" s="85">
        <f t="shared" si="2"/>
        <v>0.6527777778</v>
      </c>
      <c r="K20" s="82">
        <v>1.0</v>
      </c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</row>
    <row r="21">
      <c r="A21" s="79">
        <v>19.0</v>
      </c>
      <c r="B21" s="86" t="s">
        <v>57</v>
      </c>
      <c r="C21" s="79" t="s">
        <v>303</v>
      </c>
      <c r="D21" s="80">
        <v>23.0</v>
      </c>
      <c r="E21" s="81">
        <f t="shared" si="1"/>
        <v>13</v>
      </c>
      <c r="F21" s="80">
        <v>5.0</v>
      </c>
      <c r="G21" s="82">
        <v>2.0</v>
      </c>
      <c r="H21" s="89">
        <v>4.604166666666667</v>
      </c>
      <c r="I21" s="84">
        <v>4.784722222222223</v>
      </c>
      <c r="J21" s="88">
        <f t="shared" si="2"/>
        <v>0.1805555556</v>
      </c>
      <c r="K21" s="82">
        <v>10.0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</row>
    <row r="22">
      <c r="A22" s="79">
        <v>20.0</v>
      </c>
      <c r="B22" s="93" t="s">
        <v>51</v>
      </c>
      <c r="C22" s="79" t="s">
        <v>302</v>
      </c>
      <c r="D22" s="80">
        <v>23.0</v>
      </c>
      <c r="E22" s="81">
        <f t="shared" si="1"/>
        <v>22</v>
      </c>
      <c r="F22" s="80">
        <v>5.0</v>
      </c>
      <c r="G22" s="82">
        <v>5.0</v>
      </c>
      <c r="H22" s="89">
        <v>7.791666666666667</v>
      </c>
      <c r="I22" s="84">
        <v>8.30486111111111</v>
      </c>
      <c r="J22" s="85">
        <f t="shared" si="2"/>
        <v>0.5131944444</v>
      </c>
      <c r="K22" s="82">
        <v>1.0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</row>
    <row r="23">
      <c r="A23" s="79">
        <v>21.0</v>
      </c>
      <c r="B23" s="91" t="s">
        <v>78</v>
      </c>
      <c r="C23" s="79" t="s">
        <v>303</v>
      </c>
      <c r="D23" s="80">
        <v>23.0</v>
      </c>
      <c r="E23" s="81">
        <f t="shared" si="1"/>
        <v>23</v>
      </c>
      <c r="F23" s="80">
        <v>5.0</v>
      </c>
      <c r="G23" s="82">
        <v>6.0</v>
      </c>
      <c r="H23" s="89">
        <v>7.666666666666667</v>
      </c>
      <c r="I23" s="84">
        <v>8.266666666666666</v>
      </c>
      <c r="J23" s="85">
        <f t="shared" si="2"/>
        <v>0.6</v>
      </c>
      <c r="K23" s="97">
        <v>0.0</v>
      </c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</row>
    <row r="24">
      <c r="A24" s="79">
        <v>22.0</v>
      </c>
      <c r="B24" s="100" t="s">
        <v>132</v>
      </c>
      <c r="C24" s="79" t="s">
        <v>303</v>
      </c>
      <c r="D24" s="80">
        <v>23.0</v>
      </c>
      <c r="E24" s="81">
        <f t="shared" si="1"/>
        <v>22</v>
      </c>
      <c r="F24" s="80">
        <v>5.0</v>
      </c>
      <c r="G24" s="82">
        <v>4.0</v>
      </c>
      <c r="H24" s="89">
        <v>7.333333333333333</v>
      </c>
      <c r="I24" s="84">
        <v>9.152083333333332</v>
      </c>
      <c r="J24" s="85">
        <f t="shared" si="2"/>
        <v>1.81875</v>
      </c>
      <c r="K24" s="82">
        <v>1.0</v>
      </c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</row>
    <row r="25">
      <c r="A25" s="79">
        <v>23.0</v>
      </c>
      <c r="B25" s="86" t="s">
        <v>87</v>
      </c>
      <c r="C25" s="79" t="s">
        <v>303</v>
      </c>
      <c r="D25" s="80">
        <v>23.0</v>
      </c>
      <c r="E25" s="81">
        <f t="shared" si="1"/>
        <v>23</v>
      </c>
      <c r="F25" s="80">
        <v>5.0</v>
      </c>
      <c r="G25" s="82">
        <v>5.0</v>
      </c>
      <c r="H25" s="89">
        <v>7.666666666666667</v>
      </c>
      <c r="I25" s="84">
        <v>8.869444444444445</v>
      </c>
      <c r="J25" s="85">
        <f t="shared" si="2"/>
        <v>1.202777778</v>
      </c>
      <c r="K25" s="90">
        <v>0.0</v>
      </c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</row>
    <row r="26">
      <c r="A26" s="79">
        <v>24.0</v>
      </c>
      <c r="B26" s="91" t="s">
        <v>99</v>
      </c>
      <c r="C26" s="79" t="s">
        <v>303</v>
      </c>
      <c r="D26" s="80">
        <v>23.0</v>
      </c>
      <c r="E26" s="81">
        <f t="shared" si="1"/>
        <v>22</v>
      </c>
      <c r="F26" s="80">
        <v>5.0</v>
      </c>
      <c r="G26" s="82">
        <v>5.0</v>
      </c>
      <c r="H26" s="89">
        <v>7.333333333333333</v>
      </c>
      <c r="I26" s="84">
        <v>8.172222222222222</v>
      </c>
      <c r="J26" s="85">
        <f t="shared" si="2"/>
        <v>0.8388888889</v>
      </c>
      <c r="K26" s="82">
        <v>1.0</v>
      </c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</row>
    <row r="27">
      <c r="A27" s="79">
        <v>25.0</v>
      </c>
      <c r="B27" s="91" t="s">
        <v>93</v>
      </c>
      <c r="C27" s="79" t="s">
        <v>305</v>
      </c>
      <c r="D27" s="80">
        <v>23.0</v>
      </c>
      <c r="E27" s="81">
        <f t="shared" si="1"/>
        <v>23</v>
      </c>
      <c r="F27" s="80">
        <v>5.0</v>
      </c>
      <c r="G27" s="82">
        <v>4.0</v>
      </c>
      <c r="H27" s="89">
        <v>7.666666666666667</v>
      </c>
      <c r="I27" s="84">
        <v>9.431249999999999</v>
      </c>
      <c r="J27" s="85">
        <f t="shared" si="2"/>
        <v>1.764583333</v>
      </c>
      <c r="K27" s="90">
        <v>0.0</v>
      </c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</row>
    <row r="28">
      <c r="A28" s="79">
        <v>26.0</v>
      </c>
      <c r="B28" s="100" t="s">
        <v>135</v>
      </c>
      <c r="C28" s="79" t="s">
        <v>303</v>
      </c>
      <c r="D28" s="80">
        <v>23.0</v>
      </c>
      <c r="E28" s="81">
        <f t="shared" si="1"/>
        <v>22</v>
      </c>
      <c r="F28" s="80">
        <v>5.0</v>
      </c>
      <c r="G28" s="82">
        <v>4.0</v>
      </c>
      <c r="H28" s="89">
        <v>7.333333333333333</v>
      </c>
      <c r="I28" s="84">
        <v>8.490277777777779</v>
      </c>
      <c r="J28" s="85">
        <f t="shared" si="2"/>
        <v>1.156944444</v>
      </c>
      <c r="K28" s="82">
        <v>1.0</v>
      </c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</row>
    <row r="29">
      <c r="A29" s="79">
        <v>27.0</v>
      </c>
      <c r="B29" s="86" t="s">
        <v>183</v>
      </c>
      <c r="C29" s="79" t="s">
        <v>303</v>
      </c>
      <c r="D29" s="80">
        <v>23.0</v>
      </c>
      <c r="E29" s="81">
        <f t="shared" si="1"/>
        <v>22</v>
      </c>
      <c r="F29" s="80">
        <v>5.0</v>
      </c>
      <c r="G29" s="82">
        <v>5.0</v>
      </c>
      <c r="H29" s="89">
        <v>7.333333333333333</v>
      </c>
      <c r="I29" s="84">
        <v>8.465277777777777</v>
      </c>
      <c r="J29" s="85">
        <f t="shared" si="2"/>
        <v>1.131944444</v>
      </c>
      <c r="K29" s="82">
        <v>1.0</v>
      </c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</row>
    <row r="30">
      <c r="A30" s="79">
        <v>28.0</v>
      </c>
      <c r="B30" s="91" t="s">
        <v>186</v>
      </c>
      <c r="C30" s="79" t="s">
        <v>303</v>
      </c>
      <c r="D30" s="80">
        <v>23.0</v>
      </c>
      <c r="E30" s="81">
        <f t="shared" si="1"/>
        <v>23</v>
      </c>
      <c r="F30" s="80">
        <v>5.0</v>
      </c>
      <c r="G30" s="82">
        <v>17.0</v>
      </c>
      <c r="H30" s="89">
        <v>7.666666666666667</v>
      </c>
      <c r="I30" s="84">
        <v>7.402083333333333</v>
      </c>
      <c r="J30" s="85">
        <f t="shared" si="2"/>
        <v>-0.2645833333</v>
      </c>
      <c r="K30" s="97">
        <v>0.0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</row>
    <row r="31">
      <c r="A31" s="79">
        <v>29.0</v>
      </c>
      <c r="B31" s="86" t="s">
        <v>141</v>
      </c>
      <c r="C31" s="79" t="s">
        <v>303</v>
      </c>
      <c r="D31" s="80">
        <v>23.0</v>
      </c>
      <c r="E31" s="81">
        <f t="shared" si="1"/>
        <v>22</v>
      </c>
      <c r="F31" s="80">
        <v>5.0</v>
      </c>
      <c r="G31" s="82">
        <v>5.0</v>
      </c>
      <c r="H31" s="89">
        <v>7.333333333333333</v>
      </c>
      <c r="I31" s="84">
        <v>8.246527777777779</v>
      </c>
      <c r="J31" s="85">
        <f t="shared" si="2"/>
        <v>0.9131944444</v>
      </c>
      <c r="K31" s="82">
        <v>1.0</v>
      </c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</row>
    <row r="32">
      <c r="A32" s="79">
        <v>30.0</v>
      </c>
      <c r="B32" s="86" t="s">
        <v>207</v>
      </c>
      <c r="C32" s="79" t="s">
        <v>300</v>
      </c>
      <c r="D32" s="80">
        <v>23.0</v>
      </c>
      <c r="E32" s="81">
        <f t="shared" si="1"/>
        <v>18</v>
      </c>
      <c r="F32" s="80">
        <v>5.0</v>
      </c>
      <c r="G32" s="82">
        <v>8.0</v>
      </c>
      <c r="H32" s="89">
        <v>6.0</v>
      </c>
      <c r="I32" s="84">
        <v>6.0888888888888895</v>
      </c>
      <c r="J32" s="85">
        <f t="shared" si="2"/>
        <v>0.08888888889</v>
      </c>
      <c r="K32" s="82">
        <v>5.0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</row>
    <row r="33">
      <c r="A33" s="79">
        <v>31.0</v>
      </c>
      <c r="B33" s="86" t="s">
        <v>60</v>
      </c>
      <c r="C33" s="79" t="s">
        <v>303</v>
      </c>
      <c r="D33" s="80">
        <v>23.0</v>
      </c>
      <c r="E33" s="81">
        <f t="shared" si="1"/>
        <v>17</v>
      </c>
      <c r="F33" s="80">
        <v>5.0</v>
      </c>
      <c r="G33" s="82">
        <v>1.0</v>
      </c>
      <c r="H33" s="89">
        <v>6.020833333333333</v>
      </c>
      <c r="I33" s="84">
        <v>5.7541666666666655</v>
      </c>
      <c r="J33" s="85">
        <f t="shared" si="2"/>
        <v>-0.2666666667</v>
      </c>
      <c r="K33" s="82">
        <v>6.0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</row>
    <row r="34">
      <c r="A34" s="79">
        <v>32.0</v>
      </c>
      <c r="B34" s="86" t="s">
        <v>249</v>
      </c>
      <c r="C34" s="79" t="s">
        <v>302</v>
      </c>
      <c r="D34" s="80">
        <v>23.0</v>
      </c>
      <c r="E34" s="81">
        <f t="shared" si="1"/>
        <v>23</v>
      </c>
      <c r="F34" s="80">
        <v>5.0</v>
      </c>
      <c r="G34" s="82">
        <v>0.0</v>
      </c>
      <c r="H34" s="83">
        <v>4.604166666666667</v>
      </c>
      <c r="I34" s="84">
        <v>3.9395833333333328</v>
      </c>
      <c r="J34" s="85">
        <f t="shared" si="2"/>
        <v>-0.6645833333</v>
      </c>
      <c r="K34" s="97">
        <v>0.0</v>
      </c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</row>
    <row r="35">
      <c r="A35" s="79">
        <v>33.0</v>
      </c>
      <c r="B35" s="100" t="s">
        <v>20</v>
      </c>
      <c r="C35" s="79" t="s">
        <v>301</v>
      </c>
      <c r="D35" s="80">
        <v>23.0</v>
      </c>
      <c r="E35" s="81">
        <f t="shared" si="1"/>
        <v>23</v>
      </c>
      <c r="F35" s="80">
        <v>5.0</v>
      </c>
      <c r="G35" s="82">
        <v>3.0</v>
      </c>
      <c r="H35" s="89">
        <v>8.145833333333334</v>
      </c>
      <c r="I35" s="84">
        <v>8.277083333333334</v>
      </c>
      <c r="J35" s="88">
        <f t="shared" si="2"/>
        <v>0.13125</v>
      </c>
      <c r="K35" s="97">
        <v>0.0</v>
      </c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</row>
    <row r="36">
      <c r="A36" s="92">
        <v>34.0</v>
      </c>
      <c r="B36" s="86" t="s">
        <v>72</v>
      </c>
      <c r="C36" s="79" t="s">
        <v>300</v>
      </c>
      <c r="D36" s="80">
        <v>23.0</v>
      </c>
      <c r="E36" s="81">
        <f t="shared" si="1"/>
        <v>23</v>
      </c>
      <c r="F36" s="80">
        <v>5.0</v>
      </c>
      <c r="G36" s="82">
        <v>3.0</v>
      </c>
      <c r="H36" s="94">
        <v>8.145833333333334</v>
      </c>
      <c r="I36" s="84">
        <v>8.913194444444443</v>
      </c>
      <c r="J36" s="95">
        <f t="shared" si="2"/>
        <v>0.7673611111</v>
      </c>
      <c r="K36" s="97">
        <v>0.0</v>
      </c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</row>
    <row r="37">
      <c r="A37" s="102">
        <v>35.0</v>
      </c>
      <c r="B37" s="103" t="s">
        <v>168</v>
      </c>
      <c r="C37" s="102" t="s">
        <v>300</v>
      </c>
      <c r="D37" s="104">
        <v>23.0</v>
      </c>
      <c r="E37" s="102">
        <f t="shared" si="1"/>
        <v>23</v>
      </c>
      <c r="F37" s="104">
        <v>5.0</v>
      </c>
      <c r="G37" s="104">
        <v>0.0</v>
      </c>
      <c r="H37" s="94">
        <v>8.1875</v>
      </c>
      <c r="I37" s="105">
        <v>8.131249999999998</v>
      </c>
      <c r="J37" s="105">
        <f t="shared" si="2"/>
        <v>-0.05625</v>
      </c>
      <c r="K37" s="104">
        <v>0.0</v>
      </c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</row>
    <row r="38">
      <c r="A38" s="79">
        <v>36.0</v>
      </c>
      <c r="B38" s="100" t="s">
        <v>204</v>
      </c>
      <c r="C38" s="79" t="s">
        <v>300</v>
      </c>
      <c r="D38" s="80">
        <v>23.0</v>
      </c>
      <c r="E38" s="81">
        <f t="shared" si="1"/>
        <v>22</v>
      </c>
      <c r="F38" s="80">
        <v>5.0</v>
      </c>
      <c r="G38" s="82">
        <v>2.0</v>
      </c>
      <c r="H38" s="89">
        <v>7.791666666666667</v>
      </c>
      <c r="I38" s="84">
        <v>7.885416666666665</v>
      </c>
      <c r="J38" s="85">
        <f t="shared" si="2"/>
        <v>0.09375</v>
      </c>
      <c r="K38" s="82">
        <v>1.0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</row>
    <row r="39">
      <c r="A39" s="79">
        <v>37.0</v>
      </c>
      <c r="B39" s="100" t="s">
        <v>48</v>
      </c>
      <c r="C39" s="79" t="s">
        <v>300</v>
      </c>
      <c r="D39" s="80">
        <v>23.0</v>
      </c>
      <c r="E39" s="81">
        <f t="shared" si="1"/>
        <v>23</v>
      </c>
      <c r="F39" s="80">
        <v>5.0</v>
      </c>
      <c r="G39" s="82">
        <v>3.0</v>
      </c>
      <c r="H39" s="89">
        <v>8.145833333333334</v>
      </c>
      <c r="I39" s="84">
        <v>8.956944444444447</v>
      </c>
      <c r="J39" s="88">
        <f t="shared" si="2"/>
        <v>0.8111111111</v>
      </c>
      <c r="K39" s="97">
        <v>0.0</v>
      </c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</row>
    <row r="40">
      <c r="A40" s="79">
        <v>38.0</v>
      </c>
      <c r="B40" s="91" t="s">
        <v>279</v>
      </c>
      <c r="C40" s="79" t="s">
        <v>300</v>
      </c>
      <c r="D40" s="80">
        <v>23.0</v>
      </c>
      <c r="E40" s="81">
        <f t="shared" si="1"/>
        <v>23</v>
      </c>
      <c r="F40" s="80">
        <v>5.0</v>
      </c>
      <c r="G40" s="82">
        <v>5.0</v>
      </c>
      <c r="H40" s="89">
        <v>8.145833333333334</v>
      </c>
      <c r="I40" s="84">
        <v>8.354166666666666</v>
      </c>
      <c r="J40" s="85">
        <f t="shared" si="2"/>
        <v>0.2083333333</v>
      </c>
      <c r="K40" s="97">
        <v>0.0</v>
      </c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</row>
    <row r="41">
      <c r="A41" s="79">
        <v>39.0</v>
      </c>
      <c r="B41" s="86" t="s">
        <v>14</v>
      </c>
      <c r="C41" s="79" t="s">
        <v>300</v>
      </c>
      <c r="D41" s="80">
        <v>23.0</v>
      </c>
      <c r="E41" s="81">
        <f t="shared" si="1"/>
        <v>22</v>
      </c>
      <c r="F41" s="80">
        <v>5.0</v>
      </c>
      <c r="G41" s="82">
        <v>4.0</v>
      </c>
      <c r="H41" s="89">
        <v>7.333333333333333</v>
      </c>
      <c r="I41" s="84">
        <v>8.468055555555555</v>
      </c>
      <c r="J41" s="85">
        <f t="shared" si="2"/>
        <v>1.134722222</v>
      </c>
      <c r="K41" s="82">
        <v>1.0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</row>
    <row r="42">
      <c r="A42" s="79">
        <v>40.0</v>
      </c>
      <c r="B42" s="107" t="s">
        <v>81</v>
      </c>
      <c r="C42" s="79" t="s">
        <v>300</v>
      </c>
      <c r="D42" s="80">
        <v>23.0</v>
      </c>
      <c r="E42" s="81">
        <f t="shared" si="1"/>
        <v>22</v>
      </c>
      <c r="F42" s="80">
        <v>5.0</v>
      </c>
      <c r="G42" s="82">
        <v>2.0</v>
      </c>
      <c r="H42" s="89">
        <v>7.791666666666667</v>
      </c>
      <c r="I42" s="84">
        <v>8.686111111111112</v>
      </c>
      <c r="J42" s="85">
        <f t="shared" si="2"/>
        <v>0.8944444444</v>
      </c>
      <c r="K42" s="82">
        <v>1.0</v>
      </c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</row>
    <row r="43">
      <c r="A43" s="79">
        <v>41.0</v>
      </c>
      <c r="B43" s="100" t="s">
        <v>153</v>
      </c>
      <c r="C43" s="79" t="s">
        <v>300</v>
      </c>
      <c r="D43" s="80">
        <v>23.0</v>
      </c>
      <c r="E43" s="81">
        <f t="shared" si="1"/>
        <v>22</v>
      </c>
      <c r="F43" s="80">
        <v>5.0</v>
      </c>
      <c r="G43" s="82">
        <v>5.0</v>
      </c>
      <c r="H43" s="89">
        <v>7.791666666666667</v>
      </c>
      <c r="I43" s="84">
        <v>8.061805555555555</v>
      </c>
      <c r="J43" s="85">
        <f t="shared" si="2"/>
        <v>0.2701388889</v>
      </c>
      <c r="K43" s="82">
        <v>1.0</v>
      </c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</row>
    <row r="44">
      <c r="A44" s="79">
        <v>42.0</v>
      </c>
      <c r="B44" s="91" t="s">
        <v>198</v>
      </c>
      <c r="C44" s="79" t="s">
        <v>301</v>
      </c>
      <c r="D44" s="80">
        <v>23.0</v>
      </c>
      <c r="E44" s="81">
        <f t="shared" si="1"/>
        <v>21</v>
      </c>
      <c r="F44" s="80">
        <v>5.0</v>
      </c>
      <c r="G44" s="82">
        <v>7.0</v>
      </c>
      <c r="H44" s="89">
        <v>7.4375</v>
      </c>
      <c r="I44" s="84">
        <v>7.868750000000001</v>
      </c>
      <c r="J44" s="85">
        <f t="shared" si="2"/>
        <v>0.43125</v>
      </c>
      <c r="K44" s="82">
        <v>2.0</v>
      </c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</row>
    <row r="45">
      <c r="A45" s="79">
        <v>43.0</v>
      </c>
      <c r="B45" s="86" t="s">
        <v>105</v>
      </c>
      <c r="C45" s="79" t="s">
        <v>301</v>
      </c>
      <c r="D45" s="80">
        <v>23.0</v>
      </c>
      <c r="E45" s="81">
        <f t="shared" si="1"/>
        <v>23</v>
      </c>
      <c r="F45" s="80">
        <v>5.0</v>
      </c>
      <c r="G45" s="82">
        <v>1.0</v>
      </c>
      <c r="H45" s="89">
        <v>7.666666666666667</v>
      </c>
      <c r="I45" s="84">
        <v>7.642361111111111</v>
      </c>
      <c r="J45" s="85">
        <f t="shared" si="2"/>
        <v>-0.02430555556</v>
      </c>
      <c r="K45" s="97">
        <v>0.0</v>
      </c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</row>
    <row r="46">
      <c r="A46" s="79">
        <v>44.0</v>
      </c>
      <c r="B46" s="107" t="s">
        <v>29</v>
      </c>
      <c r="C46" s="79" t="s">
        <v>301</v>
      </c>
      <c r="D46" s="80">
        <v>23.0</v>
      </c>
      <c r="E46" s="81">
        <f t="shared" si="1"/>
        <v>23</v>
      </c>
      <c r="F46" s="80">
        <v>5.0</v>
      </c>
      <c r="G46" s="82">
        <v>13.0</v>
      </c>
      <c r="H46" s="89">
        <v>7.666666666666667</v>
      </c>
      <c r="I46" s="84">
        <v>7.466666666666665</v>
      </c>
      <c r="J46" s="85">
        <f t="shared" si="2"/>
        <v>-0.2</v>
      </c>
      <c r="K46" s="97">
        <v>0.0</v>
      </c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</row>
    <row r="47">
      <c r="A47" s="79">
        <v>45.0</v>
      </c>
      <c r="B47" s="86" t="s">
        <v>26</v>
      </c>
      <c r="C47" s="79" t="s">
        <v>305</v>
      </c>
      <c r="D47" s="80">
        <v>23.0</v>
      </c>
      <c r="E47" s="81">
        <f t="shared" si="1"/>
        <v>23</v>
      </c>
      <c r="F47" s="80">
        <v>5.0</v>
      </c>
      <c r="G47" s="82">
        <v>5.0</v>
      </c>
      <c r="H47" s="89">
        <v>8.145833333333334</v>
      </c>
      <c r="I47" s="84">
        <v>10.972916666666665</v>
      </c>
      <c r="J47" s="85">
        <f t="shared" si="2"/>
        <v>2.827083333</v>
      </c>
      <c r="K47" s="97">
        <v>0.0</v>
      </c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</row>
    <row r="48">
      <c r="A48" s="79">
        <v>46.0</v>
      </c>
      <c r="B48" s="86" t="s">
        <v>23</v>
      </c>
      <c r="C48" s="79" t="s">
        <v>301</v>
      </c>
      <c r="D48" s="80">
        <v>23.0</v>
      </c>
      <c r="E48" s="81">
        <f t="shared" si="1"/>
        <v>20</v>
      </c>
      <c r="F48" s="80">
        <v>5.0</v>
      </c>
      <c r="G48" s="82">
        <v>5.0</v>
      </c>
      <c r="H48" s="89">
        <v>6.666666666666667</v>
      </c>
      <c r="I48" s="84">
        <v>6.031944444444443</v>
      </c>
      <c r="J48" s="85">
        <f t="shared" si="2"/>
        <v>-0.6347222222</v>
      </c>
      <c r="K48" s="82">
        <v>3.0</v>
      </c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</row>
    <row r="49">
      <c r="A49" s="79">
        <v>47.0</v>
      </c>
      <c r="B49" s="107" t="s">
        <v>17</v>
      </c>
      <c r="C49" s="79" t="s">
        <v>300</v>
      </c>
      <c r="D49" s="80">
        <v>23.0</v>
      </c>
      <c r="E49" s="81">
        <f t="shared" si="1"/>
        <v>23</v>
      </c>
      <c r="F49" s="80">
        <v>5.0</v>
      </c>
      <c r="G49" s="82">
        <v>2.0</v>
      </c>
      <c r="H49" s="89">
        <v>7.666666666666667</v>
      </c>
      <c r="I49" s="84">
        <v>8.770833333333334</v>
      </c>
      <c r="J49" s="85">
        <f t="shared" si="2"/>
        <v>1.104166667</v>
      </c>
      <c r="K49" s="97">
        <v>0.0</v>
      </c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</row>
    <row r="50">
      <c r="A50" s="79">
        <v>48.0</v>
      </c>
      <c r="B50" s="100" t="s">
        <v>150</v>
      </c>
      <c r="C50" s="79" t="s">
        <v>300</v>
      </c>
      <c r="D50" s="80">
        <v>23.0</v>
      </c>
      <c r="E50" s="81">
        <f t="shared" si="1"/>
        <v>23</v>
      </c>
      <c r="F50" s="80">
        <v>5.0</v>
      </c>
      <c r="G50" s="82">
        <v>3.0</v>
      </c>
      <c r="H50" s="89">
        <v>7.666666666666667</v>
      </c>
      <c r="I50" s="84">
        <v>8.57986111111111</v>
      </c>
      <c r="J50" s="88">
        <f t="shared" si="2"/>
        <v>0.9131944444</v>
      </c>
      <c r="K50" s="97">
        <v>0.0</v>
      </c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</row>
    <row r="51">
      <c r="A51" s="79">
        <v>49.0</v>
      </c>
      <c r="B51" s="86" t="s">
        <v>32</v>
      </c>
      <c r="C51" s="79" t="s">
        <v>300</v>
      </c>
      <c r="D51" s="80">
        <v>23.0</v>
      </c>
      <c r="E51" s="81">
        <f t="shared" si="1"/>
        <v>21</v>
      </c>
      <c r="F51" s="80">
        <v>5.0</v>
      </c>
      <c r="G51" s="82">
        <v>5.0</v>
      </c>
      <c r="H51" s="89">
        <v>7.4375</v>
      </c>
      <c r="I51" s="84">
        <v>7.097222222222224</v>
      </c>
      <c r="J51" s="85">
        <f t="shared" si="2"/>
        <v>-0.3402777778</v>
      </c>
      <c r="K51" s="82">
        <v>2.0</v>
      </c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</row>
    <row r="52">
      <c r="A52" s="79">
        <v>50.0</v>
      </c>
      <c r="B52" s="86" t="s">
        <v>10</v>
      </c>
      <c r="C52" s="79" t="s">
        <v>300</v>
      </c>
      <c r="D52" s="80">
        <v>23.0</v>
      </c>
      <c r="E52" s="81">
        <f t="shared" si="1"/>
        <v>22</v>
      </c>
      <c r="F52" s="80">
        <v>5.0</v>
      </c>
      <c r="G52" s="82">
        <v>5.0</v>
      </c>
      <c r="H52" s="89">
        <v>8.125</v>
      </c>
      <c r="I52" s="84">
        <v>9.780555555555553</v>
      </c>
      <c r="J52" s="85">
        <f t="shared" si="2"/>
        <v>1.655555556</v>
      </c>
      <c r="K52" s="82">
        <v>1.0</v>
      </c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</row>
    <row r="53">
      <c r="A53" s="79">
        <v>51.0</v>
      </c>
      <c r="B53" s="91" t="s">
        <v>6</v>
      </c>
      <c r="C53" s="79" t="s">
        <v>300</v>
      </c>
      <c r="D53" s="80">
        <v>23.0</v>
      </c>
      <c r="E53" s="81">
        <f t="shared" si="1"/>
        <v>23</v>
      </c>
      <c r="F53" s="80">
        <v>5.0</v>
      </c>
      <c r="G53" s="82">
        <v>4.0</v>
      </c>
      <c r="H53" s="89">
        <v>8.145833333333334</v>
      </c>
      <c r="I53" s="84">
        <v>10.652083333333334</v>
      </c>
      <c r="J53" s="85">
        <f t="shared" si="2"/>
        <v>2.50625</v>
      </c>
      <c r="K53" s="97">
        <v>0.0</v>
      </c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</row>
    <row r="54">
      <c r="A54" s="79">
        <v>52.0</v>
      </c>
      <c r="B54" s="108" t="s">
        <v>75</v>
      </c>
      <c r="C54" s="79" t="s">
        <v>305</v>
      </c>
      <c r="D54" s="80">
        <v>23.0</v>
      </c>
      <c r="E54" s="81">
        <f t="shared" si="1"/>
        <v>23</v>
      </c>
      <c r="F54" s="80">
        <v>5.0</v>
      </c>
      <c r="G54" s="82">
        <v>0.0</v>
      </c>
      <c r="H54" s="89">
        <v>8.145833333333334</v>
      </c>
      <c r="I54" s="84">
        <v>7.669444444444443</v>
      </c>
      <c r="J54" s="85">
        <f t="shared" si="2"/>
        <v>-0.4763888889</v>
      </c>
      <c r="K54" s="97">
        <v>0.0</v>
      </c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</row>
    <row r="55">
      <c r="A55" s="79">
        <v>53.0</v>
      </c>
      <c r="B55" s="78" t="s">
        <v>120</v>
      </c>
      <c r="C55" s="79" t="s">
        <v>301</v>
      </c>
      <c r="D55" s="80">
        <v>23.0</v>
      </c>
      <c r="E55" s="81">
        <f t="shared" si="1"/>
        <v>23</v>
      </c>
      <c r="F55" s="80">
        <v>5.0</v>
      </c>
      <c r="G55" s="82">
        <v>0.0</v>
      </c>
      <c r="H55" s="89">
        <v>8.145833333333334</v>
      </c>
      <c r="I55" s="84">
        <v>9.265277777777778</v>
      </c>
      <c r="J55" s="85">
        <f t="shared" si="2"/>
        <v>1.119444444</v>
      </c>
      <c r="K55" s="97">
        <v>0.0</v>
      </c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</row>
    <row r="56">
      <c r="A56" s="79">
        <v>54.0</v>
      </c>
      <c r="B56" s="109" t="s">
        <v>123</v>
      </c>
      <c r="C56" s="79" t="s">
        <v>303</v>
      </c>
      <c r="D56" s="80">
        <v>23.0</v>
      </c>
      <c r="E56" s="81">
        <f t="shared" si="1"/>
        <v>19</v>
      </c>
      <c r="F56" s="80">
        <v>5.0</v>
      </c>
      <c r="G56" s="82">
        <v>0.0</v>
      </c>
      <c r="H56" s="89">
        <v>6.729166666666667</v>
      </c>
      <c r="I56" s="84">
        <v>7.3680555555555545</v>
      </c>
      <c r="J56" s="88">
        <f t="shared" si="2"/>
        <v>0.6388888889</v>
      </c>
      <c r="K56" s="82">
        <v>4.0</v>
      </c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</row>
    <row r="57">
      <c r="A57" s="79">
        <v>55.0</v>
      </c>
      <c r="B57" s="108" t="s">
        <v>111</v>
      </c>
      <c r="C57" s="79" t="s">
        <v>303</v>
      </c>
      <c r="D57" s="80">
        <v>27.0</v>
      </c>
      <c r="E57" s="81">
        <f t="shared" si="1"/>
        <v>24</v>
      </c>
      <c r="F57" s="79">
        <v>0.0</v>
      </c>
      <c r="G57" s="82">
        <v>0.0</v>
      </c>
      <c r="H57" s="89">
        <v>8.5</v>
      </c>
      <c r="I57" s="84">
        <v>9.120833333333335</v>
      </c>
      <c r="J57" s="85">
        <f t="shared" si="2"/>
        <v>0.6208333333</v>
      </c>
      <c r="K57" s="82">
        <v>3.0</v>
      </c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</row>
    <row r="58">
      <c r="A58" s="79">
        <v>56.0</v>
      </c>
      <c r="B58" s="109" t="s">
        <v>114</v>
      </c>
      <c r="C58" s="79" t="s">
        <v>303</v>
      </c>
      <c r="D58" s="80">
        <v>27.0</v>
      </c>
      <c r="E58" s="81">
        <f t="shared" si="1"/>
        <v>21</v>
      </c>
      <c r="F58" s="79">
        <v>0.0</v>
      </c>
      <c r="G58" s="82">
        <v>0.0</v>
      </c>
      <c r="H58" s="89">
        <v>7.4375</v>
      </c>
      <c r="I58" s="84">
        <v>8.830555555555556</v>
      </c>
      <c r="J58" s="85">
        <f t="shared" si="2"/>
        <v>1.393055556</v>
      </c>
      <c r="K58" s="82">
        <v>6.0</v>
      </c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</row>
    <row r="59">
      <c r="A59" s="79">
        <v>57.0</v>
      </c>
      <c r="B59" s="109" t="s">
        <v>129</v>
      </c>
      <c r="C59" s="79" t="s">
        <v>303</v>
      </c>
      <c r="D59" s="80">
        <v>27.0</v>
      </c>
      <c r="E59" s="81">
        <f t="shared" si="1"/>
        <v>25</v>
      </c>
      <c r="F59" s="79">
        <v>0.0</v>
      </c>
      <c r="G59" s="82">
        <v>0.0</v>
      </c>
      <c r="H59" s="89">
        <v>8.854166666666666</v>
      </c>
      <c r="I59" s="84">
        <v>10.257638888888893</v>
      </c>
      <c r="J59" s="85">
        <f t="shared" si="2"/>
        <v>1.403472222</v>
      </c>
      <c r="K59" s="82">
        <v>2.0</v>
      </c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</row>
    <row r="60">
      <c r="A60" s="79">
        <v>58.0</v>
      </c>
      <c r="B60" s="78" t="s">
        <v>126</v>
      </c>
      <c r="C60" s="79" t="s">
        <v>303</v>
      </c>
      <c r="D60" s="80">
        <v>27.0</v>
      </c>
      <c r="E60" s="81">
        <f t="shared" si="1"/>
        <v>25</v>
      </c>
      <c r="F60" s="79">
        <v>0.0</v>
      </c>
      <c r="G60" s="82">
        <v>0.0</v>
      </c>
      <c r="H60" s="89">
        <v>8.854166666666666</v>
      </c>
      <c r="I60" s="84">
        <v>11.352083333333333</v>
      </c>
      <c r="J60" s="85">
        <f t="shared" si="2"/>
        <v>2.497916667</v>
      </c>
      <c r="K60" s="82">
        <v>2.0</v>
      </c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</row>
    <row r="61">
      <c r="A61" s="79">
        <v>59.0</v>
      </c>
      <c r="B61" s="78" t="s">
        <v>287</v>
      </c>
      <c r="C61" s="79" t="s">
        <v>303</v>
      </c>
      <c r="D61" s="80">
        <v>27.0</v>
      </c>
      <c r="E61" s="81">
        <f t="shared" si="1"/>
        <v>22</v>
      </c>
      <c r="F61" s="79">
        <v>0.0</v>
      </c>
      <c r="G61" s="82">
        <v>0.0</v>
      </c>
      <c r="H61" s="89">
        <v>7.791666666666667</v>
      </c>
      <c r="I61" s="84">
        <v>9.393749999999999</v>
      </c>
      <c r="J61" s="85">
        <f t="shared" si="2"/>
        <v>1.602083333</v>
      </c>
      <c r="K61" s="82">
        <v>5.0</v>
      </c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>
      <c r="A62" s="79">
        <v>60.0</v>
      </c>
      <c r="B62" s="98" t="s">
        <v>162</v>
      </c>
      <c r="C62" s="79" t="s">
        <v>303</v>
      </c>
      <c r="D62" s="80">
        <v>27.0</v>
      </c>
      <c r="E62" s="81">
        <f t="shared" si="1"/>
        <v>25</v>
      </c>
      <c r="F62" s="79">
        <v>0.0</v>
      </c>
      <c r="G62" s="82">
        <v>0.0</v>
      </c>
      <c r="H62" s="89">
        <v>8.854166666666666</v>
      </c>
      <c r="I62" s="84">
        <v>12.30138888888889</v>
      </c>
      <c r="J62" s="85">
        <f t="shared" si="2"/>
        <v>3.447222222</v>
      </c>
      <c r="K62" s="82">
        <v>2.0</v>
      </c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>
      <c r="A63" s="79">
        <v>61.0</v>
      </c>
      <c r="B63" s="108" t="s">
        <v>38</v>
      </c>
      <c r="C63" s="79" t="s">
        <v>303</v>
      </c>
      <c r="D63" s="80">
        <v>23.0</v>
      </c>
      <c r="E63" s="81">
        <f t="shared" si="1"/>
        <v>18</v>
      </c>
      <c r="F63" s="79">
        <v>0.0</v>
      </c>
      <c r="G63" s="82">
        <v>0.0</v>
      </c>
      <c r="H63" s="89">
        <v>6.375</v>
      </c>
      <c r="I63" s="84">
        <v>6.904861111111112</v>
      </c>
      <c r="J63" s="85">
        <f t="shared" si="2"/>
        <v>0.5298611111</v>
      </c>
      <c r="K63" s="82">
        <v>5.0</v>
      </c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</row>
    <row r="64">
      <c r="A64" s="79">
        <v>62.0</v>
      </c>
      <c r="B64" s="110" t="s">
        <v>35</v>
      </c>
      <c r="C64" s="79" t="s">
        <v>303</v>
      </c>
      <c r="D64" s="80">
        <v>23.0</v>
      </c>
      <c r="E64" s="81">
        <f t="shared" si="1"/>
        <v>23</v>
      </c>
      <c r="F64" s="79">
        <v>0.0</v>
      </c>
      <c r="G64" s="82">
        <v>0.0</v>
      </c>
      <c r="H64" s="89">
        <v>8.145833333333334</v>
      </c>
      <c r="I64" s="84">
        <v>0.0</v>
      </c>
      <c r="J64" s="85">
        <f t="shared" si="2"/>
        <v>-8.145833333</v>
      </c>
      <c r="K64" s="97">
        <v>0.0</v>
      </c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</row>
    <row r="65">
      <c r="A65" s="79">
        <v>63.0</v>
      </c>
      <c r="B65" s="108" t="s">
        <v>117</v>
      </c>
      <c r="C65" s="79" t="s">
        <v>303</v>
      </c>
      <c r="D65" s="80">
        <v>23.0</v>
      </c>
      <c r="E65" s="81">
        <f t="shared" si="1"/>
        <v>22</v>
      </c>
      <c r="F65" s="80">
        <v>5.0</v>
      </c>
      <c r="G65" s="82">
        <v>0.0</v>
      </c>
      <c r="H65" s="89">
        <v>7.791666666666667</v>
      </c>
      <c r="I65" s="84">
        <v>9.750694444444443</v>
      </c>
      <c r="J65" s="85">
        <f t="shared" si="2"/>
        <v>1.959027778</v>
      </c>
      <c r="K65" s="82">
        <v>1.0</v>
      </c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</row>
    <row r="66">
      <c r="A66" s="79">
        <v>64.0</v>
      </c>
      <c r="B66" s="78" t="s">
        <v>237</v>
      </c>
      <c r="C66" s="79" t="s">
        <v>303</v>
      </c>
      <c r="D66" s="80">
        <v>27.0</v>
      </c>
      <c r="E66" s="81">
        <f t="shared" si="1"/>
        <v>23</v>
      </c>
      <c r="F66" s="79">
        <v>0.0</v>
      </c>
      <c r="G66" s="82">
        <v>0.0</v>
      </c>
      <c r="H66" s="89">
        <v>8.145833333333334</v>
      </c>
      <c r="I66" s="84">
        <v>10.040277777777776</v>
      </c>
      <c r="J66" s="111">
        <f t="shared" si="2"/>
        <v>1.894444444</v>
      </c>
      <c r="K66" s="82">
        <v>4.0</v>
      </c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</row>
    <row r="67">
      <c r="A67" s="79">
        <v>65.0</v>
      </c>
      <c r="B67" s="78" t="s">
        <v>288</v>
      </c>
      <c r="C67" s="79" t="s">
        <v>303</v>
      </c>
      <c r="D67" s="80">
        <v>27.0</v>
      </c>
      <c r="E67" s="81">
        <f t="shared" si="1"/>
        <v>23</v>
      </c>
      <c r="F67" s="79">
        <v>0.0</v>
      </c>
      <c r="G67" s="82">
        <v>0.0</v>
      </c>
      <c r="H67" s="89">
        <v>8.145833333333334</v>
      </c>
      <c r="I67" s="84">
        <v>4.034027777777777</v>
      </c>
      <c r="J67" s="85">
        <f t="shared" si="2"/>
        <v>-4.111805556</v>
      </c>
      <c r="K67" s="82">
        <v>4.0</v>
      </c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</row>
    <row r="68">
      <c r="A68" s="77"/>
      <c r="B68" s="99"/>
      <c r="C68" s="77"/>
      <c r="D68" s="77"/>
      <c r="E68" s="112"/>
      <c r="F68" s="77"/>
      <c r="G68" s="112"/>
      <c r="H68" s="83"/>
      <c r="I68" s="84"/>
      <c r="J68" s="85"/>
      <c r="K68" s="112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</row>
    <row r="69">
      <c r="A69" s="65"/>
      <c r="B69" s="65"/>
      <c r="C69" s="65"/>
      <c r="D69" s="65"/>
      <c r="E69" s="65"/>
      <c r="F69" s="113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</row>
    <row r="78">
      <c r="A78" s="65"/>
      <c r="B78" s="65"/>
      <c r="C78" s="65"/>
      <c r="D78" s="65"/>
      <c r="E78" s="65"/>
      <c r="F78" s="113"/>
      <c r="G78" s="113"/>
      <c r="H78" s="113"/>
      <c r="I78" s="113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</row>
  </sheetData>
  <mergeCells count="2">
    <mergeCell ref="A1:B1"/>
    <mergeCell ref="C1:K1"/>
  </mergeCells>
  <conditionalFormatting sqref="J3:J67">
    <cfRule type="cellIs" dxfId="12" priority="1" operator="lessThan">
      <formula>"00:00:00"</formula>
    </cfRule>
  </conditionalFormatting>
  <conditionalFormatting sqref="J3:J67">
    <cfRule type="cellIs" dxfId="7" priority="2" operator="greaterThan">
      <formula>"00:00:00"</formula>
    </cfRule>
  </conditionalFormatting>
  <dataValidations>
    <dataValidation type="list" allowBlank="1" showErrorMessage="1" sqref="C3:C68">
      <formula1>"JetClass,FAMS,DevOps,Voltro,SS,Special Projects"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2" max="2" width="4.0"/>
    <col customWidth="1" min="3" max="3" width="21.63"/>
  </cols>
  <sheetData>
    <row r="1">
      <c r="A1" s="8" t="s">
        <v>265</v>
      </c>
      <c r="B1" s="9" t="s">
        <v>1</v>
      </c>
      <c r="C1" s="10" t="s">
        <v>266</v>
      </c>
      <c r="D1" s="11" t="s">
        <v>267</v>
      </c>
      <c r="E1" s="13" t="str">
        <f t="shared" ref="E1:F1" si="1">text(E2, "ddd")</f>
        <v>Sat</v>
      </c>
      <c r="F1" s="13" t="str">
        <f t="shared" si="1"/>
        <v>Sun</v>
      </c>
      <c r="G1" s="12" t="s">
        <v>306</v>
      </c>
      <c r="H1" s="12" t="s">
        <v>307</v>
      </c>
      <c r="I1" s="12" t="s">
        <v>308</v>
      </c>
      <c r="J1" s="12" t="s">
        <v>309</v>
      </c>
      <c r="K1" s="12" t="s">
        <v>310</v>
      </c>
      <c r="L1" s="13" t="s">
        <v>311</v>
      </c>
      <c r="M1" s="13" t="s">
        <v>312</v>
      </c>
      <c r="N1" s="12" t="s">
        <v>306</v>
      </c>
      <c r="O1" s="12" t="s">
        <v>307</v>
      </c>
      <c r="P1" s="12" t="s">
        <v>308</v>
      </c>
      <c r="Q1" s="12" t="s">
        <v>309</v>
      </c>
      <c r="R1" s="12" t="s">
        <v>310</v>
      </c>
      <c r="S1" s="13" t="s">
        <v>311</v>
      </c>
      <c r="T1" s="13" t="s">
        <v>312</v>
      </c>
      <c r="U1" s="12" t="s">
        <v>306</v>
      </c>
      <c r="V1" s="12" t="s">
        <v>307</v>
      </c>
      <c r="W1" s="12" t="s">
        <v>308</v>
      </c>
      <c r="X1" s="12" t="s">
        <v>309</v>
      </c>
      <c r="Y1" s="12" t="s">
        <v>310</v>
      </c>
      <c r="Z1" s="13" t="s">
        <v>311</v>
      </c>
      <c r="AA1" s="13" t="s">
        <v>312</v>
      </c>
      <c r="AB1" s="12" t="s">
        <v>306</v>
      </c>
      <c r="AC1" s="12" t="s">
        <v>307</v>
      </c>
      <c r="AD1" s="12" t="s">
        <v>308</v>
      </c>
      <c r="AE1" s="12" t="s">
        <v>309</v>
      </c>
      <c r="AF1" s="12" t="s">
        <v>310</v>
      </c>
      <c r="AG1" s="12"/>
      <c r="AH1" s="12"/>
      <c r="AI1" s="12"/>
    </row>
    <row r="2">
      <c r="C2" s="15"/>
      <c r="D2" s="15"/>
      <c r="E2" s="17">
        <v>45689.0</v>
      </c>
      <c r="F2" s="17">
        <v>45690.0</v>
      </c>
      <c r="G2" s="16">
        <v>45691.0</v>
      </c>
      <c r="H2" s="16">
        <v>45692.0</v>
      </c>
      <c r="I2" s="16">
        <v>45693.0</v>
      </c>
      <c r="J2" s="16">
        <v>45694.0</v>
      </c>
      <c r="K2" s="16">
        <v>45695.0</v>
      </c>
      <c r="L2" s="17">
        <v>45696.0</v>
      </c>
      <c r="M2" s="17">
        <v>45697.0</v>
      </c>
      <c r="N2" s="16">
        <v>45698.0</v>
      </c>
      <c r="O2" s="16">
        <v>45699.0</v>
      </c>
      <c r="P2" s="16">
        <v>45700.0</v>
      </c>
      <c r="Q2" s="16">
        <v>45701.0</v>
      </c>
      <c r="R2" s="16">
        <v>45702.0</v>
      </c>
      <c r="S2" s="17">
        <v>45703.0</v>
      </c>
      <c r="T2" s="17">
        <v>45704.0</v>
      </c>
      <c r="U2" s="16">
        <v>45705.0</v>
      </c>
      <c r="V2" s="16">
        <v>45706.0</v>
      </c>
      <c r="W2" s="16">
        <v>45707.0</v>
      </c>
      <c r="X2" s="16">
        <v>45708.0</v>
      </c>
      <c r="Y2" s="16">
        <v>45709.0</v>
      </c>
      <c r="Z2" s="17">
        <v>45710.0</v>
      </c>
      <c r="AA2" s="17">
        <v>45711.0</v>
      </c>
      <c r="AB2" s="16">
        <v>45712.0</v>
      </c>
      <c r="AC2" s="16">
        <v>45713.0</v>
      </c>
      <c r="AD2" s="16">
        <v>45714.0</v>
      </c>
      <c r="AE2" s="16">
        <v>45715.0</v>
      </c>
      <c r="AF2" s="16">
        <v>45716.0</v>
      </c>
      <c r="AG2" s="16"/>
      <c r="AH2" s="16"/>
      <c r="AI2" s="16"/>
    </row>
    <row r="3">
      <c r="A3" s="19" t="s">
        <v>268</v>
      </c>
      <c r="B3" s="20">
        <v>1.0</v>
      </c>
      <c r="C3" s="21" t="s">
        <v>174</v>
      </c>
      <c r="D3" s="22">
        <f t="shared" ref="D3:D67" si="2">SUM(E3:AI3)</f>
        <v>0</v>
      </c>
      <c r="E3" s="23"/>
      <c r="F3" s="23"/>
      <c r="G3" s="26" t="s">
        <v>270</v>
      </c>
      <c r="H3" s="26" t="s">
        <v>270</v>
      </c>
      <c r="I3" s="26" t="s">
        <v>313</v>
      </c>
      <c r="J3" s="26" t="s">
        <v>270</v>
      </c>
      <c r="K3" s="26" t="s">
        <v>270</v>
      </c>
      <c r="L3" s="26" t="s">
        <v>270</v>
      </c>
      <c r="M3" s="26" t="s">
        <v>270</v>
      </c>
      <c r="N3" s="26" t="s">
        <v>270</v>
      </c>
      <c r="O3" s="114" t="s">
        <v>270</v>
      </c>
      <c r="P3" s="114" t="s">
        <v>270</v>
      </c>
      <c r="Q3" s="114" t="s">
        <v>270</v>
      </c>
      <c r="R3" s="114" t="s">
        <v>270</v>
      </c>
      <c r="S3" s="114" t="s">
        <v>270</v>
      </c>
      <c r="T3" s="114" t="s">
        <v>270</v>
      </c>
      <c r="U3" s="114" t="s">
        <v>270</v>
      </c>
      <c r="V3" s="114" t="s">
        <v>270</v>
      </c>
      <c r="W3" s="114" t="s">
        <v>270</v>
      </c>
      <c r="X3" s="114" t="s">
        <v>270</v>
      </c>
      <c r="Y3" s="114" t="s">
        <v>270</v>
      </c>
      <c r="Z3" s="115"/>
      <c r="AA3" s="115"/>
      <c r="AB3" s="114" t="s">
        <v>270</v>
      </c>
      <c r="AC3" s="114" t="s">
        <v>270</v>
      </c>
      <c r="AD3" s="114" t="s">
        <v>270</v>
      </c>
      <c r="AE3" s="114" t="s">
        <v>270</v>
      </c>
      <c r="AF3" s="114" t="s">
        <v>270</v>
      </c>
      <c r="AG3" s="115"/>
      <c r="AH3" s="26"/>
      <c r="AI3" s="26"/>
    </row>
    <row r="4">
      <c r="A4" s="27">
        <v>45452.0</v>
      </c>
      <c r="B4" s="28">
        <v>2.0</v>
      </c>
      <c r="C4" s="29" t="s">
        <v>222</v>
      </c>
      <c r="D4" s="22">
        <f t="shared" si="2"/>
        <v>4.430555556</v>
      </c>
      <c r="E4" s="25"/>
      <c r="F4" s="25"/>
      <c r="G4" s="23">
        <v>0.3659722222222222</v>
      </c>
      <c r="H4" s="23">
        <v>0.3541666666666667</v>
      </c>
      <c r="I4" s="26" t="s">
        <v>313</v>
      </c>
      <c r="J4" s="26" t="s">
        <v>276</v>
      </c>
      <c r="K4" s="26" t="s">
        <v>276</v>
      </c>
      <c r="L4" s="26" t="s">
        <v>276</v>
      </c>
      <c r="M4" s="26" t="s">
        <v>276</v>
      </c>
      <c r="N4" s="26" t="s">
        <v>276</v>
      </c>
      <c r="O4" s="114" t="s">
        <v>276</v>
      </c>
      <c r="P4" s="114" t="s">
        <v>276</v>
      </c>
      <c r="Q4" s="114" t="s">
        <v>276</v>
      </c>
      <c r="R4" s="114" t="s">
        <v>276</v>
      </c>
      <c r="S4" s="114" t="s">
        <v>276</v>
      </c>
      <c r="T4" s="114"/>
      <c r="U4" s="116">
        <v>0.3784722222222222</v>
      </c>
      <c r="V4" s="116">
        <v>0.40069444444444446</v>
      </c>
      <c r="W4" s="116">
        <v>0.36527777777777776</v>
      </c>
      <c r="X4" s="116">
        <v>0.30694444444444446</v>
      </c>
      <c r="Y4" s="116">
        <v>0.3541666666666667</v>
      </c>
      <c r="Z4" s="115"/>
      <c r="AA4" s="115"/>
      <c r="AB4" s="116">
        <v>0.3715277777777778</v>
      </c>
      <c r="AC4" s="116">
        <v>0.41388888888888886</v>
      </c>
      <c r="AD4" s="116">
        <v>0.35625</v>
      </c>
      <c r="AE4" s="116">
        <v>0.40902777777777777</v>
      </c>
      <c r="AF4" s="117">
        <v>0.3541666666666667</v>
      </c>
      <c r="AG4" s="115"/>
      <c r="AH4" s="23"/>
      <c r="AI4" s="23"/>
    </row>
    <row r="5">
      <c r="A5" s="15"/>
      <c r="B5" s="28">
        <v>3.0</v>
      </c>
      <c r="C5" s="29" t="s">
        <v>41</v>
      </c>
      <c r="D5" s="22">
        <f t="shared" si="2"/>
        <v>6.339583333</v>
      </c>
      <c r="E5" s="26"/>
      <c r="F5" s="26"/>
      <c r="G5" s="23">
        <v>0.42986111111111114</v>
      </c>
      <c r="H5" s="23">
        <v>0.3541666666666667</v>
      </c>
      <c r="I5" s="26" t="s">
        <v>313</v>
      </c>
      <c r="J5" s="23">
        <v>0.36944444444444446</v>
      </c>
      <c r="K5" s="23">
        <v>0.3541666666666667</v>
      </c>
      <c r="L5" s="23"/>
      <c r="M5" s="23"/>
      <c r="N5" s="23">
        <v>0.29791666666666666</v>
      </c>
      <c r="O5" s="116">
        <v>0.3972222222222222</v>
      </c>
      <c r="P5" s="117">
        <v>0.3125</v>
      </c>
      <c r="Q5" s="117">
        <v>0.26458333333333334</v>
      </c>
      <c r="R5" s="117">
        <v>0.3541666666666667</v>
      </c>
      <c r="S5" s="115"/>
      <c r="T5" s="115"/>
      <c r="U5" s="117">
        <v>0.31875</v>
      </c>
      <c r="V5" s="117">
        <v>0.4027777777777778</v>
      </c>
      <c r="W5" s="117">
        <v>0.34375</v>
      </c>
      <c r="X5" s="117">
        <v>0.3215277777777778</v>
      </c>
      <c r="Y5" s="117">
        <v>0.11736111111111111</v>
      </c>
      <c r="Z5" s="115"/>
      <c r="AA5" s="115"/>
      <c r="AB5" s="116">
        <v>0.36319444444444443</v>
      </c>
      <c r="AC5" s="116">
        <v>0.3993055555555556</v>
      </c>
      <c r="AD5" s="117">
        <v>0.18819444444444444</v>
      </c>
      <c r="AE5" s="116">
        <v>0.39652777777777776</v>
      </c>
      <c r="AF5" s="117">
        <v>0.3541666666666667</v>
      </c>
      <c r="AG5" s="115"/>
      <c r="AH5" s="23"/>
      <c r="AI5" s="23"/>
    </row>
    <row r="6">
      <c r="A6" s="30">
        <v>45483.0</v>
      </c>
      <c r="B6" s="20">
        <v>4.0</v>
      </c>
      <c r="C6" s="31" t="s">
        <v>234</v>
      </c>
      <c r="D6" s="22">
        <f t="shared" si="2"/>
        <v>0</v>
      </c>
      <c r="E6" s="23"/>
      <c r="F6" s="23"/>
      <c r="G6" s="23"/>
      <c r="H6" s="23"/>
      <c r="I6" s="26" t="s">
        <v>313</v>
      </c>
      <c r="J6" s="23"/>
      <c r="K6" s="23"/>
      <c r="L6" s="23"/>
      <c r="M6" s="23"/>
      <c r="N6" s="26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23"/>
      <c r="AI6" s="23"/>
    </row>
    <row r="7">
      <c r="A7" s="32"/>
      <c r="B7" s="33">
        <v>5.0</v>
      </c>
      <c r="C7" s="34" t="s">
        <v>201</v>
      </c>
      <c r="D7" s="22">
        <f t="shared" si="2"/>
        <v>6.390277778</v>
      </c>
      <c r="E7" s="25"/>
      <c r="F7" s="26"/>
      <c r="G7" s="23">
        <v>0.41388888888888886</v>
      </c>
      <c r="H7" s="23">
        <v>0.3541666666666667</v>
      </c>
      <c r="I7" s="26" t="s">
        <v>313</v>
      </c>
      <c r="J7" s="23">
        <v>0.3729166666666667</v>
      </c>
      <c r="K7" s="23">
        <v>0.3541666666666667</v>
      </c>
      <c r="L7" s="23"/>
      <c r="M7" s="23"/>
      <c r="N7" s="23">
        <v>0.16666666666666666</v>
      </c>
      <c r="O7" s="116">
        <v>0.3590277777777778</v>
      </c>
      <c r="P7" s="116">
        <v>0.36041666666666666</v>
      </c>
      <c r="Q7" s="116">
        <v>0.3590277777777778</v>
      </c>
      <c r="R7" s="23">
        <v>0.3541666666666667</v>
      </c>
      <c r="S7" s="115"/>
      <c r="T7" s="115"/>
      <c r="U7" s="116">
        <v>0.35</v>
      </c>
      <c r="V7" s="116">
        <v>0.3680555555555556</v>
      </c>
      <c r="W7" s="114" t="s">
        <v>269</v>
      </c>
      <c r="X7" s="117">
        <v>0.37430555555555556</v>
      </c>
      <c r="Y7" s="117">
        <v>0.3541666666666667</v>
      </c>
      <c r="Z7" s="115"/>
      <c r="AA7" s="115"/>
      <c r="AB7" s="116">
        <v>0.3625</v>
      </c>
      <c r="AC7" s="116">
        <v>0.38125</v>
      </c>
      <c r="AD7" s="116">
        <v>0.36736111111111114</v>
      </c>
      <c r="AE7" s="116">
        <v>0.3840277777777778</v>
      </c>
      <c r="AF7" s="117">
        <v>0.3541666666666667</v>
      </c>
      <c r="AG7" s="115"/>
      <c r="AH7" s="23"/>
      <c r="AI7" s="23"/>
    </row>
    <row r="8">
      <c r="A8" s="32"/>
      <c r="B8" s="33">
        <v>6.0</v>
      </c>
      <c r="C8" s="35" t="s">
        <v>246</v>
      </c>
      <c r="D8" s="22">
        <f t="shared" si="2"/>
        <v>6.921527778</v>
      </c>
      <c r="E8" s="23"/>
      <c r="F8" s="23"/>
      <c r="G8" s="23">
        <v>0.37916666666666665</v>
      </c>
      <c r="H8" s="23">
        <v>0.38819444444444445</v>
      </c>
      <c r="I8" s="26" t="s">
        <v>313</v>
      </c>
      <c r="J8" s="23">
        <v>0.38263888888888886</v>
      </c>
      <c r="K8" s="23">
        <v>0.3541666666666667</v>
      </c>
      <c r="L8" s="23"/>
      <c r="M8" s="23"/>
      <c r="N8" s="23">
        <v>0.3541666666666667</v>
      </c>
      <c r="O8" s="116">
        <v>0.37222222222222223</v>
      </c>
      <c r="P8" s="116">
        <v>0.36666666666666664</v>
      </c>
      <c r="Q8" s="116">
        <v>0.36736111111111114</v>
      </c>
      <c r="R8" s="116">
        <v>0.3798611111111111</v>
      </c>
      <c r="S8" s="115"/>
      <c r="T8" s="115"/>
      <c r="U8" s="116">
        <v>0.3506944444444444</v>
      </c>
      <c r="V8" s="116">
        <v>0.3659722222222222</v>
      </c>
      <c r="W8" s="116">
        <v>0.39861111111111114</v>
      </c>
      <c r="X8" s="116">
        <v>0.38958333333333334</v>
      </c>
      <c r="Y8" s="116">
        <v>0.3541666666666667</v>
      </c>
      <c r="Z8" s="115"/>
      <c r="AA8" s="115"/>
      <c r="AB8" s="116">
        <v>0.2222222222222222</v>
      </c>
      <c r="AC8" s="116">
        <v>0.38333333333333336</v>
      </c>
      <c r="AD8" s="116">
        <v>0.36736111111111114</v>
      </c>
      <c r="AE8" s="116">
        <v>0.3909722222222222</v>
      </c>
      <c r="AF8" s="117">
        <v>0.3541666666666667</v>
      </c>
      <c r="AG8" s="115"/>
      <c r="AH8" s="23"/>
      <c r="AI8" s="23"/>
    </row>
    <row r="9">
      <c r="A9" s="32"/>
      <c r="B9" s="20">
        <v>7.0</v>
      </c>
      <c r="C9" s="34" t="s">
        <v>231</v>
      </c>
      <c r="D9" s="22">
        <f t="shared" si="2"/>
        <v>6.515972222</v>
      </c>
      <c r="E9" s="25"/>
      <c r="F9" s="25"/>
      <c r="G9" s="26" t="s">
        <v>271</v>
      </c>
      <c r="H9" s="23">
        <v>0.3541666666666667</v>
      </c>
      <c r="I9" s="26" t="s">
        <v>313</v>
      </c>
      <c r="J9" s="23">
        <v>0.3701388888888889</v>
      </c>
      <c r="K9" s="23">
        <v>0.37569444444444444</v>
      </c>
      <c r="L9" s="23"/>
      <c r="M9" s="23"/>
      <c r="N9" s="23">
        <v>0.34305555555555556</v>
      </c>
      <c r="O9" s="116">
        <v>0.3770833333333333</v>
      </c>
      <c r="P9" s="116">
        <v>0.37083333333333335</v>
      </c>
      <c r="Q9" s="116">
        <v>0.3729166666666667</v>
      </c>
      <c r="R9" s="116">
        <v>0.3715277777777778</v>
      </c>
      <c r="S9" s="115"/>
      <c r="T9" s="115"/>
      <c r="U9" s="116">
        <v>0.37569444444444444</v>
      </c>
      <c r="V9" s="116">
        <v>0.35833333333333334</v>
      </c>
      <c r="W9" s="116">
        <v>0.36180555555555555</v>
      </c>
      <c r="X9" s="116">
        <v>0.3625</v>
      </c>
      <c r="Y9" s="116">
        <v>0.4236111111111111</v>
      </c>
      <c r="Z9" s="115"/>
      <c r="AA9" s="115"/>
      <c r="AB9" s="116">
        <v>0.3784722222222222</v>
      </c>
      <c r="AC9" s="116">
        <v>0.41041666666666665</v>
      </c>
      <c r="AD9" s="117">
        <v>0.16666666666666666</v>
      </c>
      <c r="AE9" s="116">
        <v>0.3888888888888889</v>
      </c>
      <c r="AF9" s="117">
        <v>0.3541666666666667</v>
      </c>
      <c r="AG9" s="115"/>
      <c r="AH9" s="23"/>
      <c r="AI9" s="23"/>
    </row>
    <row r="10">
      <c r="A10" s="32"/>
      <c r="B10" s="33">
        <v>8.0</v>
      </c>
      <c r="C10" s="36" t="s">
        <v>147</v>
      </c>
      <c r="D10" s="22">
        <f t="shared" si="2"/>
        <v>7.194444444</v>
      </c>
      <c r="E10" s="25"/>
      <c r="F10" s="25"/>
      <c r="G10" s="23">
        <v>0.37569444444444444</v>
      </c>
      <c r="H10" s="23">
        <v>0.3798611111111111</v>
      </c>
      <c r="I10" s="26" t="s">
        <v>313</v>
      </c>
      <c r="J10" s="23">
        <v>0.3736111111111111</v>
      </c>
      <c r="K10" s="23">
        <v>0.3784722222222222</v>
      </c>
      <c r="L10" s="23"/>
      <c r="M10" s="23"/>
      <c r="N10" s="23">
        <v>0.4</v>
      </c>
      <c r="O10" s="116">
        <v>0.4013888888888889</v>
      </c>
      <c r="P10" s="116">
        <v>0.3958333333333333</v>
      </c>
      <c r="Q10" s="116">
        <v>0.3909722222222222</v>
      </c>
      <c r="R10" s="116">
        <v>0.42430555555555555</v>
      </c>
      <c r="S10" s="115"/>
      <c r="T10" s="115"/>
      <c r="U10" s="116">
        <v>0.39375</v>
      </c>
      <c r="V10" s="116">
        <v>0.3909722222222222</v>
      </c>
      <c r="W10" s="116">
        <v>0.3527777777777778</v>
      </c>
      <c r="X10" s="117">
        <v>0.16666666666666666</v>
      </c>
      <c r="Y10" s="116">
        <v>0.38333333333333336</v>
      </c>
      <c r="Z10" s="115"/>
      <c r="AA10" s="115"/>
      <c r="AB10" s="116">
        <v>0.38055555555555554</v>
      </c>
      <c r="AC10" s="116">
        <v>0.3770833333333333</v>
      </c>
      <c r="AD10" s="116">
        <v>0.39652777777777776</v>
      </c>
      <c r="AE10" s="116">
        <v>0.43819444444444444</v>
      </c>
      <c r="AF10" s="116">
        <v>0.39444444444444443</v>
      </c>
      <c r="AG10" s="115"/>
      <c r="AH10" s="23"/>
      <c r="AI10" s="23"/>
    </row>
    <row r="11">
      <c r="A11" s="32"/>
      <c r="B11" s="33">
        <v>9.0</v>
      </c>
      <c r="C11" s="34" t="s">
        <v>177</v>
      </c>
      <c r="D11" s="22">
        <f t="shared" si="2"/>
        <v>6.888888889</v>
      </c>
      <c r="E11" s="25"/>
      <c r="F11" s="25"/>
      <c r="G11" s="23">
        <v>0.36527777777777776</v>
      </c>
      <c r="H11" s="23">
        <v>0.3541666666666667</v>
      </c>
      <c r="I11" s="26" t="s">
        <v>313</v>
      </c>
      <c r="J11" s="23">
        <v>0.37777777777777777</v>
      </c>
      <c r="K11" s="23">
        <v>0.3541666666666667</v>
      </c>
      <c r="L11" s="23"/>
      <c r="M11" s="23"/>
      <c r="N11" s="23">
        <v>0.37569444444444444</v>
      </c>
      <c r="O11" s="116">
        <v>0.3736111111111111</v>
      </c>
      <c r="P11" s="116">
        <v>0.3729166666666667</v>
      </c>
      <c r="Q11" s="116">
        <v>0.35694444444444445</v>
      </c>
      <c r="R11" s="23">
        <v>0.3541666666666667</v>
      </c>
      <c r="S11" s="115"/>
      <c r="T11" s="115"/>
      <c r="U11" s="116">
        <v>0.36319444444444443</v>
      </c>
      <c r="V11" s="116">
        <v>0.3659722222222222</v>
      </c>
      <c r="W11" s="116">
        <v>0.35833333333333334</v>
      </c>
      <c r="X11" s="116">
        <v>0.35</v>
      </c>
      <c r="Y11" s="117">
        <v>0.3541666666666667</v>
      </c>
      <c r="Z11" s="115"/>
      <c r="AA11" s="115"/>
      <c r="AB11" s="117">
        <v>0.3541666666666667</v>
      </c>
      <c r="AC11" s="116">
        <v>0.3597222222222222</v>
      </c>
      <c r="AD11" s="116">
        <v>0.36666666666666664</v>
      </c>
      <c r="AE11" s="116">
        <v>0.37777777777777777</v>
      </c>
      <c r="AF11" s="117">
        <v>0.3541666666666667</v>
      </c>
      <c r="AG11" s="115"/>
      <c r="AH11" s="23"/>
      <c r="AI11" s="23"/>
    </row>
    <row r="12">
      <c r="A12" s="32"/>
      <c r="B12" s="20">
        <v>10.0</v>
      </c>
      <c r="C12" s="37" t="s">
        <v>216</v>
      </c>
      <c r="D12" s="22">
        <f t="shared" si="2"/>
        <v>7.011805556</v>
      </c>
      <c r="E12" s="25"/>
      <c r="F12" s="25"/>
      <c r="G12" s="23">
        <v>0.3541666666666667</v>
      </c>
      <c r="H12" s="23">
        <v>0.3541666666666667</v>
      </c>
      <c r="I12" s="23">
        <v>0.3541666666666667</v>
      </c>
      <c r="J12" s="23">
        <v>0.3541666666666667</v>
      </c>
      <c r="K12" s="23">
        <v>0.3541666666666667</v>
      </c>
      <c r="L12" s="23"/>
      <c r="M12" s="23"/>
      <c r="N12" s="23">
        <v>0.40694444444444444</v>
      </c>
      <c r="O12" s="116">
        <v>0.3861111111111111</v>
      </c>
      <c r="P12" s="116">
        <v>0.37083333333333335</v>
      </c>
      <c r="Q12" s="116">
        <v>0.39444444444444443</v>
      </c>
      <c r="R12" s="116">
        <v>0.3701388888888889</v>
      </c>
      <c r="S12" s="115"/>
      <c r="T12" s="115"/>
      <c r="U12" s="114" t="s">
        <v>271</v>
      </c>
      <c r="V12" s="116">
        <v>0.33611111111111114</v>
      </c>
      <c r="W12" s="116">
        <v>0.36736111111111114</v>
      </c>
      <c r="X12" s="116">
        <v>0.3645833333333333</v>
      </c>
      <c r="Y12" s="116">
        <v>0.33611111111111114</v>
      </c>
      <c r="Z12" s="115"/>
      <c r="AA12" s="115"/>
      <c r="AB12" s="116">
        <v>0.39375</v>
      </c>
      <c r="AC12" s="116">
        <v>0.3798611111111111</v>
      </c>
      <c r="AD12" s="116">
        <v>0.38055555555555554</v>
      </c>
      <c r="AE12" s="116">
        <v>0.4527777777777778</v>
      </c>
      <c r="AF12" s="116">
        <v>0.3013888888888889</v>
      </c>
      <c r="AG12" s="115"/>
      <c r="AH12" s="23"/>
      <c r="AI12" s="23"/>
    </row>
    <row r="13">
      <c r="A13" s="32"/>
      <c r="B13" s="38">
        <v>11.0</v>
      </c>
      <c r="C13" s="39" t="s">
        <v>138</v>
      </c>
      <c r="D13" s="22">
        <f t="shared" si="2"/>
        <v>6.309027778</v>
      </c>
      <c r="E13" s="26"/>
      <c r="F13" s="26"/>
      <c r="G13" s="23">
        <v>0.38125</v>
      </c>
      <c r="H13" s="23">
        <v>0.3375</v>
      </c>
      <c r="I13" s="26" t="s">
        <v>313</v>
      </c>
      <c r="J13" s="23">
        <v>0.39444444444444443</v>
      </c>
      <c r="K13" s="23">
        <v>0.3333333333333333</v>
      </c>
      <c r="L13" s="23"/>
      <c r="M13" s="23"/>
      <c r="N13" s="23">
        <v>0.38263888888888886</v>
      </c>
      <c r="O13" s="116">
        <v>0.33125</v>
      </c>
      <c r="P13" s="116">
        <v>0.31875</v>
      </c>
      <c r="Q13" s="116">
        <v>0.27847222222222223</v>
      </c>
      <c r="R13" s="117">
        <v>0.3333333333333333</v>
      </c>
      <c r="S13" s="115"/>
      <c r="T13" s="115"/>
      <c r="U13" s="116">
        <v>0.34791666666666665</v>
      </c>
      <c r="V13" s="116">
        <v>0.37569444444444444</v>
      </c>
      <c r="W13" s="116">
        <v>0.3576388888888889</v>
      </c>
      <c r="X13" s="116">
        <v>0.41944444444444445</v>
      </c>
      <c r="Y13" s="117">
        <v>0.16666666666666666</v>
      </c>
      <c r="Z13" s="115"/>
      <c r="AA13" s="115"/>
      <c r="AB13" s="116">
        <v>0.35625</v>
      </c>
      <c r="AC13" s="117">
        <v>0.16666666666666666</v>
      </c>
      <c r="AD13" s="116">
        <v>0.3611111111111111</v>
      </c>
      <c r="AE13" s="117">
        <v>0.3333333333333333</v>
      </c>
      <c r="AF13" s="117">
        <v>0.3333333333333333</v>
      </c>
      <c r="AG13" s="115"/>
      <c r="AH13" s="23"/>
      <c r="AI13" s="23"/>
    </row>
    <row r="14">
      <c r="A14" s="32"/>
      <c r="B14" s="38">
        <v>12.0</v>
      </c>
      <c r="C14" s="40" t="s">
        <v>228</v>
      </c>
      <c r="D14" s="22">
        <f t="shared" si="2"/>
        <v>5.557638889</v>
      </c>
      <c r="E14" s="25"/>
      <c r="F14" s="25"/>
      <c r="G14" s="23">
        <v>0.34097222222222223</v>
      </c>
      <c r="H14" s="26" t="s">
        <v>269</v>
      </c>
      <c r="I14" s="26" t="s">
        <v>313</v>
      </c>
      <c r="J14" s="23">
        <v>0.3548611111111111</v>
      </c>
      <c r="K14" s="23">
        <v>0.3333333333333333</v>
      </c>
      <c r="L14" s="23"/>
      <c r="M14" s="23"/>
      <c r="N14" s="23">
        <v>0.3402777777777778</v>
      </c>
      <c r="O14" s="116">
        <v>0.3548611111111111</v>
      </c>
      <c r="P14" s="116">
        <v>0.33611111111111114</v>
      </c>
      <c r="Q14" s="114" t="s">
        <v>271</v>
      </c>
      <c r="R14" s="114" t="s">
        <v>271</v>
      </c>
      <c r="S14" s="115"/>
      <c r="T14" s="115"/>
      <c r="U14" s="116">
        <v>0.36666666666666664</v>
      </c>
      <c r="V14" s="116">
        <v>0.3451388888888889</v>
      </c>
      <c r="W14" s="116">
        <v>0.3798611111111111</v>
      </c>
      <c r="X14" s="116">
        <v>0.34097222222222223</v>
      </c>
      <c r="Y14" s="117">
        <v>0.3333333333333333</v>
      </c>
      <c r="Z14" s="115"/>
      <c r="AA14" s="115"/>
      <c r="AB14" s="117">
        <v>0.3333333333333333</v>
      </c>
      <c r="AC14" s="116">
        <v>0.3590277777777778</v>
      </c>
      <c r="AD14" s="116">
        <v>0.35625</v>
      </c>
      <c r="AE14" s="116">
        <v>0.34930555555555554</v>
      </c>
      <c r="AF14" s="117">
        <v>0.3333333333333333</v>
      </c>
      <c r="AG14" s="115"/>
      <c r="AH14" s="23"/>
      <c r="AI14" s="23"/>
    </row>
    <row r="15">
      <c r="A15" s="32"/>
      <c r="B15" s="41">
        <v>13.0</v>
      </c>
      <c r="C15" s="40" t="s">
        <v>273</v>
      </c>
      <c r="D15" s="22">
        <f t="shared" si="2"/>
        <v>6.863194444</v>
      </c>
      <c r="E15" s="23"/>
      <c r="F15" s="23"/>
      <c r="G15" s="23">
        <v>0.3701388888888889</v>
      </c>
      <c r="H15" s="23">
        <v>0.4201388888888889</v>
      </c>
      <c r="I15" s="26" t="s">
        <v>313</v>
      </c>
      <c r="J15" s="23">
        <v>0.3854166666666667</v>
      </c>
      <c r="K15" s="23">
        <v>0.3333333333333333</v>
      </c>
      <c r="L15" s="23"/>
      <c r="M15" s="23"/>
      <c r="N15" s="23">
        <v>0.35833333333333334</v>
      </c>
      <c r="O15" s="116">
        <v>0.3861111111111111</v>
      </c>
      <c r="P15" s="116">
        <v>0.3451388888888889</v>
      </c>
      <c r="Q15" s="116">
        <v>0.34930555555555554</v>
      </c>
      <c r="R15" s="117">
        <v>0.3333333333333333</v>
      </c>
      <c r="S15" s="115"/>
      <c r="T15" s="115"/>
      <c r="U15" s="116">
        <v>0.35625</v>
      </c>
      <c r="V15" s="116">
        <v>0.35347222222222224</v>
      </c>
      <c r="W15" s="116">
        <v>0.3527777777777778</v>
      </c>
      <c r="X15" s="116">
        <v>0.44166666666666665</v>
      </c>
      <c r="Y15" s="117">
        <v>0.3333333333333333</v>
      </c>
      <c r="Z15" s="115"/>
      <c r="AA15" s="115"/>
      <c r="AB15" s="116">
        <v>0.3527777777777778</v>
      </c>
      <c r="AC15" s="116">
        <v>0.35694444444444445</v>
      </c>
      <c r="AD15" s="116">
        <v>0.3451388888888889</v>
      </c>
      <c r="AE15" s="116">
        <v>0.35625</v>
      </c>
      <c r="AF15" s="117">
        <v>0.3333333333333333</v>
      </c>
      <c r="AG15" s="115"/>
      <c r="AH15" s="23"/>
      <c r="AI15" s="23"/>
    </row>
    <row r="16">
      <c r="A16" s="32"/>
      <c r="B16" s="33">
        <v>14.0</v>
      </c>
      <c r="C16" s="35" t="s">
        <v>254</v>
      </c>
      <c r="D16" s="22">
        <f t="shared" si="2"/>
        <v>6.263888889</v>
      </c>
      <c r="E16" s="23"/>
      <c r="F16" s="23"/>
      <c r="G16" s="23">
        <v>0.3541666666666667</v>
      </c>
      <c r="H16" s="23">
        <v>0.3541666666666667</v>
      </c>
      <c r="I16" s="26" t="s">
        <v>313</v>
      </c>
      <c r="J16" s="23">
        <v>0.3541666666666667</v>
      </c>
      <c r="K16" s="23">
        <v>0.3541666666666667</v>
      </c>
      <c r="L16" s="23"/>
      <c r="M16" s="23"/>
      <c r="N16" s="23">
        <v>0.3680555555555556</v>
      </c>
      <c r="O16" s="116">
        <v>0.36041666666666666</v>
      </c>
      <c r="P16" s="116">
        <v>0.375</v>
      </c>
      <c r="Q16" s="116">
        <v>0.3298611111111111</v>
      </c>
      <c r="R16" s="116">
        <v>0.3527777777777778</v>
      </c>
      <c r="S16" s="115"/>
      <c r="T16" s="115"/>
      <c r="U16" s="116">
        <v>0.3659722222222222</v>
      </c>
      <c r="V16" s="116">
        <v>0.3625</v>
      </c>
      <c r="W16" s="114" t="s">
        <v>271</v>
      </c>
      <c r="X16" s="117">
        <v>0.3659722222222222</v>
      </c>
      <c r="Y16" s="116">
        <v>0.35347222222222224</v>
      </c>
      <c r="Z16" s="115"/>
      <c r="AA16" s="115"/>
      <c r="AB16" s="116">
        <v>0.3611111111111111</v>
      </c>
      <c r="AC16" s="116">
        <v>0.36041666666666666</v>
      </c>
      <c r="AD16" s="117">
        <v>0.16666666666666666</v>
      </c>
      <c r="AE16" s="116">
        <v>0.37083333333333335</v>
      </c>
      <c r="AF16" s="117">
        <v>0.3541666666666667</v>
      </c>
      <c r="AG16" s="115"/>
      <c r="AH16" s="23"/>
      <c r="AI16" s="23"/>
    </row>
    <row r="17">
      <c r="A17" s="42" t="s">
        <v>274</v>
      </c>
      <c r="B17" s="33">
        <v>14.0</v>
      </c>
      <c r="C17" s="35" t="s">
        <v>213</v>
      </c>
      <c r="D17" s="22">
        <f t="shared" si="2"/>
        <v>6.699305556</v>
      </c>
      <c r="E17" s="25"/>
      <c r="F17" s="25"/>
      <c r="G17" s="26" t="s">
        <v>271</v>
      </c>
      <c r="H17" s="23">
        <v>0.3541666666666667</v>
      </c>
      <c r="I17" s="26" t="s">
        <v>313</v>
      </c>
      <c r="J17" s="26" t="s">
        <v>269</v>
      </c>
      <c r="K17" s="23">
        <v>0.3541666666666667</v>
      </c>
      <c r="L17" s="23"/>
      <c r="M17" s="23"/>
      <c r="N17" s="23">
        <v>0.4847222222222222</v>
      </c>
      <c r="O17" s="116">
        <v>0.48125</v>
      </c>
      <c r="P17" s="116">
        <v>0.47291666666666665</v>
      </c>
      <c r="Q17" s="116">
        <v>0.29444444444444445</v>
      </c>
      <c r="R17" s="23">
        <v>0.3541666666666667</v>
      </c>
      <c r="S17" s="115"/>
      <c r="T17" s="115"/>
      <c r="U17" s="116">
        <v>0.4486111111111111</v>
      </c>
      <c r="V17" s="116">
        <v>0.4465277777777778</v>
      </c>
      <c r="W17" s="116">
        <v>0.4041666666666667</v>
      </c>
      <c r="X17" s="116">
        <v>0.3034722222222222</v>
      </c>
      <c r="Y17" s="117">
        <v>0.3541666666666667</v>
      </c>
      <c r="Z17" s="115"/>
      <c r="AA17" s="115"/>
      <c r="AB17" s="116">
        <v>0.36527777777777776</v>
      </c>
      <c r="AC17" s="116">
        <v>0.4375</v>
      </c>
      <c r="AD17" s="116">
        <v>0.45694444444444443</v>
      </c>
      <c r="AE17" s="116">
        <v>0.3326388888888889</v>
      </c>
      <c r="AF17" s="117">
        <v>0.3541666666666667</v>
      </c>
      <c r="AG17" s="115"/>
      <c r="AH17" s="23"/>
      <c r="AI17" s="23"/>
    </row>
    <row r="18">
      <c r="A18" s="32"/>
      <c r="B18" s="33">
        <v>15.0</v>
      </c>
      <c r="C18" s="43" t="s">
        <v>54</v>
      </c>
      <c r="D18" s="22">
        <f t="shared" si="2"/>
        <v>5.377083333</v>
      </c>
      <c r="E18" s="25"/>
      <c r="F18" s="23"/>
      <c r="G18" s="23">
        <v>0.35555555555555557</v>
      </c>
      <c r="H18" s="23">
        <v>0.09375</v>
      </c>
      <c r="I18" s="26" t="s">
        <v>313</v>
      </c>
      <c r="J18" s="23">
        <v>0.4083333333333333</v>
      </c>
      <c r="K18" s="23">
        <v>0.3541666666666667</v>
      </c>
      <c r="L18" s="23"/>
      <c r="M18" s="23"/>
      <c r="N18" s="23">
        <v>0.3541666666666667</v>
      </c>
      <c r="O18" s="116">
        <v>0.3472222222222222</v>
      </c>
      <c r="P18" s="114" t="s">
        <v>269</v>
      </c>
      <c r="Q18" s="114" t="s">
        <v>269</v>
      </c>
      <c r="R18" s="114" t="s">
        <v>269</v>
      </c>
      <c r="S18" s="115"/>
      <c r="T18" s="115"/>
      <c r="U18" s="117">
        <v>0.3541666666666667</v>
      </c>
      <c r="V18" s="117">
        <v>0.3541666666666667</v>
      </c>
      <c r="W18" s="117">
        <v>0.3541666666666667</v>
      </c>
      <c r="X18" s="117">
        <v>0.3541666666666667</v>
      </c>
      <c r="Y18" s="117">
        <v>0.3541666666666667</v>
      </c>
      <c r="Z18" s="115"/>
      <c r="AA18" s="115"/>
      <c r="AB18" s="116">
        <v>0.4013888888888889</v>
      </c>
      <c r="AC18" s="116">
        <v>0.40208333333333335</v>
      </c>
      <c r="AD18" s="116">
        <v>0.36875</v>
      </c>
      <c r="AE18" s="117">
        <v>0.16666666666666666</v>
      </c>
      <c r="AF18" s="117">
        <v>0.3541666666666667</v>
      </c>
      <c r="AG18" s="115"/>
      <c r="AH18" s="23"/>
      <c r="AI18" s="23"/>
    </row>
    <row r="19">
      <c r="A19" s="32"/>
      <c r="B19" s="33">
        <v>16.0</v>
      </c>
      <c r="C19" s="43" t="s">
        <v>159</v>
      </c>
      <c r="D19" s="22">
        <f t="shared" si="2"/>
        <v>6.422222222</v>
      </c>
      <c r="E19" s="23"/>
      <c r="F19" s="23"/>
      <c r="G19" s="118">
        <v>0.37083333333333335</v>
      </c>
      <c r="H19" s="23">
        <v>0.39652777777777776</v>
      </c>
      <c r="I19" s="23">
        <v>0.3541666666666667</v>
      </c>
      <c r="J19" s="23">
        <v>0.39305555555555555</v>
      </c>
      <c r="K19" s="23">
        <v>0.3541666666666667</v>
      </c>
      <c r="L19" s="23"/>
      <c r="M19" s="23"/>
      <c r="N19" s="23">
        <v>0.36319444444444443</v>
      </c>
      <c r="O19" s="117">
        <v>0.16666666666666666</v>
      </c>
      <c r="P19" s="116">
        <v>0.36736111111111114</v>
      </c>
      <c r="Q19" s="116">
        <v>0.3736111111111111</v>
      </c>
      <c r="R19" s="23">
        <v>0.3541666666666667</v>
      </c>
      <c r="S19" s="115"/>
      <c r="T19" s="115"/>
      <c r="U19" s="114" t="s">
        <v>271</v>
      </c>
      <c r="V19" s="114" t="s">
        <v>271</v>
      </c>
      <c r="W19" s="116">
        <v>0.36180555555555555</v>
      </c>
      <c r="X19" s="117">
        <v>0.3541666666666667</v>
      </c>
      <c r="Y19" s="117">
        <v>0.3541666666666667</v>
      </c>
      <c r="Z19" s="115"/>
      <c r="AA19" s="115"/>
      <c r="AB19" s="116">
        <v>0.3819444444444444</v>
      </c>
      <c r="AC19" s="116">
        <v>0.38055555555555554</v>
      </c>
      <c r="AD19" s="116">
        <v>0.375</v>
      </c>
      <c r="AE19" s="116">
        <v>0.36666666666666664</v>
      </c>
      <c r="AF19" s="117">
        <v>0.3541666666666667</v>
      </c>
      <c r="AG19" s="115"/>
      <c r="AH19" s="23"/>
      <c r="AI19" s="23"/>
    </row>
    <row r="20">
      <c r="A20" s="32"/>
      <c r="B20" s="20">
        <v>17.0</v>
      </c>
      <c r="C20" s="35" t="s">
        <v>156</v>
      </c>
      <c r="D20" s="22">
        <f t="shared" si="2"/>
        <v>6.954861111</v>
      </c>
      <c r="E20" s="25"/>
      <c r="F20" s="25"/>
      <c r="G20" s="23">
        <v>0.35</v>
      </c>
      <c r="H20" s="23">
        <v>0.39375</v>
      </c>
      <c r="I20" s="23">
        <v>0.21875</v>
      </c>
      <c r="J20" s="23">
        <v>0.39375</v>
      </c>
      <c r="K20" s="23">
        <v>0.22152777777777777</v>
      </c>
      <c r="L20" s="23"/>
      <c r="M20" s="23"/>
      <c r="N20" s="23">
        <v>0.3875</v>
      </c>
      <c r="O20" s="116">
        <v>0.40208333333333335</v>
      </c>
      <c r="P20" s="116">
        <v>0.3902777777777778</v>
      </c>
      <c r="Q20" s="116">
        <v>0.35138888888888886</v>
      </c>
      <c r="R20" s="23">
        <v>0.3541666666666667</v>
      </c>
      <c r="S20" s="115"/>
      <c r="T20" s="115"/>
      <c r="U20" s="114" t="s">
        <v>314</v>
      </c>
      <c r="V20" s="116">
        <v>0.41458333333333336</v>
      </c>
      <c r="W20" s="116">
        <v>0.4173611111111111</v>
      </c>
      <c r="X20" s="116">
        <v>0.39166666666666666</v>
      </c>
      <c r="Y20" s="117">
        <v>0.3541666666666667</v>
      </c>
      <c r="Z20" s="115"/>
      <c r="AA20" s="115"/>
      <c r="AB20" s="116">
        <v>0.39166666666666666</v>
      </c>
      <c r="AC20" s="116">
        <v>0.4097222222222222</v>
      </c>
      <c r="AD20" s="116">
        <v>0.39166666666666666</v>
      </c>
      <c r="AE20" s="116">
        <v>0.36666666666666664</v>
      </c>
      <c r="AF20" s="117">
        <v>0.3541666666666667</v>
      </c>
      <c r="AG20" s="115"/>
      <c r="AH20" s="23"/>
      <c r="AI20" s="23"/>
    </row>
    <row r="21">
      <c r="A21" s="32"/>
      <c r="B21" s="38">
        <v>18.0</v>
      </c>
      <c r="C21" s="44" t="s">
        <v>275</v>
      </c>
      <c r="D21" s="22">
        <f t="shared" si="2"/>
        <v>6.220833333</v>
      </c>
      <c r="E21" s="25"/>
      <c r="F21" s="25"/>
      <c r="G21" s="23">
        <v>0.38680555555555557</v>
      </c>
      <c r="H21" s="23">
        <v>0.06805555555555555</v>
      </c>
      <c r="I21" s="26" t="s">
        <v>313</v>
      </c>
      <c r="J21" s="23">
        <v>0.4270833333333333</v>
      </c>
      <c r="K21" s="23">
        <v>0.3125</v>
      </c>
      <c r="L21" s="23"/>
      <c r="M21" s="23"/>
      <c r="N21" s="23">
        <v>0.3902777777777778</v>
      </c>
      <c r="O21" s="116">
        <v>0.3888888888888889</v>
      </c>
      <c r="P21" s="116">
        <v>0.42083333333333334</v>
      </c>
      <c r="Q21" s="116">
        <v>0.4215277777777778</v>
      </c>
      <c r="R21" s="116">
        <v>0.325</v>
      </c>
      <c r="S21" s="115"/>
      <c r="T21" s="115"/>
      <c r="U21" s="116">
        <v>0.35208333333333336</v>
      </c>
      <c r="V21" s="116">
        <v>0.40694444444444444</v>
      </c>
      <c r="W21" s="116">
        <v>0.39375</v>
      </c>
      <c r="X21" s="117">
        <v>0.3333333333333333</v>
      </c>
      <c r="Y21" s="116">
        <v>0.3145833333333333</v>
      </c>
      <c r="Z21" s="115"/>
      <c r="AA21" s="115"/>
      <c r="AB21" s="116">
        <v>0.3486111111111111</v>
      </c>
      <c r="AC21" s="116">
        <v>0.3875</v>
      </c>
      <c r="AD21" s="117">
        <v>0.16666666666666666</v>
      </c>
      <c r="AE21" s="114" t="s">
        <v>269</v>
      </c>
      <c r="AF21" s="116">
        <v>0.3763888888888889</v>
      </c>
      <c r="AG21" s="115"/>
      <c r="AH21" s="23"/>
      <c r="AI21" s="23"/>
    </row>
    <row r="22">
      <c r="A22" s="32"/>
      <c r="B22" s="33">
        <v>19.0</v>
      </c>
      <c r="C22" s="31" t="s">
        <v>57</v>
      </c>
      <c r="D22" s="22">
        <f t="shared" si="2"/>
        <v>6.242361111</v>
      </c>
      <c r="E22" s="26"/>
      <c r="F22" s="26"/>
      <c r="G22" s="23">
        <v>0.3729166666666667</v>
      </c>
      <c r="H22" s="23">
        <v>0.08125</v>
      </c>
      <c r="I22" s="23">
        <v>0.3541666666666667</v>
      </c>
      <c r="J22" s="23">
        <v>0.3715277777777778</v>
      </c>
      <c r="K22" s="23">
        <v>0.3541666666666667</v>
      </c>
      <c r="L22" s="23"/>
      <c r="M22" s="23"/>
      <c r="N22" s="23">
        <v>0.3541666666666667</v>
      </c>
      <c r="O22" s="116">
        <v>0.3541666666666667</v>
      </c>
      <c r="P22" s="116">
        <v>0.36041666666666666</v>
      </c>
      <c r="Q22" s="117">
        <v>0.16666666666666666</v>
      </c>
      <c r="R22" s="23">
        <v>0.3541666666666667</v>
      </c>
      <c r="S22" s="115"/>
      <c r="T22" s="115"/>
      <c r="U22" s="116">
        <v>0.41041666666666665</v>
      </c>
      <c r="V22" s="114" t="s">
        <v>315</v>
      </c>
      <c r="W22" s="116">
        <v>0.30625</v>
      </c>
      <c r="X22" s="116">
        <v>0.2263888888888889</v>
      </c>
      <c r="Y22" s="117">
        <v>0.3541666666666667</v>
      </c>
      <c r="Z22" s="115"/>
      <c r="AA22" s="115"/>
      <c r="AB22" s="116">
        <v>0.38472222222222224</v>
      </c>
      <c r="AC22" s="116">
        <v>0.36875</v>
      </c>
      <c r="AD22" s="116">
        <v>0.3861111111111111</v>
      </c>
      <c r="AE22" s="116">
        <v>0.3277777777777778</v>
      </c>
      <c r="AF22" s="117">
        <v>0.3541666666666667</v>
      </c>
      <c r="AG22" s="115"/>
      <c r="AH22" s="23"/>
      <c r="AI22" s="23"/>
    </row>
    <row r="23">
      <c r="A23" s="32"/>
      <c r="B23" s="41">
        <v>20.0</v>
      </c>
      <c r="C23" s="40" t="s">
        <v>51</v>
      </c>
      <c r="D23" s="22">
        <f t="shared" si="2"/>
        <v>7.170833333</v>
      </c>
      <c r="E23" s="25"/>
      <c r="F23" s="25"/>
      <c r="G23" s="23">
        <v>0.4326388888888889</v>
      </c>
      <c r="H23" s="23">
        <v>0.5722222222222222</v>
      </c>
      <c r="I23" s="23">
        <v>0.3333333333333333</v>
      </c>
      <c r="J23" s="23">
        <v>0.3333333333333333</v>
      </c>
      <c r="K23" s="23">
        <v>0.3333333333333333</v>
      </c>
      <c r="L23" s="23"/>
      <c r="M23" s="23"/>
      <c r="N23" s="23">
        <v>0.48333333333333334</v>
      </c>
      <c r="O23" s="116">
        <v>0.4076388888888889</v>
      </c>
      <c r="P23" s="117">
        <v>0.4166666666666667</v>
      </c>
      <c r="Q23" s="117">
        <v>0.375</v>
      </c>
      <c r="R23" s="23">
        <v>0.3333333333333333</v>
      </c>
      <c r="S23" s="115"/>
      <c r="T23" s="115"/>
      <c r="U23" s="114" t="s">
        <v>269</v>
      </c>
      <c r="V23" s="114" t="s">
        <v>269</v>
      </c>
      <c r="W23" s="117">
        <v>0.4888888888888889</v>
      </c>
      <c r="X23" s="116">
        <v>0.33611111111111114</v>
      </c>
      <c r="Y23" s="117">
        <v>0.3333333333333333</v>
      </c>
      <c r="Z23" s="115"/>
      <c r="AA23" s="115"/>
      <c r="AB23" s="117">
        <v>0.44930555555555557</v>
      </c>
      <c r="AC23" s="117">
        <v>0.16666666666666666</v>
      </c>
      <c r="AD23" s="117">
        <v>0.5416666666666666</v>
      </c>
      <c r="AE23" s="117">
        <v>0.5006944444444444</v>
      </c>
      <c r="AF23" s="117">
        <v>0.3333333333333333</v>
      </c>
      <c r="AG23" s="115"/>
      <c r="AH23" s="23"/>
      <c r="AI23" s="23"/>
    </row>
    <row r="24">
      <c r="A24" s="32"/>
      <c r="B24" s="38">
        <v>21.0</v>
      </c>
      <c r="C24" s="45" t="s">
        <v>78</v>
      </c>
      <c r="D24" s="22">
        <f t="shared" si="2"/>
        <v>6.588888889</v>
      </c>
      <c r="E24" s="25"/>
      <c r="F24" s="25"/>
      <c r="G24" s="23">
        <v>0.39791666666666664</v>
      </c>
      <c r="H24" s="26" t="s">
        <v>269</v>
      </c>
      <c r="I24" s="26" t="s">
        <v>313</v>
      </c>
      <c r="J24" s="23">
        <v>0.3333333333333333</v>
      </c>
      <c r="K24" s="23">
        <v>0.3333333333333333</v>
      </c>
      <c r="L24" s="23"/>
      <c r="M24" s="23"/>
      <c r="N24" s="23">
        <v>0.3333333333333333</v>
      </c>
      <c r="O24" s="23">
        <v>0.3333333333333333</v>
      </c>
      <c r="P24" s="23">
        <v>0.3333333333333333</v>
      </c>
      <c r="Q24" s="23">
        <v>0.3333333333333333</v>
      </c>
      <c r="R24" s="23">
        <v>0.3333333333333333</v>
      </c>
      <c r="S24" s="115"/>
      <c r="T24" s="115"/>
      <c r="U24" s="116">
        <v>0.3638888888888889</v>
      </c>
      <c r="V24" s="116">
        <v>0.4013888888888889</v>
      </c>
      <c r="W24" s="116">
        <v>0.44722222222222224</v>
      </c>
      <c r="X24" s="116">
        <v>0.4013888888888889</v>
      </c>
      <c r="Y24" s="117">
        <v>0.3333333333333333</v>
      </c>
      <c r="Z24" s="115"/>
      <c r="AA24" s="115"/>
      <c r="AB24" s="116">
        <v>0.3819444444444444</v>
      </c>
      <c r="AC24" s="116">
        <v>0.39444444444444443</v>
      </c>
      <c r="AD24" s="116">
        <v>0.3909722222222222</v>
      </c>
      <c r="AE24" s="116">
        <v>0.4097222222222222</v>
      </c>
      <c r="AF24" s="117">
        <v>0.3333333333333333</v>
      </c>
      <c r="AG24" s="115"/>
      <c r="AH24" s="23"/>
      <c r="AI24" s="23"/>
    </row>
    <row r="25">
      <c r="A25" s="32"/>
      <c r="B25" s="38">
        <v>22.0</v>
      </c>
      <c r="C25" s="46" t="s">
        <v>132</v>
      </c>
      <c r="D25" s="22">
        <f t="shared" si="2"/>
        <v>7.4125</v>
      </c>
      <c r="E25" s="23"/>
      <c r="F25" s="25"/>
      <c r="G25" s="23">
        <v>0.4423611111111111</v>
      </c>
      <c r="H25" s="23">
        <v>0.42777777777777776</v>
      </c>
      <c r="I25" s="26" t="s">
        <v>313</v>
      </c>
      <c r="J25" s="23">
        <v>0.45416666666666666</v>
      </c>
      <c r="K25" s="23">
        <v>0.3333333333333333</v>
      </c>
      <c r="L25" s="23"/>
      <c r="M25" s="23"/>
      <c r="N25" s="23">
        <v>0.44722222222222224</v>
      </c>
      <c r="O25" s="116">
        <v>0.3798611111111111</v>
      </c>
      <c r="P25" s="114" t="s">
        <v>269</v>
      </c>
      <c r="Q25" s="116">
        <v>0.42291666666666666</v>
      </c>
      <c r="R25" s="116">
        <v>0.41805555555555557</v>
      </c>
      <c r="S25" s="115"/>
      <c r="T25" s="115"/>
      <c r="U25" s="117">
        <v>0.5805555555555556</v>
      </c>
      <c r="V25" s="116">
        <v>0.40625</v>
      </c>
      <c r="W25" s="116">
        <v>0.41875</v>
      </c>
      <c r="X25" s="116">
        <v>0.4076388888888889</v>
      </c>
      <c r="Y25" s="117">
        <v>0.3333333333333333</v>
      </c>
      <c r="Z25" s="115"/>
      <c r="AA25" s="115"/>
      <c r="AB25" s="116">
        <v>0.3159722222222222</v>
      </c>
      <c r="AC25" s="116">
        <v>0.38055555555555554</v>
      </c>
      <c r="AD25" s="116">
        <v>0.4027777777777778</v>
      </c>
      <c r="AE25" s="116">
        <v>0.5076388888888889</v>
      </c>
      <c r="AF25" s="117">
        <v>0.3333333333333333</v>
      </c>
      <c r="AG25" s="115"/>
      <c r="AH25" s="23"/>
      <c r="AI25" s="23"/>
    </row>
    <row r="26">
      <c r="A26" s="32"/>
      <c r="B26" s="41">
        <v>23.0</v>
      </c>
      <c r="C26" s="47" t="s">
        <v>87</v>
      </c>
      <c r="D26" s="22">
        <f t="shared" si="2"/>
        <v>6.424305556</v>
      </c>
      <c r="E26" s="25"/>
      <c r="F26" s="25"/>
      <c r="G26" s="23">
        <v>0.3819444444444444</v>
      </c>
      <c r="H26" s="23">
        <v>0.10416666666666667</v>
      </c>
      <c r="I26" s="26" t="s">
        <v>313</v>
      </c>
      <c r="J26" s="23">
        <v>0.41041666666666665</v>
      </c>
      <c r="K26" s="23">
        <v>0.3333333333333333</v>
      </c>
      <c r="L26" s="23"/>
      <c r="M26" s="23"/>
      <c r="N26" s="23">
        <v>0.16666666666666666</v>
      </c>
      <c r="O26" s="116">
        <v>0.35347222222222224</v>
      </c>
      <c r="P26" s="116">
        <v>0.38333333333333336</v>
      </c>
      <c r="Q26" s="116">
        <v>0.38263888888888886</v>
      </c>
      <c r="R26" s="23">
        <v>0.3333333333333333</v>
      </c>
      <c r="S26" s="115"/>
      <c r="T26" s="115"/>
      <c r="U26" s="116">
        <v>0.3715277777777778</v>
      </c>
      <c r="V26" s="116">
        <v>0.37916666666666665</v>
      </c>
      <c r="W26" s="116">
        <v>0.3729166666666667</v>
      </c>
      <c r="X26" s="116">
        <v>0.36041666666666666</v>
      </c>
      <c r="Y26" s="117">
        <v>0.3333333333333333</v>
      </c>
      <c r="Z26" s="115"/>
      <c r="AA26" s="115"/>
      <c r="AB26" s="116">
        <v>0.2708333333333333</v>
      </c>
      <c r="AC26" s="116">
        <v>0.3611111111111111</v>
      </c>
      <c r="AD26" s="116">
        <v>0.36875</v>
      </c>
      <c r="AE26" s="116">
        <v>0.4236111111111111</v>
      </c>
      <c r="AF26" s="117">
        <v>0.3333333333333333</v>
      </c>
      <c r="AG26" s="115"/>
      <c r="AH26" s="23"/>
      <c r="AI26" s="23"/>
    </row>
    <row r="27">
      <c r="A27" s="32"/>
      <c r="B27" s="38">
        <v>24.0</v>
      </c>
      <c r="C27" s="45" t="s">
        <v>99</v>
      </c>
      <c r="D27" s="22">
        <f t="shared" si="2"/>
        <v>5.839583333</v>
      </c>
      <c r="E27" s="26"/>
      <c r="F27" s="25"/>
      <c r="G27" s="23">
        <v>0.3229166666666667</v>
      </c>
      <c r="H27" s="23">
        <v>0.07222222222222222</v>
      </c>
      <c r="I27" s="26" t="s">
        <v>313</v>
      </c>
      <c r="J27" s="23">
        <v>0.4152777777777778</v>
      </c>
      <c r="K27" s="23">
        <v>0.3333333333333333</v>
      </c>
      <c r="L27" s="23"/>
      <c r="M27" s="23"/>
      <c r="N27" s="23">
        <v>0.42986111111111114</v>
      </c>
      <c r="O27" s="116">
        <v>0.31527777777777777</v>
      </c>
      <c r="P27" s="116">
        <v>0.3</v>
      </c>
      <c r="Q27" s="116">
        <v>0.3326388888888889</v>
      </c>
      <c r="R27" s="23">
        <v>0.3333333333333333</v>
      </c>
      <c r="S27" s="115"/>
      <c r="T27" s="115"/>
      <c r="U27" s="116">
        <v>0.3645833333333333</v>
      </c>
      <c r="V27" s="116">
        <v>0.3472222222222222</v>
      </c>
      <c r="W27" s="116">
        <v>0.37430555555555556</v>
      </c>
      <c r="X27" s="117">
        <v>0.3333333333333333</v>
      </c>
      <c r="Y27" s="117">
        <v>0.3333333333333333</v>
      </c>
      <c r="Z27" s="115"/>
      <c r="AA27" s="115"/>
      <c r="AB27" s="114" t="s">
        <v>271</v>
      </c>
      <c r="AC27" s="116">
        <v>0.33958333333333335</v>
      </c>
      <c r="AD27" s="117">
        <v>0.16666666666666666</v>
      </c>
      <c r="AE27" s="116">
        <v>0.3923611111111111</v>
      </c>
      <c r="AF27" s="117">
        <v>0.3333333333333333</v>
      </c>
      <c r="AG27" s="115"/>
      <c r="AH27" s="23"/>
      <c r="AI27" s="23"/>
    </row>
    <row r="28">
      <c r="A28" s="32"/>
      <c r="B28" s="38">
        <v>25.0</v>
      </c>
      <c r="C28" s="45" t="s">
        <v>93</v>
      </c>
      <c r="D28" s="22">
        <f t="shared" si="2"/>
        <v>7.931944444</v>
      </c>
      <c r="E28" s="25"/>
      <c r="F28" s="25"/>
      <c r="G28" s="23">
        <v>0.44305555555555554</v>
      </c>
      <c r="H28" s="23">
        <v>0.42777777777777776</v>
      </c>
      <c r="I28" s="26" t="s">
        <v>313</v>
      </c>
      <c r="J28" s="23">
        <v>0.4548611111111111</v>
      </c>
      <c r="K28" s="23">
        <v>0.3333333333333333</v>
      </c>
      <c r="L28" s="23"/>
      <c r="M28" s="23"/>
      <c r="N28" s="23">
        <v>0.44722222222222224</v>
      </c>
      <c r="O28" s="116">
        <v>0.42430555555555555</v>
      </c>
      <c r="P28" s="116">
        <v>0.4777777777777778</v>
      </c>
      <c r="Q28" s="116">
        <v>0.3909722222222222</v>
      </c>
      <c r="R28" s="116">
        <v>0.4222222222222222</v>
      </c>
      <c r="S28" s="115"/>
      <c r="T28" s="115"/>
      <c r="U28" s="116">
        <v>0.3854166666666667</v>
      </c>
      <c r="V28" s="116">
        <v>0.43472222222222223</v>
      </c>
      <c r="W28" s="116">
        <v>0.3923611111111111</v>
      </c>
      <c r="X28" s="116">
        <v>0.40347222222222223</v>
      </c>
      <c r="Y28" s="117">
        <v>0.3333333333333333</v>
      </c>
      <c r="Z28" s="115"/>
      <c r="AA28" s="115"/>
      <c r="AB28" s="116">
        <v>0.43125</v>
      </c>
      <c r="AC28" s="116">
        <v>0.4263888888888889</v>
      </c>
      <c r="AD28" s="116">
        <v>0.47847222222222224</v>
      </c>
      <c r="AE28" s="116">
        <v>0.49166666666666664</v>
      </c>
      <c r="AF28" s="117">
        <v>0.3333333333333333</v>
      </c>
      <c r="AG28" s="115"/>
      <c r="AH28" s="23"/>
      <c r="AI28" s="23"/>
    </row>
    <row r="29">
      <c r="A29" s="32"/>
      <c r="B29" s="41">
        <v>26.0</v>
      </c>
      <c r="C29" s="46" t="s">
        <v>135</v>
      </c>
      <c r="D29" s="22">
        <f t="shared" si="2"/>
        <v>7.033333333</v>
      </c>
      <c r="E29" s="25"/>
      <c r="F29" s="25"/>
      <c r="G29" s="23">
        <v>0.44375</v>
      </c>
      <c r="H29" s="23">
        <v>0.06458333333333334</v>
      </c>
      <c r="I29" s="26" t="s">
        <v>313</v>
      </c>
      <c r="J29" s="23">
        <v>0.42986111111111114</v>
      </c>
      <c r="K29" s="23">
        <v>0.3333333333333333</v>
      </c>
      <c r="L29" s="23"/>
      <c r="M29" s="23"/>
      <c r="N29" s="23">
        <v>0.4222222222222222</v>
      </c>
      <c r="O29" s="116">
        <v>0.3861111111111111</v>
      </c>
      <c r="P29" s="116">
        <v>0.45208333333333334</v>
      </c>
      <c r="Q29" s="116">
        <v>0.41180555555555554</v>
      </c>
      <c r="R29" s="23">
        <v>0.3333333333333333</v>
      </c>
      <c r="S29" s="115"/>
      <c r="T29" s="115"/>
      <c r="U29" s="116">
        <v>0.3770833333333333</v>
      </c>
      <c r="V29" s="116">
        <v>0.40555555555555556</v>
      </c>
      <c r="W29" s="114" t="s">
        <v>269</v>
      </c>
      <c r="X29" s="116">
        <v>0.4</v>
      </c>
      <c r="Y29" s="117">
        <v>0.3333333333333333</v>
      </c>
      <c r="Z29" s="115"/>
      <c r="AA29" s="115"/>
      <c r="AB29" s="116">
        <v>0.4131944444444444</v>
      </c>
      <c r="AC29" s="116">
        <v>0.40694444444444444</v>
      </c>
      <c r="AD29" s="117">
        <v>0.6194444444444445</v>
      </c>
      <c r="AE29" s="116">
        <v>0.4673611111111111</v>
      </c>
      <c r="AF29" s="117">
        <v>0.3333333333333333</v>
      </c>
      <c r="AG29" s="115"/>
      <c r="AH29" s="26"/>
      <c r="AI29" s="23"/>
    </row>
    <row r="30">
      <c r="A30" s="32"/>
      <c r="B30" s="38">
        <v>27.0</v>
      </c>
      <c r="C30" s="47" t="s">
        <v>183</v>
      </c>
      <c r="D30" s="22">
        <f t="shared" si="2"/>
        <v>7.355555556</v>
      </c>
      <c r="E30" s="25"/>
      <c r="F30" s="25"/>
      <c r="G30" s="23">
        <v>0.39791666666666664</v>
      </c>
      <c r="H30" s="23">
        <v>0.4041666666666667</v>
      </c>
      <c r="I30" s="26" t="s">
        <v>313</v>
      </c>
      <c r="J30" s="23">
        <v>0.4798611111111111</v>
      </c>
      <c r="K30" s="23">
        <v>0.3333333333333333</v>
      </c>
      <c r="L30" s="23"/>
      <c r="M30" s="23"/>
      <c r="N30" s="23">
        <v>0.40069444444444446</v>
      </c>
      <c r="O30" s="116">
        <v>0.39166666666666666</v>
      </c>
      <c r="P30" s="116">
        <v>0.30694444444444446</v>
      </c>
      <c r="Q30" s="116">
        <v>0.4215277777777778</v>
      </c>
      <c r="R30" s="23">
        <v>0.3333333333333333</v>
      </c>
      <c r="S30" s="115"/>
      <c r="T30" s="115"/>
      <c r="U30" s="117">
        <v>0.5388888888888889</v>
      </c>
      <c r="V30" s="116">
        <v>0.39166666666666666</v>
      </c>
      <c r="W30" s="116">
        <v>0.40694444444444444</v>
      </c>
      <c r="X30" s="116">
        <v>0.41944444444444445</v>
      </c>
      <c r="Y30" s="117">
        <v>0.3333333333333333</v>
      </c>
      <c r="Z30" s="115"/>
      <c r="AA30" s="115"/>
      <c r="AB30" s="116">
        <v>0.3541666666666667</v>
      </c>
      <c r="AC30" s="114" t="s">
        <v>271</v>
      </c>
      <c r="AD30" s="117">
        <v>0.6131944444444445</v>
      </c>
      <c r="AE30" s="116">
        <v>0.4951388888888889</v>
      </c>
      <c r="AF30" s="117">
        <v>0.3333333333333333</v>
      </c>
      <c r="AG30" s="115"/>
      <c r="AH30" s="23"/>
      <c r="AI30" s="23"/>
    </row>
    <row r="31">
      <c r="A31" s="32"/>
      <c r="B31" s="38">
        <v>28.0</v>
      </c>
      <c r="C31" s="45" t="s">
        <v>186</v>
      </c>
      <c r="D31" s="22">
        <f t="shared" si="2"/>
        <v>5.877083333</v>
      </c>
      <c r="E31" s="23"/>
      <c r="F31" s="23"/>
      <c r="G31" s="23">
        <v>0.42569444444444443</v>
      </c>
      <c r="H31" s="23">
        <v>0.3333333333333333</v>
      </c>
      <c r="I31" s="26" t="s">
        <v>313</v>
      </c>
      <c r="J31" s="23">
        <v>0.3333333333333333</v>
      </c>
      <c r="K31" s="23">
        <v>0.3333333333333333</v>
      </c>
      <c r="L31" s="23"/>
      <c r="M31" s="23"/>
      <c r="N31" s="23">
        <v>0.3333333333333333</v>
      </c>
      <c r="O31" s="23">
        <v>0.3333333333333333</v>
      </c>
      <c r="P31" s="23">
        <v>0.3333333333333333</v>
      </c>
      <c r="Q31" s="23">
        <v>0.3333333333333333</v>
      </c>
      <c r="R31" s="23">
        <v>0.3333333333333333</v>
      </c>
      <c r="S31" s="115"/>
      <c r="T31" s="115"/>
      <c r="U31" s="23">
        <v>0.3333333333333333</v>
      </c>
      <c r="V31" s="26" t="s">
        <v>271</v>
      </c>
      <c r="W31" s="26" t="s">
        <v>271</v>
      </c>
      <c r="X31" s="23">
        <v>0.3333333333333333</v>
      </c>
      <c r="Y31" s="117">
        <v>0.3333333333333333</v>
      </c>
      <c r="Z31" s="115"/>
      <c r="AA31" s="115"/>
      <c r="AB31" s="116">
        <v>0.3819444444444444</v>
      </c>
      <c r="AC31" s="116">
        <v>0.4027777777777778</v>
      </c>
      <c r="AD31" s="117">
        <v>0.3333333333333333</v>
      </c>
      <c r="AE31" s="117">
        <v>0.3333333333333333</v>
      </c>
      <c r="AF31" s="117">
        <v>0.3333333333333333</v>
      </c>
      <c r="AG31" s="115"/>
      <c r="AH31" s="23"/>
      <c r="AI31" s="23"/>
    </row>
    <row r="32">
      <c r="A32" s="32"/>
      <c r="B32" s="41">
        <v>29.0</v>
      </c>
      <c r="C32" s="47" t="s">
        <v>141</v>
      </c>
      <c r="D32" s="22">
        <f t="shared" si="2"/>
        <v>6.522916667</v>
      </c>
      <c r="E32" s="25"/>
      <c r="F32" s="25"/>
      <c r="G32" s="23">
        <v>0.3263888888888889</v>
      </c>
      <c r="H32" s="23">
        <v>0.3333333333333333</v>
      </c>
      <c r="I32" s="26" t="s">
        <v>313</v>
      </c>
      <c r="J32" s="23">
        <v>0.35555555555555557</v>
      </c>
      <c r="K32" s="23">
        <v>0.3333333333333333</v>
      </c>
      <c r="L32" s="23"/>
      <c r="M32" s="23"/>
      <c r="N32" s="23">
        <v>0.3798611111111111</v>
      </c>
      <c r="O32" s="116">
        <v>0.38125</v>
      </c>
      <c r="P32" s="116">
        <v>0.37083333333333335</v>
      </c>
      <c r="Q32" s="114" t="s">
        <v>271</v>
      </c>
      <c r="R32" s="23">
        <v>0.3333333333333333</v>
      </c>
      <c r="S32" s="115"/>
      <c r="T32" s="115"/>
      <c r="U32" s="116">
        <v>0.34375</v>
      </c>
      <c r="V32" s="116">
        <v>0.3784722222222222</v>
      </c>
      <c r="W32" s="116">
        <v>0.4131944444444444</v>
      </c>
      <c r="X32" s="116">
        <v>0.3763888888888889</v>
      </c>
      <c r="Y32" s="117">
        <v>0.3333333333333333</v>
      </c>
      <c r="Z32" s="115"/>
      <c r="AA32" s="115"/>
      <c r="AB32" s="116">
        <v>0.34930555555555554</v>
      </c>
      <c r="AC32" s="116">
        <v>0.375</v>
      </c>
      <c r="AD32" s="116">
        <v>0.3972222222222222</v>
      </c>
      <c r="AE32" s="116">
        <v>0.40902777777777777</v>
      </c>
      <c r="AF32" s="117">
        <v>0.3333333333333333</v>
      </c>
      <c r="AG32" s="115"/>
      <c r="AH32" s="23"/>
      <c r="AI32" s="23"/>
    </row>
    <row r="33">
      <c r="A33" s="15"/>
      <c r="B33" s="38">
        <v>30.0</v>
      </c>
      <c r="C33" s="47" t="s">
        <v>207</v>
      </c>
      <c r="D33" s="22">
        <f t="shared" si="2"/>
        <v>6.35625</v>
      </c>
      <c r="E33" s="25"/>
      <c r="F33" s="25"/>
      <c r="G33" s="23">
        <v>0.42916666666666664</v>
      </c>
      <c r="H33" s="23">
        <v>0.3333333333333333</v>
      </c>
      <c r="I33" s="26" t="s">
        <v>313</v>
      </c>
      <c r="J33" s="23">
        <v>0.3784722222222222</v>
      </c>
      <c r="K33" s="23">
        <v>0.3333333333333333</v>
      </c>
      <c r="L33" s="23"/>
      <c r="M33" s="23"/>
      <c r="N33" s="23">
        <v>0.16666666666666666</v>
      </c>
      <c r="O33" s="116">
        <v>0.325</v>
      </c>
      <c r="P33" s="116">
        <v>0.34097222222222223</v>
      </c>
      <c r="Q33" s="116">
        <v>0.32916666666666666</v>
      </c>
      <c r="R33" s="23">
        <v>0.3333333333333333</v>
      </c>
      <c r="S33" s="115"/>
      <c r="T33" s="115"/>
      <c r="U33" s="114" t="s">
        <v>271</v>
      </c>
      <c r="V33" s="116">
        <v>0.3729166666666667</v>
      </c>
      <c r="W33" s="116">
        <v>0.3638888888888889</v>
      </c>
      <c r="X33" s="116">
        <v>0.4027777777777778</v>
      </c>
      <c r="Y33" s="117">
        <v>0.3333333333333333</v>
      </c>
      <c r="Z33" s="115"/>
      <c r="AA33" s="115"/>
      <c r="AB33" s="116">
        <v>0.3611111111111111</v>
      </c>
      <c r="AC33" s="116">
        <v>0.3729166666666667</v>
      </c>
      <c r="AD33" s="116">
        <v>0.36527777777777776</v>
      </c>
      <c r="AE33" s="116">
        <v>0.48125</v>
      </c>
      <c r="AF33" s="117">
        <v>0.3333333333333333</v>
      </c>
      <c r="AG33" s="115"/>
      <c r="AH33" s="23"/>
      <c r="AI33" s="23"/>
    </row>
    <row r="34">
      <c r="A34" s="48" t="s">
        <v>278</v>
      </c>
      <c r="B34" s="33">
        <v>31.0</v>
      </c>
      <c r="C34" s="31" t="s">
        <v>60</v>
      </c>
      <c r="D34" s="22">
        <f t="shared" si="2"/>
        <v>6.129166667</v>
      </c>
      <c r="E34" s="25"/>
      <c r="F34" s="26"/>
      <c r="G34" s="23">
        <v>0.42916666666666664</v>
      </c>
      <c r="H34" s="26" t="s">
        <v>269</v>
      </c>
      <c r="I34" s="26" t="s">
        <v>313</v>
      </c>
      <c r="J34" s="23">
        <v>0.32083333333333336</v>
      </c>
      <c r="K34" s="23">
        <v>0.3541666666666667</v>
      </c>
      <c r="L34" s="23"/>
      <c r="M34" s="23"/>
      <c r="N34" s="23">
        <v>0.3388888888888889</v>
      </c>
      <c r="O34" s="116">
        <v>0.36527777777777776</v>
      </c>
      <c r="P34" s="116">
        <v>0.3611111111111111</v>
      </c>
      <c r="Q34" s="116">
        <v>0.4152777777777778</v>
      </c>
      <c r="R34" s="23">
        <v>0.3541666666666667</v>
      </c>
      <c r="S34" s="115"/>
      <c r="T34" s="115"/>
      <c r="U34" s="116">
        <v>0.39375</v>
      </c>
      <c r="V34" s="116">
        <v>0.3763888888888889</v>
      </c>
      <c r="W34" s="116">
        <v>0.30694444444444446</v>
      </c>
      <c r="X34" s="116">
        <v>0.38333333333333336</v>
      </c>
      <c r="Y34" s="117">
        <v>0.325</v>
      </c>
      <c r="Z34" s="115"/>
      <c r="AA34" s="115"/>
      <c r="AB34" s="114" t="s">
        <v>271</v>
      </c>
      <c r="AC34" s="117">
        <v>0.29305555555555557</v>
      </c>
      <c r="AD34" s="117">
        <v>0.33958333333333335</v>
      </c>
      <c r="AE34" s="116">
        <v>0.41805555555555557</v>
      </c>
      <c r="AF34" s="117">
        <v>0.3541666666666667</v>
      </c>
      <c r="AG34" s="115"/>
      <c r="AH34" s="23"/>
      <c r="AI34" s="23"/>
    </row>
    <row r="35">
      <c r="A35" s="32"/>
      <c r="B35" s="20">
        <v>32.0</v>
      </c>
      <c r="C35" s="31" t="s">
        <v>249</v>
      </c>
      <c r="D35" s="22">
        <f t="shared" si="2"/>
        <v>6.869444444</v>
      </c>
      <c r="E35" s="25"/>
      <c r="F35" s="26"/>
      <c r="G35" s="23">
        <v>0.3659722222222222</v>
      </c>
      <c r="H35" s="23">
        <v>0.3597222222222222</v>
      </c>
      <c r="I35" s="26" t="s">
        <v>313</v>
      </c>
      <c r="J35" s="23">
        <v>0.36666666666666664</v>
      </c>
      <c r="K35" s="23">
        <v>0.36041666666666666</v>
      </c>
      <c r="L35" s="23"/>
      <c r="M35" s="23"/>
      <c r="N35" s="23">
        <v>0.3638888888888889</v>
      </c>
      <c r="O35" s="116">
        <v>0.3611111111111111</v>
      </c>
      <c r="P35" s="116">
        <v>0.3611111111111111</v>
      </c>
      <c r="Q35" s="116">
        <v>0.3597222222222222</v>
      </c>
      <c r="R35" s="116">
        <v>0.34444444444444444</v>
      </c>
      <c r="S35" s="115"/>
      <c r="T35" s="115"/>
      <c r="U35" s="116">
        <v>0.3590277777777778</v>
      </c>
      <c r="V35" s="116">
        <v>0.36319444444444443</v>
      </c>
      <c r="W35" s="116">
        <v>0.3423611111111111</v>
      </c>
      <c r="X35" s="116">
        <v>0.3680555555555556</v>
      </c>
      <c r="Y35" s="116">
        <v>0.33958333333333335</v>
      </c>
      <c r="Z35" s="115"/>
      <c r="AA35" s="115"/>
      <c r="AB35" s="116">
        <v>0.3701388888888889</v>
      </c>
      <c r="AC35" s="116">
        <v>0.38680555555555557</v>
      </c>
      <c r="AD35" s="116">
        <v>0.36041666666666666</v>
      </c>
      <c r="AE35" s="116">
        <v>0.38263888888888886</v>
      </c>
      <c r="AF35" s="117">
        <v>0.3541666666666667</v>
      </c>
      <c r="AG35" s="115"/>
      <c r="AH35" s="23"/>
      <c r="AI35" s="23"/>
    </row>
    <row r="36">
      <c r="A36" s="32"/>
      <c r="B36" s="33">
        <v>34.0</v>
      </c>
      <c r="C36" s="31" t="s">
        <v>72</v>
      </c>
      <c r="D36" s="22">
        <f t="shared" si="2"/>
        <v>7.278472222</v>
      </c>
      <c r="E36" s="25"/>
      <c r="F36" s="25"/>
      <c r="G36" s="23">
        <v>0.4125</v>
      </c>
      <c r="H36" s="23">
        <v>0.39444444444444443</v>
      </c>
      <c r="I36" s="26" t="s">
        <v>313</v>
      </c>
      <c r="J36" s="23">
        <v>0.42430555555555555</v>
      </c>
      <c r="K36" s="23">
        <v>0.3541666666666667</v>
      </c>
      <c r="L36" s="23"/>
      <c r="M36" s="23"/>
      <c r="N36" s="23">
        <v>0.4125</v>
      </c>
      <c r="O36" s="116">
        <v>0.39791666666666664</v>
      </c>
      <c r="P36" s="116">
        <v>0.42569444444444443</v>
      </c>
      <c r="Q36" s="116">
        <v>0.42083333333333334</v>
      </c>
      <c r="R36" s="116">
        <v>0.40694444444444444</v>
      </c>
      <c r="S36" s="115"/>
      <c r="T36" s="115"/>
      <c r="U36" s="116">
        <v>0.37222222222222223</v>
      </c>
      <c r="V36" s="116">
        <v>0.41805555555555557</v>
      </c>
      <c r="W36" s="114" t="s">
        <v>271</v>
      </c>
      <c r="X36" s="116">
        <v>0.39305555555555555</v>
      </c>
      <c r="Y36" s="116">
        <v>0.4111111111111111</v>
      </c>
      <c r="Z36" s="115"/>
      <c r="AA36" s="115"/>
      <c r="AB36" s="116">
        <v>0.39791666666666664</v>
      </c>
      <c r="AC36" s="116">
        <v>0.42291666666666666</v>
      </c>
      <c r="AD36" s="116">
        <v>0.4013888888888889</v>
      </c>
      <c r="AE36" s="116">
        <v>0.4583333333333333</v>
      </c>
      <c r="AF36" s="117">
        <v>0.3541666666666667</v>
      </c>
      <c r="AG36" s="115"/>
      <c r="AH36" s="23"/>
      <c r="AI36" s="23"/>
    </row>
    <row r="37">
      <c r="A37" s="32"/>
      <c r="B37" s="33">
        <v>36.0</v>
      </c>
      <c r="C37" s="43" t="s">
        <v>204</v>
      </c>
      <c r="D37" s="22">
        <f t="shared" si="2"/>
        <v>6.448611111</v>
      </c>
      <c r="E37" s="25"/>
      <c r="F37" s="25"/>
      <c r="G37" s="23">
        <v>0.36319444444444443</v>
      </c>
      <c r="H37" s="23">
        <v>0.3541666666666667</v>
      </c>
      <c r="I37" s="26" t="s">
        <v>313</v>
      </c>
      <c r="J37" s="23">
        <v>0.3798611111111111</v>
      </c>
      <c r="K37" s="23">
        <v>0.3541666666666667</v>
      </c>
      <c r="L37" s="23"/>
      <c r="M37" s="23"/>
      <c r="N37" s="23">
        <v>0.36180555555555555</v>
      </c>
      <c r="O37" s="116">
        <v>0.3819444444444444</v>
      </c>
      <c r="P37" s="116">
        <v>0.3527777777777778</v>
      </c>
      <c r="Q37" s="117">
        <v>0.26319444444444445</v>
      </c>
      <c r="R37" s="117">
        <v>0.3541666666666667</v>
      </c>
      <c r="S37" s="115"/>
      <c r="T37" s="115"/>
      <c r="U37" s="116">
        <v>0.36319444444444443</v>
      </c>
      <c r="V37" s="116">
        <v>0.3770833333333333</v>
      </c>
      <c r="W37" s="116">
        <v>0.35555555555555557</v>
      </c>
      <c r="X37" s="116">
        <v>0.38125</v>
      </c>
      <c r="Y37" s="117">
        <v>0.3541666666666667</v>
      </c>
      <c r="Z37" s="115"/>
      <c r="AA37" s="115"/>
      <c r="AB37" s="114" t="s">
        <v>269</v>
      </c>
      <c r="AC37" s="116">
        <v>0.3611111111111111</v>
      </c>
      <c r="AD37" s="117">
        <v>0.35555555555555557</v>
      </c>
      <c r="AE37" s="116">
        <v>0.38125</v>
      </c>
      <c r="AF37" s="117">
        <v>0.3541666666666667</v>
      </c>
      <c r="AG37" s="115"/>
      <c r="AH37" s="23"/>
      <c r="AI37" s="23"/>
    </row>
    <row r="38">
      <c r="A38" s="32"/>
      <c r="B38" s="33">
        <v>37.0</v>
      </c>
      <c r="C38" s="119" t="s">
        <v>48</v>
      </c>
      <c r="D38" s="22">
        <f t="shared" si="2"/>
        <v>1.797222222</v>
      </c>
      <c r="E38" s="25"/>
      <c r="F38" s="23"/>
      <c r="G38" s="23">
        <v>0.39652777777777776</v>
      </c>
      <c r="H38" s="26" t="s">
        <v>269</v>
      </c>
      <c r="I38" s="26" t="s">
        <v>316</v>
      </c>
      <c r="J38" s="23">
        <v>0.2701388888888889</v>
      </c>
      <c r="K38" s="26" t="s">
        <v>316</v>
      </c>
      <c r="L38" s="23"/>
      <c r="M38" s="23"/>
      <c r="N38" s="23">
        <v>0.4152777777777778</v>
      </c>
      <c r="O38" s="116">
        <v>0.36875</v>
      </c>
      <c r="P38" s="116">
        <v>0.34652777777777777</v>
      </c>
      <c r="Q38" s="115"/>
      <c r="R38" s="116"/>
      <c r="S38" s="116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6"/>
      <c r="AF38" s="114"/>
      <c r="AG38" s="115"/>
      <c r="AH38" s="23"/>
      <c r="AI38" s="23"/>
    </row>
    <row r="39">
      <c r="A39" s="32"/>
      <c r="B39" s="20">
        <v>38.0</v>
      </c>
      <c r="C39" s="34" t="s">
        <v>279</v>
      </c>
      <c r="D39" s="22">
        <f t="shared" si="2"/>
        <v>6.097222222</v>
      </c>
      <c r="E39" s="23"/>
      <c r="F39" s="25"/>
      <c r="G39" s="23">
        <v>0.3798611111111111</v>
      </c>
      <c r="H39" s="23">
        <v>0.06041666666666667</v>
      </c>
      <c r="I39" s="26" t="s">
        <v>313</v>
      </c>
      <c r="J39" s="23">
        <v>0.3625</v>
      </c>
      <c r="K39" s="23">
        <v>0.3541666666666667</v>
      </c>
      <c r="L39" s="23"/>
      <c r="M39" s="23"/>
      <c r="N39" s="23">
        <v>0.36527777777777776</v>
      </c>
      <c r="O39" s="116">
        <v>0.2951388888888889</v>
      </c>
      <c r="P39" s="116">
        <v>0.35694444444444445</v>
      </c>
      <c r="Q39" s="116">
        <v>0.33194444444444443</v>
      </c>
      <c r="R39" s="117">
        <v>0.3541666666666667</v>
      </c>
      <c r="S39" s="115"/>
      <c r="T39" s="115"/>
      <c r="U39" s="116">
        <v>0.3486111111111111</v>
      </c>
      <c r="V39" s="114" t="s">
        <v>269</v>
      </c>
      <c r="W39" s="116">
        <v>0.3659722222222222</v>
      </c>
      <c r="X39" s="116">
        <v>0.3625</v>
      </c>
      <c r="Y39" s="117">
        <v>0.3541666666666667</v>
      </c>
      <c r="Z39" s="115"/>
      <c r="AA39" s="115"/>
      <c r="AB39" s="116">
        <v>0.3784722222222222</v>
      </c>
      <c r="AC39" s="116">
        <v>0.3576388888888889</v>
      </c>
      <c r="AD39" s="117">
        <v>0.35138888888888886</v>
      </c>
      <c r="AE39" s="116">
        <v>0.3638888888888889</v>
      </c>
      <c r="AF39" s="117">
        <v>0.3541666666666667</v>
      </c>
      <c r="AG39" s="115"/>
      <c r="AH39" s="23"/>
      <c r="AI39" s="23"/>
    </row>
    <row r="40">
      <c r="A40" s="32"/>
      <c r="B40" s="38">
        <v>39.0</v>
      </c>
      <c r="C40" s="47" t="s">
        <v>14</v>
      </c>
      <c r="D40" s="22">
        <f t="shared" si="2"/>
        <v>5.94375</v>
      </c>
      <c r="E40" s="25"/>
      <c r="F40" s="25"/>
      <c r="G40" s="23">
        <v>0.42083333333333334</v>
      </c>
      <c r="H40" s="23">
        <v>0.3333333333333333</v>
      </c>
      <c r="I40" s="23">
        <v>0.3333333333333333</v>
      </c>
      <c r="J40" s="23">
        <v>0.26180555555555557</v>
      </c>
      <c r="K40" s="23">
        <v>0.3333333333333333</v>
      </c>
      <c r="L40" s="23"/>
      <c r="M40" s="23"/>
      <c r="N40" s="23">
        <v>0.3527777777777778</v>
      </c>
      <c r="O40" s="116">
        <v>0.36041666666666666</v>
      </c>
      <c r="P40" s="116">
        <v>0.4111111111111111</v>
      </c>
      <c r="Q40" s="116">
        <v>0.36666666666666664</v>
      </c>
      <c r="R40" s="117">
        <v>0.3333333333333333</v>
      </c>
      <c r="S40" s="115"/>
      <c r="T40" s="115"/>
      <c r="U40" s="114" t="s">
        <v>271</v>
      </c>
      <c r="V40" s="116">
        <v>0.38263888888888886</v>
      </c>
      <c r="W40" s="117">
        <v>0.16666666666666666</v>
      </c>
      <c r="X40" s="117">
        <v>0.5201388888888889</v>
      </c>
      <c r="Y40" s="117">
        <v>0.3333333333333333</v>
      </c>
      <c r="Z40" s="115"/>
      <c r="AA40" s="115"/>
      <c r="AB40" s="116">
        <v>0.36736111111111114</v>
      </c>
      <c r="AC40" s="114" t="s">
        <v>271</v>
      </c>
      <c r="AD40" s="114" t="s">
        <v>271</v>
      </c>
      <c r="AE40" s="117">
        <v>0.3333333333333333</v>
      </c>
      <c r="AF40" s="117">
        <v>0.3333333333333333</v>
      </c>
      <c r="AG40" s="115"/>
      <c r="AH40" s="23"/>
      <c r="AI40" s="23"/>
    </row>
    <row r="41">
      <c r="A41" s="32"/>
      <c r="B41" s="33">
        <v>40.0</v>
      </c>
      <c r="C41" s="50" t="s">
        <v>81</v>
      </c>
      <c r="D41" s="22">
        <f t="shared" si="2"/>
        <v>7.453472222</v>
      </c>
      <c r="E41" s="23"/>
      <c r="F41" s="26"/>
      <c r="G41" s="23">
        <v>0.3840277777777778</v>
      </c>
      <c r="H41" s="23">
        <v>0.3541666666666667</v>
      </c>
      <c r="I41" s="26" t="s">
        <v>313</v>
      </c>
      <c r="J41" s="23">
        <v>0.5638888888888889</v>
      </c>
      <c r="K41" s="23">
        <v>0.3541666666666667</v>
      </c>
      <c r="L41" s="23"/>
      <c r="M41" s="23"/>
      <c r="N41" s="23">
        <v>0.42916666666666664</v>
      </c>
      <c r="O41" s="116">
        <v>0.4875</v>
      </c>
      <c r="P41" s="117">
        <v>0.16666666666666666</v>
      </c>
      <c r="Q41" s="116">
        <v>0.4152777777777778</v>
      </c>
      <c r="R41" s="117">
        <v>0.3541666666666667</v>
      </c>
      <c r="S41" s="115"/>
      <c r="T41" s="115"/>
      <c r="U41" s="117">
        <v>0.34930555555555554</v>
      </c>
      <c r="V41" s="116">
        <v>0.46597222222222223</v>
      </c>
      <c r="W41" s="116">
        <v>0.37569444444444444</v>
      </c>
      <c r="X41" s="116">
        <v>0.3236111111111111</v>
      </c>
      <c r="Y41" s="116">
        <v>0.48680555555555555</v>
      </c>
      <c r="Z41" s="115"/>
      <c r="AA41" s="115"/>
      <c r="AB41" s="116">
        <v>0.4305555555555556</v>
      </c>
      <c r="AC41" s="117">
        <v>0.16666666666666666</v>
      </c>
      <c r="AD41" s="117">
        <v>0.6243055555555556</v>
      </c>
      <c r="AE41" s="116">
        <v>0.36736111111111114</v>
      </c>
      <c r="AF41" s="117">
        <v>0.3541666666666667</v>
      </c>
      <c r="AG41" s="115"/>
      <c r="AH41" s="23"/>
      <c r="AI41" s="23"/>
    </row>
    <row r="42">
      <c r="A42" s="32"/>
      <c r="B42" s="20">
        <v>41.0</v>
      </c>
      <c r="C42" s="43" t="s">
        <v>153</v>
      </c>
      <c r="D42" s="22">
        <f t="shared" si="2"/>
        <v>6.247916667</v>
      </c>
      <c r="E42" s="25"/>
      <c r="F42" s="23"/>
      <c r="G42" s="26" t="s">
        <v>271</v>
      </c>
      <c r="H42" s="23">
        <v>0.3541666666666667</v>
      </c>
      <c r="I42" s="26" t="s">
        <v>313</v>
      </c>
      <c r="J42" s="23">
        <v>0.40347222222222223</v>
      </c>
      <c r="K42" s="23">
        <v>0.3541666666666667</v>
      </c>
      <c r="L42" s="23"/>
      <c r="M42" s="23"/>
      <c r="N42" s="23">
        <v>0.375</v>
      </c>
      <c r="O42" s="116">
        <v>0.4048611111111111</v>
      </c>
      <c r="P42" s="116">
        <v>0.46111111111111114</v>
      </c>
      <c r="Q42" s="116">
        <v>0.38055555555555554</v>
      </c>
      <c r="R42" s="117">
        <v>0.3541666666666667</v>
      </c>
      <c r="S42" s="115"/>
      <c r="T42" s="115"/>
      <c r="U42" s="116">
        <v>0.34930555555555554</v>
      </c>
      <c r="V42" s="116">
        <v>0.3763888888888889</v>
      </c>
      <c r="W42" s="116">
        <v>0.41041666666666665</v>
      </c>
      <c r="X42" s="114" t="s">
        <v>271</v>
      </c>
      <c r="Y42" s="117">
        <v>0.3541666666666667</v>
      </c>
      <c r="Z42" s="115"/>
      <c r="AA42" s="115"/>
      <c r="AB42" s="117">
        <v>0.16666666666666666</v>
      </c>
      <c r="AC42" s="116">
        <v>0.4263888888888889</v>
      </c>
      <c r="AD42" s="117">
        <v>0.3125</v>
      </c>
      <c r="AE42" s="116">
        <v>0.41041666666666665</v>
      </c>
      <c r="AF42" s="117">
        <v>0.3541666666666667</v>
      </c>
      <c r="AG42" s="115"/>
      <c r="AH42" s="23"/>
      <c r="AI42" s="23"/>
    </row>
    <row r="43">
      <c r="A43" s="32"/>
      <c r="B43" s="33">
        <v>42.0</v>
      </c>
      <c r="C43" s="34" t="s">
        <v>198</v>
      </c>
      <c r="D43" s="22">
        <f t="shared" si="2"/>
        <v>6.482638889</v>
      </c>
      <c r="E43" s="25"/>
      <c r="F43" s="25"/>
      <c r="G43" s="23">
        <v>0.3875</v>
      </c>
      <c r="H43" s="23">
        <v>0.3541666666666667</v>
      </c>
      <c r="I43" s="26" t="s">
        <v>313</v>
      </c>
      <c r="J43" s="23">
        <v>0.38472222222222224</v>
      </c>
      <c r="K43" s="23">
        <v>0.3541666666666667</v>
      </c>
      <c r="L43" s="23"/>
      <c r="M43" s="23"/>
      <c r="N43" s="117">
        <v>0.3541666666666667</v>
      </c>
      <c r="O43" s="116">
        <v>0.3798611111111111</v>
      </c>
      <c r="P43" s="116">
        <v>0.39791666666666664</v>
      </c>
      <c r="Q43" s="116">
        <v>0.40069444444444446</v>
      </c>
      <c r="R43" s="117">
        <v>0.3541666666666667</v>
      </c>
      <c r="S43" s="115"/>
      <c r="T43" s="115"/>
      <c r="U43" s="117">
        <v>0.3541666666666667</v>
      </c>
      <c r="V43" s="116">
        <v>0.37569444444444444</v>
      </c>
      <c r="W43" s="116">
        <v>0.3680555555555556</v>
      </c>
      <c r="X43" s="116">
        <v>0.38680555555555557</v>
      </c>
      <c r="Y43" s="117">
        <v>0.3541666666666667</v>
      </c>
      <c r="Z43" s="115"/>
      <c r="AA43" s="115"/>
      <c r="AB43" s="116">
        <v>0.37430555555555556</v>
      </c>
      <c r="AC43" s="116">
        <v>0.38125</v>
      </c>
      <c r="AD43" s="114" t="s">
        <v>269</v>
      </c>
      <c r="AE43" s="117">
        <v>0.16666666666666666</v>
      </c>
      <c r="AF43" s="117">
        <v>0.3541666666666667</v>
      </c>
      <c r="AG43" s="115"/>
      <c r="AH43" s="23"/>
      <c r="AI43" s="23"/>
    </row>
    <row r="44">
      <c r="A44" s="32"/>
      <c r="B44" s="38">
        <v>43.0</v>
      </c>
      <c r="C44" s="47" t="s">
        <v>105</v>
      </c>
      <c r="D44" s="22">
        <f t="shared" si="2"/>
        <v>5.852083333</v>
      </c>
      <c r="E44" s="25"/>
      <c r="F44" s="25"/>
      <c r="G44" s="23">
        <v>0.35555555555555557</v>
      </c>
      <c r="H44" s="23">
        <v>0.3333333333333333</v>
      </c>
      <c r="I44" s="26" t="s">
        <v>313</v>
      </c>
      <c r="J44" s="23">
        <v>0.35833333333333334</v>
      </c>
      <c r="K44" s="23">
        <v>0.3333333333333333</v>
      </c>
      <c r="L44" s="23"/>
      <c r="M44" s="23"/>
      <c r="N44" s="23">
        <v>0.34930555555555554</v>
      </c>
      <c r="O44" s="116">
        <v>0.33819444444444446</v>
      </c>
      <c r="P44" s="117">
        <v>0.16666666666666666</v>
      </c>
      <c r="Q44" s="114" t="s">
        <v>271</v>
      </c>
      <c r="R44" s="117">
        <v>0.16666666666666666</v>
      </c>
      <c r="S44" s="115"/>
      <c r="T44" s="115"/>
      <c r="U44" s="117">
        <v>0.16666666666666666</v>
      </c>
      <c r="V44" s="116">
        <v>0.3590277777777778</v>
      </c>
      <c r="W44" s="116">
        <v>0.3854166666666667</v>
      </c>
      <c r="X44" s="116">
        <v>0.3458333333333333</v>
      </c>
      <c r="Y44" s="117">
        <v>0.3333333333333333</v>
      </c>
      <c r="Z44" s="115"/>
      <c r="AA44" s="115"/>
      <c r="AB44" s="116">
        <v>0.3527777777777778</v>
      </c>
      <c r="AC44" s="116">
        <v>0.3576388888888889</v>
      </c>
      <c r="AD44" s="117">
        <v>0.37222222222222223</v>
      </c>
      <c r="AE44" s="116">
        <v>0.4444444444444444</v>
      </c>
      <c r="AF44" s="117">
        <v>0.3333333333333333</v>
      </c>
      <c r="AG44" s="115"/>
      <c r="AH44" s="23"/>
      <c r="AI44" s="23"/>
    </row>
    <row r="45">
      <c r="A45" s="32"/>
      <c r="B45" s="41">
        <v>44.0</v>
      </c>
      <c r="C45" s="40" t="s">
        <v>29</v>
      </c>
      <c r="D45" s="22">
        <f t="shared" si="2"/>
        <v>6.152777778</v>
      </c>
      <c r="E45" s="23"/>
      <c r="F45" s="25"/>
      <c r="G45" s="23">
        <v>0.3333333333333333</v>
      </c>
      <c r="H45" s="23">
        <v>0.3333333333333333</v>
      </c>
      <c r="I45" s="26" t="s">
        <v>313</v>
      </c>
      <c r="J45" s="23">
        <v>0.3333333333333333</v>
      </c>
      <c r="K45" s="23">
        <v>0.3333333333333333</v>
      </c>
      <c r="L45" s="23"/>
      <c r="M45" s="23"/>
      <c r="N45" s="23">
        <v>0.3333333333333333</v>
      </c>
      <c r="O45" s="116">
        <v>0.30069444444444443</v>
      </c>
      <c r="P45" s="23">
        <v>0.3333333333333333</v>
      </c>
      <c r="Q45" s="117">
        <v>0.16666666666666666</v>
      </c>
      <c r="R45" s="23">
        <v>0.3333333333333333</v>
      </c>
      <c r="S45" s="115"/>
      <c r="T45" s="115"/>
      <c r="U45" s="117">
        <v>0.3333333333333333</v>
      </c>
      <c r="V45" s="116">
        <v>0.3402777777777778</v>
      </c>
      <c r="W45" s="117">
        <v>0.3333333333333333</v>
      </c>
      <c r="X45" s="117">
        <v>0.3333333333333333</v>
      </c>
      <c r="Y45" s="117">
        <v>0.33194444444444443</v>
      </c>
      <c r="Z45" s="115"/>
      <c r="AA45" s="115"/>
      <c r="AB45" s="117">
        <v>0.3333333333333333</v>
      </c>
      <c r="AC45" s="117">
        <v>0.3333333333333333</v>
      </c>
      <c r="AD45" s="116">
        <v>0.34652777777777777</v>
      </c>
      <c r="AE45" s="117">
        <v>0.3333333333333333</v>
      </c>
      <c r="AF45" s="117">
        <v>0.3333333333333333</v>
      </c>
      <c r="AG45" s="115"/>
      <c r="AH45" s="23"/>
      <c r="AI45" s="23"/>
    </row>
    <row r="46">
      <c r="A46" s="15"/>
      <c r="B46" s="33">
        <v>45.0</v>
      </c>
      <c r="C46" s="35" t="s">
        <v>257</v>
      </c>
      <c r="D46" s="22">
        <f t="shared" si="2"/>
        <v>4.607638889</v>
      </c>
      <c r="E46" s="23"/>
      <c r="F46" s="25"/>
      <c r="G46" s="23"/>
      <c r="H46" s="23"/>
      <c r="I46" s="26" t="s">
        <v>313</v>
      </c>
      <c r="J46" s="23"/>
      <c r="K46" s="26"/>
      <c r="L46" s="23"/>
      <c r="M46" s="23"/>
      <c r="N46" s="23">
        <v>0.23472222222222222</v>
      </c>
      <c r="O46" s="116">
        <v>0.39305555555555555</v>
      </c>
      <c r="P46" s="116">
        <v>0.37916666666666665</v>
      </c>
      <c r="Q46" s="116">
        <v>0.3645833333333333</v>
      </c>
      <c r="R46" s="116">
        <v>0.34930555555555554</v>
      </c>
      <c r="S46" s="115"/>
      <c r="T46" s="115"/>
      <c r="U46" s="116">
        <v>0.3715277777777778</v>
      </c>
      <c r="V46" s="116">
        <v>0.3729166666666667</v>
      </c>
      <c r="W46" s="114" t="s">
        <v>271</v>
      </c>
      <c r="X46" s="116">
        <v>0.3763888888888889</v>
      </c>
      <c r="Y46" s="117">
        <v>0.3541666666666667</v>
      </c>
      <c r="Z46" s="115"/>
      <c r="AA46" s="115"/>
      <c r="AB46" s="116">
        <v>0.37222222222222223</v>
      </c>
      <c r="AC46" s="117">
        <v>0.16666666666666666</v>
      </c>
      <c r="AD46" s="117">
        <v>0.16666666666666666</v>
      </c>
      <c r="AE46" s="116">
        <v>0.35208333333333336</v>
      </c>
      <c r="AF46" s="117">
        <v>0.3541666666666667</v>
      </c>
      <c r="AG46" s="115"/>
      <c r="AH46" s="23"/>
      <c r="AI46" s="23"/>
    </row>
    <row r="47">
      <c r="A47" s="52">
        <v>45547.0</v>
      </c>
      <c r="B47" s="33">
        <v>45.0</v>
      </c>
      <c r="C47" s="31" t="s">
        <v>26</v>
      </c>
      <c r="D47" s="22">
        <f t="shared" si="2"/>
        <v>9.005555556</v>
      </c>
      <c r="E47" s="25"/>
      <c r="F47" s="25"/>
      <c r="G47" s="23">
        <v>0.4979166666666667</v>
      </c>
      <c r="H47" s="23">
        <v>0.5673611111111111</v>
      </c>
      <c r="I47" s="26" t="s">
        <v>313</v>
      </c>
      <c r="J47" s="26" t="s">
        <v>269</v>
      </c>
      <c r="K47" s="23">
        <v>0.3333333333333333</v>
      </c>
      <c r="L47" s="23"/>
      <c r="M47" s="23"/>
      <c r="N47" s="23">
        <v>0.4708333333333333</v>
      </c>
      <c r="O47" s="117">
        <v>0.5909722222222222</v>
      </c>
      <c r="P47" s="117">
        <v>0.6763888888888889</v>
      </c>
      <c r="Q47" s="117">
        <v>0.5888888888888889</v>
      </c>
      <c r="R47" s="23">
        <v>0.3333333333333333</v>
      </c>
      <c r="S47" s="115"/>
      <c r="T47" s="115"/>
      <c r="U47" s="117">
        <v>0.48819444444444443</v>
      </c>
      <c r="V47" s="117">
        <v>0.6083333333333333</v>
      </c>
      <c r="W47" s="117">
        <v>0.6479166666666667</v>
      </c>
      <c r="X47" s="117">
        <v>0.16666666666666666</v>
      </c>
      <c r="Y47" s="117">
        <v>0.3333333333333333</v>
      </c>
      <c r="Z47" s="115"/>
      <c r="AA47" s="115"/>
      <c r="AB47" s="117">
        <v>0.49375</v>
      </c>
      <c r="AC47" s="117">
        <v>0.575</v>
      </c>
      <c r="AD47" s="117">
        <v>0.5208333333333334</v>
      </c>
      <c r="AE47" s="117">
        <v>0.7791666666666667</v>
      </c>
      <c r="AF47" s="117">
        <v>0.3333333333333333</v>
      </c>
      <c r="AG47" s="115"/>
      <c r="AH47" s="23"/>
      <c r="AI47" s="23"/>
    </row>
    <row r="48">
      <c r="A48" s="32"/>
      <c r="B48" s="38">
        <v>46.0</v>
      </c>
      <c r="C48" s="47" t="s">
        <v>23</v>
      </c>
      <c r="D48" s="22">
        <f t="shared" si="2"/>
        <v>4.801388889</v>
      </c>
      <c r="E48" s="25"/>
      <c r="F48" s="25"/>
      <c r="G48" s="23">
        <v>0.3729166666666667</v>
      </c>
      <c r="H48" s="26" t="s">
        <v>317</v>
      </c>
      <c r="I48" s="26" t="s">
        <v>313</v>
      </c>
      <c r="J48" s="23">
        <v>0.16666666666666666</v>
      </c>
      <c r="K48" s="23">
        <v>0.3333333333333333</v>
      </c>
      <c r="L48" s="23"/>
      <c r="M48" s="23"/>
      <c r="N48" s="23">
        <v>0.36180555555555555</v>
      </c>
      <c r="O48" s="116">
        <v>0.2701388888888889</v>
      </c>
      <c r="P48" s="116">
        <v>0.35208333333333336</v>
      </c>
      <c r="Q48" s="116">
        <v>0.3076388888888889</v>
      </c>
      <c r="R48" s="23">
        <v>0.3333333333333333</v>
      </c>
      <c r="S48" s="116"/>
      <c r="T48" s="115"/>
      <c r="U48" s="117">
        <v>0.16666666666666666</v>
      </c>
      <c r="V48" s="114" t="s">
        <v>271</v>
      </c>
      <c r="W48" s="114" t="s">
        <v>271</v>
      </c>
      <c r="X48" s="117">
        <v>0.5131944444444444</v>
      </c>
      <c r="Y48" s="117">
        <v>0.16666666666666666</v>
      </c>
      <c r="Z48" s="115"/>
      <c r="AA48" s="115"/>
      <c r="AB48" s="116">
        <v>0.4201388888888889</v>
      </c>
      <c r="AC48" s="116">
        <v>0.3076388888888889</v>
      </c>
      <c r="AD48" s="116">
        <v>0.3958333333333333</v>
      </c>
      <c r="AE48" s="114" t="s">
        <v>317</v>
      </c>
      <c r="AF48" s="117">
        <v>0.3333333333333333</v>
      </c>
      <c r="AG48" s="115"/>
      <c r="AH48" s="23"/>
      <c r="AI48" s="23"/>
    </row>
    <row r="49">
      <c r="A49" s="32"/>
      <c r="B49" s="41">
        <v>47.0</v>
      </c>
      <c r="C49" s="51" t="s">
        <v>17</v>
      </c>
      <c r="D49" s="22">
        <f t="shared" si="2"/>
        <v>6.356944444</v>
      </c>
      <c r="E49" s="25"/>
      <c r="F49" s="25"/>
      <c r="G49" s="23">
        <v>0.38472222222222224</v>
      </c>
      <c r="H49" s="23">
        <v>0.39861111111111114</v>
      </c>
      <c r="I49" s="26" t="s">
        <v>313</v>
      </c>
      <c r="J49" s="23">
        <v>0.16666666666666666</v>
      </c>
      <c r="K49" s="23">
        <v>0.3333333333333333</v>
      </c>
      <c r="L49" s="23"/>
      <c r="M49" s="23"/>
      <c r="N49" s="23">
        <v>0.4013888888888889</v>
      </c>
      <c r="O49" s="116">
        <v>0.4201388888888889</v>
      </c>
      <c r="P49" s="116">
        <v>0.3701388888888889</v>
      </c>
      <c r="Q49" s="116">
        <v>0.36875</v>
      </c>
      <c r="R49" s="23">
        <v>0.3333333333333333</v>
      </c>
      <c r="S49" s="115"/>
      <c r="T49" s="115"/>
      <c r="U49" s="116">
        <v>0.4666666666666667</v>
      </c>
      <c r="V49" s="117">
        <v>0.4736111111111111</v>
      </c>
      <c r="W49" s="116">
        <v>0.3541666666666667</v>
      </c>
      <c r="X49" s="117">
        <v>0.4895833333333333</v>
      </c>
      <c r="Y49" s="117">
        <v>0.3333333333333333</v>
      </c>
      <c r="Z49" s="115"/>
      <c r="AA49" s="115"/>
      <c r="AB49" s="114" t="s">
        <v>269</v>
      </c>
      <c r="AC49" s="114" t="s">
        <v>269</v>
      </c>
      <c r="AD49" s="116">
        <v>0.3958333333333333</v>
      </c>
      <c r="AE49" s="117">
        <v>0.3333333333333333</v>
      </c>
      <c r="AF49" s="117">
        <v>0.3333333333333333</v>
      </c>
      <c r="AG49" s="115"/>
      <c r="AH49" s="23"/>
      <c r="AI49" s="23"/>
    </row>
    <row r="50">
      <c r="A50" s="32"/>
      <c r="B50" s="38">
        <v>48.0</v>
      </c>
      <c r="C50" s="46" t="s">
        <v>150</v>
      </c>
      <c r="D50" s="22">
        <f t="shared" si="2"/>
        <v>7.457638889</v>
      </c>
      <c r="E50" s="25"/>
      <c r="F50" s="25"/>
      <c r="G50" s="23">
        <v>0.4041666666666667</v>
      </c>
      <c r="H50" s="23">
        <v>0.3333333333333333</v>
      </c>
      <c r="I50" s="26" t="s">
        <v>313</v>
      </c>
      <c r="J50" s="23">
        <v>0.3645833333333333</v>
      </c>
      <c r="K50" s="23">
        <v>0.3333333333333333</v>
      </c>
      <c r="L50" s="23"/>
      <c r="M50" s="23"/>
      <c r="N50" s="23">
        <v>0.3888888888888889</v>
      </c>
      <c r="O50" s="116">
        <v>0.3701388888888889</v>
      </c>
      <c r="P50" s="116">
        <v>0.3888888888888889</v>
      </c>
      <c r="Q50" s="116">
        <v>0.38819444444444445</v>
      </c>
      <c r="R50" s="116">
        <v>0.3680555555555556</v>
      </c>
      <c r="S50" s="115"/>
      <c r="T50" s="115"/>
      <c r="U50" s="116">
        <v>0.39861111111111114</v>
      </c>
      <c r="V50" s="116">
        <v>0.375</v>
      </c>
      <c r="W50" s="116">
        <v>0.37569444444444444</v>
      </c>
      <c r="X50" s="117">
        <v>0.5951388888888889</v>
      </c>
      <c r="Y50" s="117">
        <v>0.3333333333333333</v>
      </c>
      <c r="Z50" s="115"/>
      <c r="AA50" s="115"/>
      <c r="AB50" s="116">
        <v>0.4152777777777778</v>
      </c>
      <c r="AC50" s="116">
        <v>0.4173611111111111</v>
      </c>
      <c r="AD50" s="116">
        <v>0.40694444444444444</v>
      </c>
      <c r="AE50" s="116">
        <v>0.4673611111111111</v>
      </c>
      <c r="AF50" s="117">
        <v>0.3333333333333333</v>
      </c>
      <c r="AG50" s="115"/>
      <c r="AH50" s="23"/>
      <c r="AI50" s="23"/>
    </row>
    <row r="51">
      <c r="A51" s="53" t="s">
        <v>281</v>
      </c>
      <c r="B51" s="33">
        <v>49.0</v>
      </c>
      <c r="C51" s="31" t="s">
        <v>32</v>
      </c>
      <c r="D51" s="22">
        <f t="shared" si="2"/>
        <v>6.15</v>
      </c>
      <c r="E51" s="25"/>
      <c r="F51" s="25"/>
      <c r="G51" s="23">
        <v>0.43819444444444444</v>
      </c>
      <c r="H51" s="23">
        <v>0.3368055555555556</v>
      </c>
      <c r="I51" s="23">
        <v>0.3333333333333333</v>
      </c>
      <c r="J51" s="23">
        <v>0.16666666666666666</v>
      </c>
      <c r="K51" s="23">
        <v>0.3333333333333333</v>
      </c>
      <c r="L51" s="23"/>
      <c r="M51" s="23"/>
      <c r="N51" s="23">
        <v>0.46458333333333335</v>
      </c>
      <c r="O51" s="116">
        <v>0.24861111111111112</v>
      </c>
      <c r="P51" s="116">
        <v>0.36736111111111114</v>
      </c>
      <c r="Q51" s="116">
        <v>0.24166666666666667</v>
      </c>
      <c r="R51" s="23">
        <v>0.3333333333333333</v>
      </c>
      <c r="S51" s="115"/>
      <c r="T51" s="115"/>
      <c r="U51" s="116">
        <v>0.25763888888888886</v>
      </c>
      <c r="V51" s="116">
        <v>0.25</v>
      </c>
      <c r="W51" s="114" t="s">
        <v>318</v>
      </c>
      <c r="X51" s="117">
        <v>0.36944444444444446</v>
      </c>
      <c r="Y51" s="117">
        <v>0.3333333333333333</v>
      </c>
      <c r="Z51" s="115"/>
      <c r="AA51" s="115"/>
      <c r="AB51" s="116">
        <v>0.3298611111111111</v>
      </c>
      <c r="AC51" s="116">
        <v>0.2875</v>
      </c>
      <c r="AD51" s="117">
        <v>0.3333333333333333</v>
      </c>
      <c r="AE51" s="116">
        <v>0.39166666666666666</v>
      </c>
      <c r="AF51" s="117">
        <v>0.3333333333333333</v>
      </c>
      <c r="AG51" s="115"/>
      <c r="AH51" s="23"/>
      <c r="AI51" s="23"/>
    </row>
    <row r="52">
      <c r="A52" s="54" t="s">
        <v>282</v>
      </c>
      <c r="B52" s="55">
        <v>50.0</v>
      </c>
      <c r="C52" s="56" t="s">
        <v>10</v>
      </c>
      <c r="D52" s="22">
        <f t="shared" si="2"/>
        <v>7.029861111</v>
      </c>
      <c r="E52" s="26"/>
      <c r="F52" s="23"/>
      <c r="G52" s="23">
        <v>0.5388888888888889</v>
      </c>
      <c r="H52" s="23">
        <v>0.46597222222222223</v>
      </c>
      <c r="I52" s="26" t="s">
        <v>313</v>
      </c>
      <c r="J52" s="26" t="s">
        <v>319</v>
      </c>
      <c r="K52" s="23">
        <v>0.3541666666666667</v>
      </c>
      <c r="L52" s="23"/>
      <c r="M52" s="23"/>
      <c r="N52" s="23">
        <v>0.43819444444444444</v>
      </c>
      <c r="O52" s="117">
        <v>0.43333333333333335</v>
      </c>
      <c r="P52" s="117">
        <v>0.4166666666666667</v>
      </c>
      <c r="Q52" s="117">
        <v>0.4465277777777778</v>
      </c>
      <c r="R52" s="117">
        <v>0.3541666666666667</v>
      </c>
      <c r="S52" s="115"/>
      <c r="T52" s="115"/>
      <c r="U52" s="117">
        <v>0.4222222222222222</v>
      </c>
      <c r="V52" s="117">
        <v>0.4930555555555556</v>
      </c>
      <c r="W52" s="114" t="s">
        <v>284</v>
      </c>
      <c r="X52" s="117">
        <v>0.39652777777777776</v>
      </c>
      <c r="Y52" s="117">
        <v>0.3541666666666667</v>
      </c>
      <c r="Z52" s="115"/>
      <c r="AA52" s="115"/>
      <c r="AB52" s="117">
        <v>0.5368055555555555</v>
      </c>
      <c r="AC52" s="117">
        <v>0.44305555555555554</v>
      </c>
      <c r="AD52" s="117">
        <v>0.4152777777777778</v>
      </c>
      <c r="AE52" s="117">
        <v>0.16666666666666666</v>
      </c>
      <c r="AF52" s="117">
        <v>0.3541666666666667</v>
      </c>
      <c r="AG52" s="115"/>
      <c r="AH52" s="26"/>
      <c r="AI52" s="23"/>
    </row>
    <row r="53">
      <c r="A53" s="32"/>
      <c r="B53" s="57">
        <v>51.0</v>
      </c>
      <c r="C53" s="58" t="s">
        <v>6</v>
      </c>
      <c r="D53" s="22">
        <f t="shared" si="2"/>
        <v>9.301388889</v>
      </c>
      <c r="E53" s="25"/>
      <c r="F53" s="25"/>
      <c r="G53" s="23">
        <v>0.5208333333333334</v>
      </c>
      <c r="H53" s="23">
        <v>0.5305555555555556</v>
      </c>
      <c r="I53" s="26" t="s">
        <v>313</v>
      </c>
      <c r="J53" s="23">
        <v>0.5125</v>
      </c>
      <c r="K53" s="23">
        <v>0.45416666666666666</v>
      </c>
      <c r="L53" s="23"/>
      <c r="M53" s="23"/>
      <c r="N53" s="23">
        <v>0.5090277777777777</v>
      </c>
      <c r="O53" s="117">
        <v>0.5319444444444444</v>
      </c>
      <c r="P53" s="117">
        <v>0.5430555555555555</v>
      </c>
      <c r="Q53" s="116">
        <v>0.5201388888888889</v>
      </c>
      <c r="R53" s="116">
        <v>0.4388888888888889</v>
      </c>
      <c r="S53" s="115"/>
      <c r="T53" s="115"/>
      <c r="U53" s="116">
        <v>0.5027777777777778</v>
      </c>
      <c r="V53" s="117">
        <v>0.40208333333333335</v>
      </c>
      <c r="W53" s="116">
        <v>0.4951388888888889</v>
      </c>
      <c r="X53" s="117">
        <v>0.4895833333333333</v>
      </c>
      <c r="Y53" s="117">
        <v>0.4722222222222222</v>
      </c>
      <c r="Z53" s="116"/>
      <c r="AA53" s="115"/>
      <c r="AB53" s="116">
        <v>0.47291666666666665</v>
      </c>
      <c r="AC53" s="116">
        <v>0.42777777777777776</v>
      </c>
      <c r="AD53" s="116">
        <v>0.47291666666666665</v>
      </c>
      <c r="AE53" s="116">
        <v>0.4798611111111111</v>
      </c>
      <c r="AF53" s="117">
        <v>0.525</v>
      </c>
      <c r="AG53" s="115"/>
      <c r="AH53" s="23"/>
      <c r="AI53" s="23"/>
    </row>
    <row r="54">
      <c r="A54" s="32"/>
      <c r="B54" s="57">
        <v>52.0</v>
      </c>
      <c r="C54" s="59" t="s">
        <v>75</v>
      </c>
      <c r="D54" s="22">
        <f t="shared" si="2"/>
        <v>5.672916667</v>
      </c>
      <c r="E54" s="25"/>
      <c r="F54" s="23"/>
      <c r="G54" s="23">
        <v>0.33819444444444446</v>
      </c>
      <c r="H54" s="23">
        <v>0.3263888888888889</v>
      </c>
      <c r="I54" s="26" t="s">
        <v>313</v>
      </c>
      <c r="J54" s="26" t="s">
        <v>320</v>
      </c>
      <c r="K54" s="23">
        <v>0.27708333333333335</v>
      </c>
      <c r="L54" s="23"/>
      <c r="M54" s="23"/>
      <c r="N54" s="23">
        <v>0.30277777777777776</v>
      </c>
      <c r="O54" s="116">
        <v>0.31319444444444444</v>
      </c>
      <c r="P54" s="116">
        <v>0.3229166666666667</v>
      </c>
      <c r="Q54" s="116">
        <v>0.3055555555555556</v>
      </c>
      <c r="R54" s="117">
        <v>0.3541666666666667</v>
      </c>
      <c r="S54" s="115"/>
      <c r="T54" s="115"/>
      <c r="U54" s="116">
        <v>0.29444444444444445</v>
      </c>
      <c r="V54" s="116">
        <v>0.31319444444444444</v>
      </c>
      <c r="W54" s="116">
        <v>0.24791666666666667</v>
      </c>
      <c r="X54" s="116">
        <v>0.2777777777777778</v>
      </c>
      <c r="Y54" s="117">
        <v>0.3541666666666667</v>
      </c>
      <c r="Z54" s="115"/>
      <c r="AA54" s="115"/>
      <c r="AB54" s="116">
        <v>0.2881944444444444</v>
      </c>
      <c r="AC54" s="116">
        <v>0.33402777777777776</v>
      </c>
      <c r="AD54" s="116">
        <v>0.33541666666666664</v>
      </c>
      <c r="AE54" s="117">
        <v>0.3333333333333333</v>
      </c>
      <c r="AF54" s="117">
        <v>0.3541666666666667</v>
      </c>
      <c r="AG54" s="115"/>
      <c r="AH54" s="23"/>
      <c r="AI54" s="23"/>
    </row>
    <row r="55">
      <c r="A55" s="32"/>
      <c r="B55" s="55">
        <v>53.0</v>
      </c>
      <c r="C55" s="60" t="s">
        <v>120</v>
      </c>
      <c r="D55" s="22">
        <f t="shared" si="2"/>
        <v>7.394444444</v>
      </c>
      <c r="E55" s="25"/>
      <c r="F55" s="25"/>
      <c r="G55" s="23">
        <v>0.41805555555555557</v>
      </c>
      <c r="H55" s="23">
        <v>0.40069444444444446</v>
      </c>
      <c r="I55" s="26" t="s">
        <v>313</v>
      </c>
      <c r="J55" s="23">
        <v>0.3902777777777778</v>
      </c>
      <c r="K55" s="23">
        <v>0.38333333333333336</v>
      </c>
      <c r="L55" s="23"/>
      <c r="M55" s="23"/>
      <c r="N55" s="23">
        <v>0.41458333333333336</v>
      </c>
      <c r="O55" s="116">
        <v>0.3875</v>
      </c>
      <c r="P55" s="116">
        <v>0.3298611111111111</v>
      </c>
      <c r="Q55" s="116">
        <v>0.3958333333333333</v>
      </c>
      <c r="R55" s="116">
        <v>0.3798611111111111</v>
      </c>
      <c r="S55" s="115"/>
      <c r="T55" s="115"/>
      <c r="U55" s="116">
        <v>0.44513888888888886</v>
      </c>
      <c r="V55" s="116">
        <v>0.38819444444444445</v>
      </c>
      <c r="W55" s="116">
        <v>0.33194444444444443</v>
      </c>
      <c r="X55" s="117">
        <v>0.375</v>
      </c>
      <c r="Y55" s="116">
        <v>0.40208333333333335</v>
      </c>
      <c r="Z55" s="115"/>
      <c r="AA55" s="115"/>
      <c r="AB55" s="117">
        <v>0.375</v>
      </c>
      <c r="AC55" s="116">
        <v>0.40625</v>
      </c>
      <c r="AD55" s="116">
        <v>0.3763888888888889</v>
      </c>
      <c r="AE55" s="116">
        <v>0.3909722222222222</v>
      </c>
      <c r="AF55" s="116">
        <v>0.40347222222222223</v>
      </c>
      <c r="AG55" s="115"/>
      <c r="AH55" s="23"/>
      <c r="AI55" s="23"/>
    </row>
    <row r="56">
      <c r="A56" s="32"/>
      <c r="B56" s="57">
        <v>54.0</v>
      </c>
      <c r="C56" s="61" t="s">
        <v>123</v>
      </c>
      <c r="D56" s="22">
        <f t="shared" si="2"/>
        <v>7.163194444</v>
      </c>
      <c r="E56" s="25"/>
      <c r="F56" s="25"/>
      <c r="G56" s="23">
        <v>0.38055555555555554</v>
      </c>
      <c r="H56" s="23">
        <v>0.3909722222222222</v>
      </c>
      <c r="I56" s="26" t="s">
        <v>313</v>
      </c>
      <c r="J56" s="23">
        <v>0.3888888888888889</v>
      </c>
      <c r="K56" s="23">
        <v>0.3819444444444444</v>
      </c>
      <c r="L56" s="23"/>
      <c r="M56" s="23"/>
      <c r="N56" s="23">
        <v>0.37083333333333335</v>
      </c>
      <c r="O56" s="116">
        <v>0.40347222222222223</v>
      </c>
      <c r="P56" s="116">
        <v>0.36319444444444443</v>
      </c>
      <c r="Q56" s="116">
        <v>0.39791666666666664</v>
      </c>
      <c r="R56" s="116">
        <v>0.3597222222222222</v>
      </c>
      <c r="S56" s="115"/>
      <c r="T56" s="115"/>
      <c r="U56" s="116">
        <v>0.41875</v>
      </c>
      <c r="V56" s="116">
        <v>0.3909722222222222</v>
      </c>
      <c r="W56" s="116">
        <v>0.31527777777777777</v>
      </c>
      <c r="X56" s="116">
        <v>0.3451388888888889</v>
      </c>
      <c r="Y56" s="116">
        <v>0.3854166666666667</v>
      </c>
      <c r="Z56" s="115"/>
      <c r="AA56" s="115"/>
      <c r="AB56" s="116">
        <v>0.3701388888888889</v>
      </c>
      <c r="AC56" s="117">
        <v>0.375</v>
      </c>
      <c r="AD56" s="116">
        <v>0.37777777777777777</v>
      </c>
      <c r="AE56" s="116">
        <v>0.34930555555555554</v>
      </c>
      <c r="AF56" s="116">
        <v>0.39791666666666664</v>
      </c>
      <c r="AG56" s="115"/>
      <c r="AH56" s="23"/>
      <c r="AI56" s="23"/>
    </row>
    <row r="57">
      <c r="A57" s="32"/>
      <c r="B57" s="57">
        <v>55.0</v>
      </c>
      <c r="C57" s="59" t="s">
        <v>111</v>
      </c>
      <c r="D57" s="22">
        <f t="shared" si="2"/>
        <v>5.986805556</v>
      </c>
      <c r="E57" s="25"/>
      <c r="F57" s="25"/>
      <c r="G57" s="23">
        <v>0.3298611111111111</v>
      </c>
      <c r="H57" s="23">
        <v>0.4395833333333333</v>
      </c>
      <c r="I57" s="23">
        <v>0.3541666666666667</v>
      </c>
      <c r="J57" s="23">
        <v>0.3402777777777778</v>
      </c>
      <c r="K57" s="23">
        <v>0.35</v>
      </c>
      <c r="L57" s="23">
        <v>0.3402777777777778</v>
      </c>
      <c r="M57" s="23"/>
      <c r="N57" s="23">
        <v>0.3416666666666667</v>
      </c>
      <c r="O57" s="116">
        <v>0.34791666666666665</v>
      </c>
      <c r="P57" s="116">
        <v>0.3173611111111111</v>
      </c>
      <c r="Q57" s="116">
        <v>0.35</v>
      </c>
      <c r="R57" s="117">
        <v>0.35</v>
      </c>
      <c r="S57" s="116">
        <v>0.3486111111111111</v>
      </c>
      <c r="T57" s="115"/>
      <c r="U57" s="116">
        <v>0.35694444444444445</v>
      </c>
      <c r="V57" s="116">
        <v>0.39444444444444443</v>
      </c>
      <c r="W57" s="116">
        <v>0.32916666666666666</v>
      </c>
      <c r="X57" s="114" t="s">
        <v>283</v>
      </c>
      <c r="Y57" s="114" t="s">
        <v>284</v>
      </c>
      <c r="Z57" s="115"/>
      <c r="AA57" s="115"/>
      <c r="AB57" s="114" t="s">
        <v>284</v>
      </c>
      <c r="AC57" s="114" t="s">
        <v>284</v>
      </c>
      <c r="AD57" s="114" t="s">
        <v>284</v>
      </c>
      <c r="AE57" s="117">
        <v>0.3541666666666667</v>
      </c>
      <c r="AF57" s="116">
        <v>0.3423611111111111</v>
      </c>
      <c r="AG57" s="115"/>
      <c r="AH57" s="23"/>
      <c r="AI57" s="23"/>
    </row>
    <row r="58">
      <c r="A58" s="32"/>
      <c r="B58" s="55">
        <v>56.0</v>
      </c>
      <c r="C58" s="61" t="s">
        <v>114</v>
      </c>
      <c r="D58" s="22">
        <f t="shared" si="2"/>
        <v>7.757638889</v>
      </c>
      <c r="E58" s="25"/>
      <c r="F58" s="26"/>
      <c r="G58" s="23">
        <v>0.3680555555555556</v>
      </c>
      <c r="H58" s="23">
        <v>0.33194444444444443</v>
      </c>
      <c r="I58" s="23">
        <v>0.36875</v>
      </c>
      <c r="J58" s="23">
        <v>0.3590277777777778</v>
      </c>
      <c r="K58" s="23">
        <v>0.4152777777777778</v>
      </c>
      <c r="L58" s="23">
        <v>0.34375</v>
      </c>
      <c r="M58" s="23"/>
      <c r="N58" s="23">
        <v>0.34375</v>
      </c>
      <c r="O58" s="116">
        <v>0.3798611111111111</v>
      </c>
      <c r="P58" s="114" t="s">
        <v>284</v>
      </c>
      <c r="Q58" s="116">
        <v>0.3701388888888889</v>
      </c>
      <c r="R58" s="116">
        <v>0.3388888888888889</v>
      </c>
      <c r="S58" s="116">
        <v>0.35138888888888886</v>
      </c>
      <c r="T58" s="116">
        <v>0.37569444444444444</v>
      </c>
      <c r="U58" s="114" t="s">
        <v>284</v>
      </c>
      <c r="V58" s="116">
        <v>0.5194444444444445</v>
      </c>
      <c r="W58" s="116">
        <v>0.3701388888888889</v>
      </c>
      <c r="X58" s="116">
        <v>0.3645833333333333</v>
      </c>
      <c r="Y58" s="116">
        <v>0.35208333333333336</v>
      </c>
      <c r="Z58" s="116">
        <v>0.3715277777777778</v>
      </c>
      <c r="AA58" s="116"/>
      <c r="AB58" s="114" t="s">
        <v>284</v>
      </c>
      <c r="AC58" s="116">
        <v>0.3638888888888889</v>
      </c>
      <c r="AD58" s="117">
        <v>0.3541666666666667</v>
      </c>
      <c r="AE58" s="116">
        <v>0.375</v>
      </c>
      <c r="AF58" s="116">
        <v>0.3402777777777778</v>
      </c>
      <c r="AG58" s="115"/>
      <c r="AH58" s="26"/>
      <c r="AI58" s="23"/>
    </row>
    <row r="59">
      <c r="A59" s="32"/>
      <c r="B59" s="57">
        <v>57.0</v>
      </c>
      <c r="C59" s="61" t="s">
        <v>129</v>
      </c>
      <c r="D59" s="22">
        <f t="shared" si="2"/>
        <v>7.191666667</v>
      </c>
      <c r="E59" s="23"/>
      <c r="F59" s="23"/>
      <c r="G59" s="23">
        <v>0.3402777777777778</v>
      </c>
      <c r="H59" s="23">
        <v>0.33125</v>
      </c>
      <c r="I59" s="23">
        <v>0.34444444444444444</v>
      </c>
      <c r="J59" s="23">
        <v>0.3402777777777778</v>
      </c>
      <c r="K59" s="26" t="s">
        <v>284</v>
      </c>
      <c r="L59" s="26" t="s">
        <v>284</v>
      </c>
      <c r="M59" s="23">
        <v>0.34444444444444444</v>
      </c>
      <c r="N59" s="23">
        <v>0.39444444444444443</v>
      </c>
      <c r="O59" s="117">
        <v>0.3388888888888889</v>
      </c>
      <c r="P59" s="117">
        <v>0.3486111111111111</v>
      </c>
      <c r="Q59" s="117">
        <v>0.3458333333333333</v>
      </c>
      <c r="R59" s="117">
        <v>0.3416666666666667</v>
      </c>
      <c r="S59" s="114" t="s">
        <v>286</v>
      </c>
      <c r="T59" s="117">
        <v>0.3423611111111111</v>
      </c>
      <c r="U59" s="117">
        <v>0.34444444444444444</v>
      </c>
      <c r="V59" s="117">
        <v>0.3416666666666667</v>
      </c>
      <c r="W59" s="117">
        <v>0.34375</v>
      </c>
      <c r="X59" s="117">
        <v>0.3402777777777778</v>
      </c>
      <c r="Y59" s="117">
        <v>0.3423611111111111</v>
      </c>
      <c r="Z59" s="114" t="s">
        <v>284</v>
      </c>
      <c r="AA59" s="117">
        <v>0.33402777777777776</v>
      </c>
      <c r="AB59" s="117">
        <v>0.35694444444444445</v>
      </c>
      <c r="AC59" s="117">
        <v>0.29791666666666666</v>
      </c>
      <c r="AD59" s="117">
        <v>0.34097222222222223</v>
      </c>
      <c r="AE59" s="114" t="s">
        <v>284</v>
      </c>
      <c r="AF59" s="117">
        <v>0.3368055555555556</v>
      </c>
      <c r="AG59" s="115"/>
      <c r="AH59" s="23"/>
      <c r="AI59" s="23"/>
    </row>
    <row r="60">
      <c r="A60" s="32"/>
      <c r="B60" s="57">
        <v>58.0</v>
      </c>
      <c r="C60" s="60" t="s">
        <v>126</v>
      </c>
      <c r="D60" s="22">
        <f t="shared" si="2"/>
        <v>4.022916667</v>
      </c>
      <c r="E60" s="25"/>
      <c r="F60" s="25"/>
      <c r="G60" s="23">
        <v>0.3770833333333333</v>
      </c>
      <c r="H60" s="23">
        <v>0.4083333333333333</v>
      </c>
      <c r="I60" s="23">
        <v>0.35555555555555557</v>
      </c>
      <c r="J60" s="26" t="s">
        <v>284</v>
      </c>
      <c r="K60" s="23">
        <v>0.3576388888888889</v>
      </c>
      <c r="L60" s="23">
        <v>0.39652777777777776</v>
      </c>
      <c r="M60" s="23">
        <v>0.33958333333333335</v>
      </c>
      <c r="N60" s="23">
        <v>0.36180555555555555</v>
      </c>
      <c r="O60" s="116">
        <v>0.36736111111111114</v>
      </c>
      <c r="P60" s="116">
        <v>0.39375</v>
      </c>
      <c r="Q60" s="116">
        <v>0.3659722222222222</v>
      </c>
      <c r="R60" s="116">
        <v>0.29930555555555555</v>
      </c>
      <c r="S60" s="114"/>
      <c r="T60" s="115"/>
      <c r="U60" s="114" t="s">
        <v>284</v>
      </c>
      <c r="V60" s="114" t="s">
        <v>284</v>
      </c>
      <c r="W60" s="114" t="s">
        <v>284</v>
      </c>
      <c r="X60" s="114" t="s">
        <v>284</v>
      </c>
      <c r="Y60" s="114" t="s">
        <v>284</v>
      </c>
      <c r="Z60" s="114" t="s">
        <v>284</v>
      </c>
      <c r="AA60" s="114" t="s">
        <v>284</v>
      </c>
      <c r="AB60" s="114" t="s">
        <v>284</v>
      </c>
      <c r="AC60" s="114" t="s">
        <v>284</v>
      </c>
      <c r="AD60" s="114" t="s">
        <v>283</v>
      </c>
      <c r="AE60" s="114" t="s">
        <v>284</v>
      </c>
      <c r="AF60" s="114" t="s">
        <v>284</v>
      </c>
      <c r="AG60" s="115"/>
      <c r="AH60" s="23"/>
      <c r="AI60" s="23"/>
    </row>
    <row r="61">
      <c r="A61" s="32"/>
      <c r="B61" s="55">
        <v>59.0</v>
      </c>
      <c r="C61" s="60" t="s">
        <v>287</v>
      </c>
      <c r="D61" s="22">
        <f t="shared" si="2"/>
        <v>7.697222222</v>
      </c>
      <c r="E61" s="26"/>
      <c r="F61" s="25"/>
      <c r="G61" s="23">
        <v>0.3548611111111111</v>
      </c>
      <c r="H61" s="23">
        <v>0.35555555555555557</v>
      </c>
      <c r="I61" s="26" t="s">
        <v>284</v>
      </c>
      <c r="J61" s="23">
        <v>0.3472222222222222</v>
      </c>
      <c r="K61" s="23">
        <v>0.3597222222222222</v>
      </c>
      <c r="L61" s="23">
        <v>0.3451388888888889</v>
      </c>
      <c r="M61" s="23">
        <v>0.3368055555555556</v>
      </c>
      <c r="N61" s="23">
        <v>0.3472222222222222</v>
      </c>
      <c r="O61" s="116">
        <v>0.3347222222222222</v>
      </c>
      <c r="P61" s="116">
        <v>0.33402777777777776</v>
      </c>
      <c r="Q61" s="116">
        <v>0.36319444444444443</v>
      </c>
      <c r="R61" s="116">
        <v>0.33819444444444446</v>
      </c>
      <c r="S61" s="116">
        <v>0.35555555555555557</v>
      </c>
      <c r="T61" s="115"/>
      <c r="U61" s="116">
        <v>0.34444444444444444</v>
      </c>
      <c r="V61" s="116">
        <v>0.35138888888888886</v>
      </c>
      <c r="W61" s="114" t="s">
        <v>284</v>
      </c>
      <c r="X61" s="116">
        <v>0.33125</v>
      </c>
      <c r="Y61" s="116">
        <v>0.3590277777777778</v>
      </c>
      <c r="Z61" s="116">
        <v>0.3645833333333333</v>
      </c>
      <c r="AA61" s="116">
        <v>0.3458333333333333</v>
      </c>
      <c r="AB61" s="116">
        <v>0.35694444444444445</v>
      </c>
      <c r="AC61" s="116">
        <v>0.3486111111111111</v>
      </c>
      <c r="AD61" s="114" t="s">
        <v>283</v>
      </c>
      <c r="AE61" s="116">
        <v>0.3645833333333333</v>
      </c>
      <c r="AF61" s="116">
        <v>0.35833333333333334</v>
      </c>
      <c r="AG61" s="115"/>
      <c r="AH61" s="23"/>
      <c r="AI61" s="23"/>
    </row>
    <row r="62">
      <c r="A62" s="32"/>
      <c r="B62" s="57">
        <v>60.0</v>
      </c>
      <c r="C62" s="62" t="s">
        <v>162</v>
      </c>
      <c r="D62" s="22">
        <f t="shared" si="2"/>
        <v>8.386111111</v>
      </c>
      <c r="E62" s="25"/>
      <c r="F62" s="25"/>
      <c r="G62" s="23">
        <v>0.4895833333333333</v>
      </c>
      <c r="H62" s="23">
        <v>0.46875</v>
      </c>
      <c r="I62" s="26" t="s">
        <v>284</v>
      </c>
      <c r="J62" s="26" t="s">
        <v>284</v>
      </c>
      <c r="K62" s="23">
        <v>0.45416666666666666</v>
      </c>
      <c r="L62" s="23">
        <v>0.21597222222222223</v>
      </c>
      <c r="M62" s="26" t="s">
        <v>284</v>
      </c>
      <c r="N62" s="23">
        <v>0.4270833333333333</v>
      </c>
      <c r="O62" s="117">
        <v>0.3798611111111111</v>
      </c>
      <c r="P62" s="114" t="s">
        <v>286</v>
      </c>
      <c r="Q62" s="116">
        <v>0.4270833333333333</v>
      </c>
      <c r="R62" s="116">
        <v>0.41805555555555557</v>
      </c>
      <c r="S62" s="116">
        <v>0.325</v>
      </c>
      <c r="T62" s="115"/>
      <c r="U62" s="116">
        <v>0.43472222222222223</v>
      </c>
      <c r="V62" s="117">
        <v>0.47152777777777777</v>
      </c>
      <c r="W62" s="116">
        <v>0.4125</v>
      </c>
      <c r="X62" s="117">
        <v>0.41805555555555557</v>
      </c>
      <c r="Y62" s="117">
        <v>0.41805555555555557</v>
      </c>
      <c r="Z62" s="116">
        <v>0.3923611111111111</v>
      </c>
      <c r="AA62" s="114" t="s">
        <v>284</v>
      </c>
      <c r="AB62" s="116">
        <v>0.47291666666666665</v>
      </c>
      <c r="AC62" s="116">
        <v>0.3861111111111111</v>
      </c>
      <c r="AD62" s="116">
        <v>0.40347222222222223</v>
      </c>
      <c r="AE62" s="116">
        <v>0.44513888888888886</v>
      </c>
      <c r="AF62" s="117">
        <v>0.5256944444444445</v>
      </c>
      <c r="AG62" s="115"/>
      <c r="AH62" s="23"/>
      <c r="AI62" s="23"/>
    </row>
    <row r="63">
      <c r="A63" s="32"/>
      <c r="B63" s="57">
        <v>61.0</v>
      </c>
      <c r="C63" s="59" t="s">
        <v>38</v>
      </c>
      <c r="D63" s="22">
        <f t="shared" si="2"/>
        <v>5.523611111</v>
      </c>
      <c r="E63" s="25"/>
      <c r="F63" s="25"/>
      <c r="G63" s="26" t="s">
        <v>272</v>
      </c>
      <c r="H63" s="26" t="s">
        <v>272</v>
      </c>
      <c r="I63" s="26" t="s">
        <v>272</v>
      </c>
      <c r="J63" s="26" t="s">
        <v>272</v>
      </c>
      <c r="K63" s="26" t="s">
        <v>272</v>
      </c>
      <c r="L63" s="26"/>
      <c r="M63" s="23"/>
      <c r="N63" s="23">
        <v>0.37569444444444444</v>
      </c>
      <c r="O63" s="116">
        <v>0.3729166666666667</v>
      </c>
      <c r="P63" s="116">
        <v>0.36875</v>
      </c>
      <c r="Q63" s="116">
        <v>0.38055555555555554</v>
      </c>
      <c r="R63" s="116">
        <v>0.34305555555555556</v>
      </c>
      <c r="S63" s="115"/>
      <c r="T63" s="115"/>
      <c r="U63" s="116">
        <v>0.37222222222222223</v>
      </c>
      <c r="V63" s="116">
        <v>0.4076388888888889</v>
      </c>
      <c r="W63" s="116">
        <v>0.3611111111111111</v>
      </c>
      <c r="X63" s="116">
        <v>0.36180555555555555</v>
      </c>
      <c r="Y63" s="117">
        <v>0.3541666666666667</v>
      </c>
      <c r="Z63" s="115"/>
      <c r="AA63" s="115"/>
      <c r="AB63" s="116">
        <v>0.3770833333333333</v>
      </c>
      <c r="AC63" s="116">
        <v>0.3729166666666667</v>
      </c>
      <c r="AD63" s="116">
        <v>0.38125</v>
      </c>
      <c r="AE63" s="116">
        <v>0.3402777777777778</v>
      </c>
      <c r="AF63" s="117">
        <v>0.3541666666666667</v>
      </c>
      <c r="AG63" s="115"/>
      <c r="AH63" s="26"/>
      <c r="AI63" s="26"/>
    </row>
    <row r="64">
      <c r="A64" s="32"/>
      <c r="B64" s="55">
        <v>62.0</v>
      </c>
      <c r="C64" s="63" t="s">
        <v>35</v>
      </c>
      <c r="D64" s="22">
        <f t="shared" si="2"/>
        <v>0</v>
      </c>
      <c r="E64" s="25"/>
      <c r="F64" s="25"/>
      <c r="G64" s="23"/>
      <c r="H64" s="23"/>
      <c r="I64" s="24"/>
      <c r="J64" s="23"/>
      <c r="K64" s="23"/>
      <c r="L64" s="23"/>
      <c r="M64" s="23"/>
      <c r="N64" s="23"/>
      <c r="O64" s="116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23"/>
      <c r="AI64" s="26"/>
    </row>
    <row r="65">
      <c r="A65" s="32"/>
      <c r="B65" s="57">
        <v>63.0</v>
      </c>
      <c r="C65" s="59" t="s">
        <v>117</v>
      </c>
      <c r="D65" s="22">
        <f t="shared" si="2"/>
        <v>8.886111111</v>
      </c>
      <c r="E65" s="23"/>
      <c r="F65" s="23"/>
      <c r="G65" s="23">
        <v>0.5826388888888889</v>
      </c>
      <c r="H65" s="23">
        <v>0.4166666666666667</v>
      </c>
      <c r="I65" s="23">
        <v>0.28194444444444444</v>
      </c>
      <c r="J65" s="23">
        <v>0.5125</v>
      </c>
      <c r="K65" s="23">
        <v>0.4083333333333333</v>
      </c>
      <c r="L65" s="23">
        <v>0.07430555555555556</v>
      </c>
      <c r="M65" s="23"/>
      <c r="N65" s="23">
        <v>0.5388888888888889</v>
      </c>
      <c r="O65" s="120">
        <v>0.5270833333333333</v>
      </c>
      <c r="P65" s="114" t="s">
        <v>286</v>
      </c>
      <c r="Q65" s="116">
        <v>0.5895833333333333</v>
      </c>
      <c r="R65" s="117">
        <v>0.4166666666666667</v>
      </c>
      <c r="S65" s="115"/>
      <c r="T65" s="116"/>
      <c r="U65" s="116">
        <v>0.5013888888888889</v>
      </c>
      <c r="V65" s="117">
        <v>0.375</v>
      </c>
      <c r="W65" s="117">
        <v>0.375</v>
      </c>
      <c r="X65" s="117">
        <v>0.5076388888888889</v>
      </c>
      <c r="Y65" s="117">
        <v>0.3541666666666667</v>
      </c>
      <c r="Z65" s="117">
        <v>0.3333333333333333</v>
      </c>
      <c r="AA65" s="115"/>
      <c r="AB65" s="116">
        <v>0.50625</v>
      </c>
      <c r="AC65" s="116">
        <v>0.4041666666666667</v>
      </c>
      <c r="AD65" s="116">
        <v>0.38125</v>
      </c>
      <c r="AE65" s="116">
        <v>0.40902777777777777</v>
      </c>
      <c r="AF65" s="117">
        <v>0.3902777777777778</v>
      </c>
      <c r="AG65" s="115"/>
      <c r="AH65" s="23"/>
      <c r="AI65" s="23"/>
    </row>
    <row r="66">
      <c r="A66" s="32"/>
      <c r="B66" s="57">
        <v>64.0</v>
      </c>
      <c r="C66" s="60" t="s">
        <v>237</v>
      </c>
      <c r="D66" s="22">
        <f t="shared" si="2"/>
        <v>7.949305556</v>
      </c>
      <c r="E66" s="23"/>
      <c r="F66" s="23"/>
      <c r="G66" s="23">
        <v>0.3333333333333333</v>
      </c>
      <c r="H66" s="26" t="s">
        <v>286</v>
      </c>
      <c r="I66" s="23">
        <v>0.34930555555555554</v>
      </c>
      <c r="J66" s="23">
        <v>0.33402777777777776</v>
      </c>
      <c r="K66" s="23">
        <v>0.3347222222222222</v>
      </c>
      <c r="L66" s="23">
        <v>0.3402777777777778</v>
      </c>
      <c r="M66" s="23">
        <v>0.34375</v>
      </c>
      <c r="N66" s="23">
        <v>0.3402777777777778</v>
      </c>
      <c r="O66" s="117">
        <v>0.3472222222222222</v>
      </c>
      <c r="P66" s="117">
        <v>0.32916666666666666</v>
      </c>
      <c r="Q66" s="117">
        <v>0.3333333333333333</v>
      </c>
      <c r="R66" s="117">
        <v>0.3333333333333333</v>
      </c>
      <c r="S66" s="117">
        <v>0.3388888888888889</v>
      </c>
      <c r="T66" s="117">
        <v>0.33611111111111114</v>
      </c>
      <c r="U66" s="117">
        <v>0.37777777777777777</v>
      </c>
      <c r="V66" s="117">
        <v>0.3368055555555556</v>
      </c>
      <c r="W66" s="117">
        <v>0.4013888888888889</v>
      </c>
      <c r="X66" s="117">
        <v>0.375</v>
      </c>
      <c r="Y66" s="114" t="s">
        <v>284</v>
      </c>
      <c r="Z66" s="117">
        <v>0.34791666666666665</v>
      </c>
      <c r="AA66" s="117">
        <v>0.3326388888888889</v>
      </c>
      <c r="AB66" s="117">
        <v>0.33958333333333335</v>
      </c>
      <c r="AC66" s="117">
        <v>0.38125</v>
      </c>
      <c r="AD66" s="117">
        <v>0.3368055555555556</v>
      </c>
      <c r="AE66" s="117">
        <v>0.3263888888888889</v>
      </c>
      <c r="AF66" s="114" t="s">
        <v>283</v>
      </c>
      <c r="AG66" s="115"/>
      <c r="AH66" s="23"/>
      <c r="AI66" s="26"/>
    </row>
    <row r="67">
      <c r="A67" s="15"/>
      <c r="B67" s="55">
        <v>65.0</v>
      </c>
      <c r="C67" s="60" t="s">
        <v>288</v>
      </c>
      <c r="D67" s="22">
        <f t="shared" si="2"/>
        <v>7.482638889</v>
      </c>
      <c r="E67" s="23"/>
      <c r="F67" s="23"/>
      <c r="G67" s="23">
        <v>0.3298611111111111</v>
      </c>
      <c r="H67" s="26" t="s">
        <v>284</v>
      </c>
      <c r="I67" s="23">
        <v>0.3298611111111111</v>
      </c>
      <c r="J67" s="23">
        <v>0.33125</v>
      </c>
      <c r="K67" s="23">
        <v>0.3402777777777778</v>
      </c>
      <c r="L67" s="23">
        <v>0.3284722222222222</v>
      </c>
      <c r="M67" s="23">
        <v>0.34097222222222223</v>
      </c>
      <c r="N67" s="23">
        <v>0.3326388888888889</v>
      </c>
      <c r="O67" s="114" t="s">
        <v>284</v>
      </c>
      <c r="P67" s="116">
        <v>0.35833333333333334</v>
      </c>
      <c r="Q67" s="116">
        <v>0.34375</v>
      </c>
      <c r="R67" s="116">
        <v>0.3375</v>
      </c>
      <c r="S67" s="116">
        <v>0.3416666666666667</v>
      </c>
      <c r="T67" s="116">
        <v>0.3388888888888889</v>
      </c>
      <c r="U67" s="116">
        <v>0.3375</v>
      </c>
      <c r="V67" s="114" t="s">
        <v>284</v>
      </c>
      <c r="W67" s="116">
        <v>0.3284722222222222</v>
      </c>
      <c r="X67" s="116">
        <v>0.3388888888888889</v>
      </c>
      <c r="Y67" s="116">
        <v>0.33958333333333335</v>
      </c>
      <c r="Z67" s="116">
        <v>0.3451388888888889</v>
      </c>
      <c r="AA67" s="117">
        <v>0.33819444444444446</v>
      </c>
      <c r="AB67" s="116">
        <v>0.32708333333333334</v>
      </c>
      <c r="AC67" s="116">
        <v>0.34097222222222223</v>
      </c>
      <c r="AD67" s="116">
        <v>0.3402777777777778</v>
      </c>
      <c r="AE67" s="116">
        <v>0.39305555555555555</v>
      </c>
      <c r="AF67" s="114" t="s">
        <v>283</v>
      </c>
      <c r="AG67" s="115"/>
      <c r="AH67" s="23"/>
      <c r="AI67" s="23"/>
    </row>
  </sheetData>
  <mergeCells count="10">
    <mergeCell ref="A34:A46"/>
    <mergeCell ref="A47:A50"/>
    <mergeCell ref="A52:A67"/>
    <mergeCell ref="A1:A2"/>
    <mergeCell ref="B1:B2"/>
    <mergeCell ref="C1:C2"/>
    <mergeCell ref="D1:D2"/>
    <mergeCell ref="A4:A5"/>
    <mergeCell ref="A6:A16"/>
    <mergeCell ref="A17:A33"/>
  </mergeCells>
  <conditionalFormatting sqref="M6:AI6">
    <cfRule type="cellIs" dxfId="0" priority="1" operator="lessThan">
      <formula>"09:00:00"</formula>
    </cfRule>
  </conditionalFormatting>
  <conditionalFormatting sqref="D3:D67 M6:AI6">
    <cfRule type="notContainsText" dxfId="1" priority="2" operator="notContains" text="0">
      <formula>ISERROR(SEARCH(("0"),(D3)))</formula>
    </cfRule>
  </conditionalFormatting>
  <conditionalFormatting sqref="D3:D67">
    <cfRule type="cellIs" dxfId="2" priority="3" operator="greaterThanOrEqual">
      <formula>"08:45:00"</formula>
    </cfRule>
  </conditionalFormatting>
  <conditionalFormatting sqref="D3:D67">
    <cfRule type="cellIs" dxfId="3" priority="4" operator="between">
      <formula>"08:44:00"</formula>
      <formula>"08:00:00"</formula>
    </cfRule>
  </conditionalFormatting>
  <conditionalFormatting sqref="D3:D67 M6:AI6">
    <cfRule type="cellIs" dxfId="4" priority="5" operator="between">
      <formula>"08:00:00"</formula>
      <formula>"07:00:00"</formula>
    </cfRule>
  </conditionalFormatting>
  <conditionalFormatting sqref="D3:D67 M6:AI6">
    <cfRule type="cellIs" dxfId="5" priority="6" operator="between">
      <formula>"07:00:00"</formula>
      <formula>"00:00:01"</formula>
    </cfRule>
  </conditionalFormatting>
  <conditionalFormatting sqref="D3:D67 M6:AI6">
    <cfRule type="containsText" dxfId="6" priority="7" operator="containsText" text="Leave">
      <formula>NOT(ISERROR(SEARCH(("Leave"),(D3))))</formula>
    </cfRule>
  </conditionalFormatting>
  <conditionalFormatting sqref="D3:D67 M6:AI6">
    <cfRule type="notContainsBlanks" dxfId="7" priority="8">
      <formula>LEN(TRIM(D3))&gt;0</formula>
    </cfRule>
  </conditionalFormatting>
  <conditionalFormatting sqref="E3:AI67">
    <cfRule type="notContainsText" dxfId="8" priority="9" operator="notContains" text="0">
      <formula>ISERROR(SEARCH(("0"),(E3)))</formula>
    </cfRule>
  </conditionalFormatting>
  <conditionalFormatting sqref="E3:AI67">
    <cfRule type="cellIs" dxfId="2" priority="10" operator="greaterThanOrEqual">
      <formula>"08:45:00"</formula>
    </cfRule>
  </conditionalFormatting>
  <conditionalFormatting sqref="E3:AI67">
    <cfRule type="cellIs" dxfId="3" priority="11" operator="between">
      <formula>"08:44:00"</formula>
      <formula>"08:00:00"</formula>
    </cfRule>
  </conditionalFormatting>
  <conditionalFormatting sqref="E3:AI67">
    <cfRule type="cellIs" dxfId="9" priority="12" operator="between">
      <formula>"07:59:00"</formula>
      <formula>"07:00:00"</formula>
    </cfRule>
  </conditionalFormatting>
  <conditionalFormatting sqref="E3:AI67">
    <cfRule type="cellIs" dxfId="5" priority="13" operator="between">
      <formula>"06:59:00"</formula>
      <formula>"00:00:01"</formula>
    </cfRule>
  </conditionalFormatting>
  <conditionalFormatting sqref="E3:AI67">
    <cfRule type="notContainsBlanks" dxfId="10" priority="14">
      <formula>LEN(TRIM(E3))&gt;0</formula>
    </cfRule>
  </conditionalFormatting>
  <conditionalFormatting sqref="E3:AI67">
    <cfRule type="containsText" dxfId="11" priority="15" operator="containsText" text="Leave">
      <formula>NOT(ISERROR(SEARCH(("Leave"),(E3))))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1.63"/>
  </cols>
  <sheetData>
    <row r="1">
      <c r="A1" s="67"/>
      <c r="B1" s="68"/>
      <c r="C1" s="69" t="s">
        <v>321</v>
      </c>
      <c r="D1" s="68"/>
      <c r="E1" s="68"/>
      <c r="F1" s="68"/>
      <c r="G1" s="68"/>
      <c r="H1" s="68"/>
      <c r="I1" s="68"/>
      <c r="J1" s="68"/>
      <c r="K1" s="70"/>
    </row>
    <row r="2">
      <c r="A2" s="72" t="s">
        <v>290</v>
      </c>
      <c r="B2" s="73" t="s">
        <v>2</v>
      </c>
      <c r="C2" s="73" t="s">
        <v>291</v>
      </c>
      <c r="D2" s="72" t="s">
        <v>292</v>
      </c>
      <c r="E2" s="72" t="s">
        <v>293</v>
      </c>
      <c r="F2" s="72" t="s">
        <v>294</v>
      </c>
      <c r="G2" s="74" t="s">
        <v>322</v>
      </c>
      <c r="H2" s="72" t="s">
        <v>296</v>
      </c>
      <c r="I2" s="75" t="s">
        <v>297</v>
      </c>
      <c r="J2" s="75" t="s">
        <v>298</v>
      </c>
      <c r="K2" s="76" t="s">
        <v>323</v>
      </c>
    </row>
    <row r="3">
      <c r="A3" s="80">
        <v>1.0</v>
      </c>
      <c r="B3" s="78" t="s">
        <v>174</v>
      </c>
      <c r="C3" s="79" t="s">
        <v>300</v>
      </c>
      <c r="D3" s="80"/>
      <c r="E3" s="81"/>
      <c r="F3" s="80"/>
      <c r="G3" s="82"/>
      <c r="H3" s="83"/>
      <c r="I3" s="84"/>
      <c r="J3" s="85"/>
      <c r="K3" s="82"/>
    </row>
    <row r="4">
      <c r="A4" s="79">
        <v>2.0</v>
      </c>
      <c r="B4" s="86" t="s">
        <v>222</v>
      </c>
      <c r="C4" s="79" t="s">
        <v>301</v>
      </c>
      <c r="D4" s="80">
        <v>19.0</v>
      </c>
      <c r="E4" s="82">
        <v>12.0</v>
      </c>
      <c r="F4" s="80">
        <v>4.0</v>
      </c>
      <c r="G4" s="82">
        <v>2.0</v>
      </c>
      <c r="H4" s="89">
        <v>4.25</v>
      </c>
      <c r="I4" s="84">
        <v>4.430555555555555</v>
      </c>
      <c r="J4" s="88">
        <f t="shared" ref="J4:J37" si="1">I4-H4</f>
        <v>0.1805555556</v>
      </c>
      <c r="K4" s="82">
        <v>10.0</v>
      </c>
      <c r="M4" s="121"/>
    </row>
    <row r="5">
      <c r="A5" s="79">
        <v>3.0</v>
      </c>
      <c r="B5" s="86" t="s">
        <v>41</v>
      </c>
      <c r="C5" s="79" t="s">
        <v>301</v>
      </c>
      <c r="D5" s="80">
        <v>19.0</v>
      </c>
      <c r="E5" s="81">
        <f t="shared" ref="E5:E63" si="2">D5-K5</f>
        <v>19</v>
      </c>
      <c r="F5" s="80">
        <v>4.0</v>
      </c>
      <c r="G5" s="82">
        <v>4.0</v>
      </c>
      <c r="H5" s="89">
        <v>6.729166666666667</v>
      </c>
      <c r="I5" s="84">
        <v>6.3395833333333345</v>
      </c>
      <c r="J5" s="88">
        <f t="shared" si="1"/>
        <v>-0.3895833333</v>
      </c>
      <c r="K5" s="97">
        <v>0.0</v>
      </c>
      <c r="M5" s="121"/>
    </row>
    <row r="6">
      <c r="A6" s="80">
        <v>4.0</v>
      </c>
      <c r="B6" s="86" t="s">
        <v>234</v>
      </c>
      <c r="C6" s="79" t="s">
        <v>301</v>
      </c>
      <c r="D6" s="80">
        <v>19.0</v>
      </c>
      <c r="E6" s="81">
        <f t="shared" si="2"/>
        <v>17</v>
      </c>
      <c r="F6" s="80">
        <v>4.0</v>
      </c>
      <c r="G6" s="82">
        <v>3.0</v>
      </c>
      <c r="H6" s="89">
        <v>6.729166666666667</v>
      </c>
      <c r="I6" s="84">
        <v>0.0</v>
      </c>
      <c r="J6" s="85">
        <f t="shared" si="1"/>
        <v>-6.729166667</v>
      </c>
      <c r="K6" s="82">
        <v>2.0</v>
      </c>
      <c r="M6" s="121"/>
    </row>
    <row r="7">
      <c r="A7" s="79">
        <v>5.0</v>
      </c>
      <c r="B7" s="91" t="s">
        <v>201</v>
      </c>
      <c r="C7" s="79" t="s">
        <v>300</v>
      </c>
      <c r="D7" s="80">
        <v>19.0</v>
      </c>
      <c r="E7" s="81">
        <f t="shared" si="2"/>
        <v>18</v>
      </c>
      <c r="F7" s="80">
        <v>4.0</v>
      </c>
      <c r="G7" s="82">
        <v>3.0</v>
      </c>
      <c r="H7" s="89">
        <v>6.375</v>
      </c>
      <c r="I7" s="84">
        <v>6.390277777777778</v>
      </c>
      <c r="J7" s="85">
        <f t="shared" si="1"/>
        <v>0.01527777778</v>
      </c>
      <c r="K7" s="82">
        <v>1.0</v>
      </c>
      <c r="M7" s="121"/>
    </row>
    <row r="8">
      <c r="A8" s="79">
        <v>6.0</v>
      </c>
      <c r="B8" s="93" t="s">
        <v>246</v>
      </c>
      <c r="C8" s="79" t="s">
        <v>300</v>
      </c>
      <c r="D8" s="80">
        <v>19.0</v>
      </c>
      <c r="E8" s="81">
        <f t="shared" si="2"/>
        <v>19</v>
      </c>
      <c r="F8" s="80">
        <v>4.0</v>
      </c>
      <c r="G8" s="82">
        <v>3.0</v>
      </c>
      <c r="H8" s="94">
        <v>6.729166666666667</v>
      </c>
      <c r="I8" s="84">
        <v>6.921527777777779</v>
      </c>
      <c r="J8" s="95">
        <f t="shared" si="1"/>
        <v>0.1923611111</v>
      </c>
      <c r="K8" s="97">
        <v>0.0</v>
      </c>
      <c r="M8" s="121"/>
    </row>
    <row r="9">
      <c r="A9" s="80">
        <v>7.0</v>
      </c>
      <c r="B9" s="91" t="s">
        <v>231</v>
      </c>
      <c r="C9" s="79" t="s">
        <v>302</v>
      </c>
      <c r="D9" s="80">
        <v>19.0</v>
      </c>
      <c r="E9" s="81">
        <f t="shared" si="2"/>
        <v>18</v>
      </c>
      <c r="F9" s="80">
        <v>4.0</v>
      </c>
      <c r="G9" s="82">
        <v>2.0</v>
      </c>
      <c r="H9" s="89">
        <v>6.375</v>
      </c>
      <c r="I9" s="84">
        <v>6.5159722222222225</v>
      </c>
      <c r="J9" s="85">
        <f t="shared" si="1"/>
        <v>0.1409722222</v>
      </c>
      <c r="K9" s="82">
        <v>1.0</v>
      </c>
      <c r="M9" s="121"/>
    </row>
    <row r="10">
      <c r="A10" s="79">
        <v>8.0</v>
      </c>
      <c r="B10" s="96" t="s">
        <v>147</v>
      </c>
      <c r="C10" s="79" t="s">
        <v>302</v>
      </c>
      <c r="D10" s="80">
        <v>19.0</v>
      </c>
      <c r="E10" s="81">
        <f t="shared" si="2"/>
        <v>19</v>
      </c>
      <c r="F10" s="80">
        <v>4.0</v>
      </c>
      <c r="G10" s="82">
        <v>0.0</v>
      </c>
      <c r="H10" s="89">
        <v>6.729166666666667</v>
      </c>
      <c r="I10" s="84">
        <v>7.1944444444444455</v>
      </c>
      <c r="J10" s="85">
        <f t="shared" si="1"/>
        <v>0.4652777778</v>
      </c>
      <c r="K10" s="97">
        <v>0.0</v>
      </c>
      <c r="M10" s="121"/>
    </row>
    <row r="11">
      <c r="A11" s="79">
        <v>9.0</v>
      </c>
      <c r="B11" s="91" t="s">
        <v>177</v>
      </c>
      <c r="C11" s="79" t="s">
        <v>302</v>
      </c>
      <c r="D11" s="80">
        <v>19.0</v>
      </c>
      <c r="E11" s="81">
        <f t="shared" si="2"/>
        <v>19</v>
      </c>
      <c r="F11" s="80">
        <v>4.0</v>
      </c>
      <c r="G11" s="82">
        <v>6.0</v>
      </c>
      <c r="H11" s="89">
        <v>6.729166666666667</v>
      </c>
      <c r="I11" s="84">
        <v>6.888888888888888</v>
      </c>
      <c r="J11" s="88">
        <f t="shared" si="1"/>
        <v>0.1597222222</v>
      </c>
      <c r="K11" s="97">
        <v>0.0</v>
      </c>
      <c r="M11" s="121"/>
    </row>
    <row r="12">
      <c r="A12" s="80">
        <v>10.0</v>
      </c>
      <c r="B12" s="98" t="s">
        <v>216</v>
      </c>
      <c r="C12" s="79" t="s">
        <v>302</v>
      </c>
      <c r="D12" s="80">
        <v>19.0</v>
      </c>
      <c r="E12" s="81">
        <f t="shared" si="2"/>
        <v>18</v>
      </c>
      <c r="F12" s="80">
        <v>4.0</v>
      </c>
      <c r="G12" s="82">
        <v>5.0</v>
      </c>
      <c r="H12" s="89">
        <v>6.375</v>
      </c>
      <c r="I12" s="84">
        <v>7.011805555555556</v>
      </c>
      <c r="J12" s="85">
        <f t="shared" si="1"/>
        <v>0.6368055556</v>
      </c>
      <c r="K12" s="82">
        <v>1.0</v>
      </c>
      <c r="M12" s="121"/>
    </row>
    <row r="13">
      <c r="A13" s="79">
        <v>11.0</v>
      </c>
      <c r="B13" s="99" t="s">
        <v>138</v>
      </c>
      <c r="C13" s="79" t="s">
        <v>302</v>
      </c>
      <c r="D13" s="80">
        <v>19.0</v>
      </c>
      <c r="E13" s="81">
        <f t="shared" si="2"/>
        <v>19</v>
      </c>
      <c r="F13" s="80">
        <v>4.0</v>
      </c>
      <c r="G13" s="82">
        <v>4.0</v>
      </c>
      <c r="H13" s="89">
        <v>6.729166666666667</v>
      </c>
      <c r="I13" s="84">
        <v>6.309027777777778</v>
      </c>
      <c r="J13" s="85">
        <f t="shared" si="1"/>
        <v>-0.4201388889</v>
      </c>
      <c r="K13" s="97">
        <v>0.0</v>
      </c>
      <c r="M13" s="121"/>
    </row>
    <row r="14">
      <c r="A14" s="79">
        <v>12.0</v>
      </c>
      <c r="B14" s="93" t="s">
        <v>228</v>
      </c>
      <c r="C14" s="79" t="s">
        <v>301</v>
      </c>
      <c r="D14" s="80">
        <v>19.0</v>
      </c>
      <c r="E14" s="81">
        <f t="shared" si="2"/>
        <v>16</v>
      </c>
      <c r="F14" s="80">
        <v>4.0</v>
      </c>
      <c r="G14" s="82">
        <v>5.0</v>
      </c>
      <c r="H14" s="89">
        <v>5.666666666666667</v>
      </c>
      <c r="I14" s="84">
        <v>5.557638888888889</v>
      </c>
      <c r="J14" s="85">
        <f t="shared" si="1"/>
        <v>-0.1090277778</v>
      </c>
      <c r="K14" s="82">
        <v>3.0</v>
      </c>
      <c r="M14" s="121"/>
    </row>
    <row r="15">
      <c r="A15" s="80">
        <v>13.0</v>
      </c>
      <c r="B15" s="93" t="s">
        <v>273</v>
      </c>
      <c r="C15" s="79" t="s">
        <v>303</v>
      </c>
      <c r="D15" s="80">
        <v>19.0</v>
      </c>
      <c r="E15" s="81">
        <f t="shared" si="2"/>
        <v>19</v>
      </c>
      <c r="F15" s="80">
        <v>4.0</v>
      </c>
      <c r="G15" s="82">
        <v>4.0</v>
      </c>
      <c r="H15" s="89">
        <v>6.729166666666667</v>
      </c>
      <c r="I15" s="84">
        <v>6.863194444444445</v>
      </c>
      <c r="J15" s="85">
        <f t="shared" si="1"/>
        <v>0.1340277778</v>
      </c>
      <c r="K15" s="97">
        <v>0.0</v>
      </c>
      <c r="M15" s="121"/>
    </row>
    <row r="16">
      <c r="A16" s="79">
        <v>14.0</v>
      </c>
      <c r="B16" s="93" t="s">
        <v>254</v>
      </c>
      <c r="C16" s="80" t="s">
        <v>303</v>
      </c>
      <c r="D16" s="80">
        <v>19.0</v>
      </c>
      <c r="E16" s="81">
        <f t="shared" si="2"/>
        <v>18</v>
      </c>
      <c r="F16" s="80">
        <v>4.0</v>
      </c>
      <c r="G16" s="82">
        <v>5.0</v>
      </c>
      <c r="H16" s="89">
        <v>6.375</v>
      </c>
      <c r="I16" s="84">
        <v>6.263888888888889</v>
      </c>
      <c r="J16" s="85">
        <f t="shared" si="1"/>
        <v>-0.1111111111</v>
      </c>
      <c r="K16" s="82">
        <v>1.0</v>
      </c>
      <c r="M16" s="121"/>
    </row>
    <row r="17">
      <c r="A17" s="79">
        <v>15.0</v>
      </c>
      <c r="B17" s="93" t="s">
        <v>213</v>
      </c>
      <c r="C17" s="79" t="s">
        <v>304</v>
      </c>
      <c r="D17" s="80">
        <v>19.0</v>
      </c>
      <c r="E17" s="81">
        <f t="shared" si="2"/>
        <v>17</v>
      </c>
      <c r="F17" s="80">
        <v>4.0</v>
      </c>
      <c r="G17" s="82">
        <v>5.0</v>
      </c>
      <c r="H17" s="94">
        <v>6.020833333333333</v>
      </c>
      <c r="I17" s="84">
        <v>6.699305555555556</v>
      </c>
      <c r="J17" s="85">
        <f t="shared" si="1"/>
        <v>0.6784722222</v>
      </c>
      <c r="K17" s="82">
        <v>2.0</v>
      </c>
      <c r="M17" s="121"/>
    </row>
    <row r="18">
      <c r="A18" s="80">
        <v>16.0</v>
      </c>
      <c r="B18" s="100" t="s">
        <v>54</v>
      </c>
      <c r="C18" s="79" t="s">
        <v>304</v>
      </c>
      <c r="D18" s="80">
        <v>19.0</v>
      </c>
      <c r="E18" s="81">
        <f t="shared" si="2"/>
        <v>16</v>
      </c>
      <c r="F18" s="80">
        <v>4.0</v>
      </c>
      <c r="G18" s="82">
        <v>9.0</v>
      </c>
      <c r="H18" s="94">
        <v>5.666666666666667</v>
      </c>
      <c r="I18" s="84">
        <v>5.377083333333334</v>
      </c>
      <c r="J18" s="88">
        <f t="shared" si="1"/>
        <v>-0.2895833333</v>
      </c>
      <c r="K18" s="82">
        <v>3.0</v>
      </c>
      <c r="M18" s="121"/>
    </row>
    <row r="19">
      <c r="A19" s="79">
        <v>17.0</v>
      </c>
      <c r="B19" s="100" t="s">
        <v>159</v>
      </c>
      <c r="C19" s="79" t="s">
        <v>301</v>
      </c>
      <c r="D19" s="80">
        <v>19.0</v>
      </c>
      <c r="E19" s="81">
        <f t="shared" si="2"/>
        <v>17</v>
      </c>
      <c r="F19" s="80">
        <v>4.0</v>
      </c>
      <c r="G19" s="82">
        <v>5.0</v>
      </c>
      <c r="H19" s="89">
        <v>6.020833333333333</v>
      </c>
      <c r="I19" s="84">
        <v>6.4222222222222225</v>
      </c>
      <c r="J19" s="85">
        <f t="shared" si="1"/>
        <v>0.4013888889</v>
      </c>
      <c r="K19" s="82">
        <v>2.0</v>
      </c>
      <c r="M19" s="121"/>
    </row>
    <row r="20">
      <c r="A20" s="79">
        <v>18.0</v>
      </c>
      <c r="B20" s="93" t="s">
        <v>156</v>
      </c>
      <c r="C20" s="79" t="s">
        <v>301</v>
      </c>
      <c r="D20" s="80">
        <v>19.0</v>
      </c>
      <c r="E20" s="81">
        <f t="shared" si="2"/>
        <v>19</v>
      </c>
      <c r="F20" s="80">
        <v>4.0</v>
      </c>
      <c r="G20" s="82">
        <v>3.0</v>
      </c>
      <c r="H20" s="94">
        <v>6.729166666666667</v>
      </c>
      <c r="I20" s="84">
        <v>6.954861111111112</v>
      </c>
      <c r="J20" s="88">
        <f t="shared" si="1"/>
        <v>0.2256944444</v>
      </c>
      <c r="K20" s="97">
        <v>0.0</v>
      </c>
      <c r="M20" s="121"/>
    </row>
    <row r="21">
      <c r="A21" s="80">
        <v>19.0</v>
      </c>
      <c r="B21" s="101" t="s">
        <v>275</v>
      </c>
      <c r="C21" s="79" t="s">
        <v>301</v>
      </c>
      <c r="D21" s="80">
        <v>19.0</v>
      </c>
      <c r="E21" s="81">
        <f t="shared" si="2"/>
        <v>18</v>
      </c>
      <c r="F21" s="80">
        <v>4.0</v>
      </c>
      <c r="G21" s="82">
        <v>2.0</v>
      </c>
      <c r="H21" s="94">
        <v>6.375</v>
      </c>
      <c r="I21" s="84">
        <v>6.220833333333334</v>
      </c>
      <c r="J21" s="85">
        <f t="shared" si="1"/>
        <v>-0.1541666667</v>
      </c>
      <c r="K21" s="82">
        <v>1.0</v>
      </c>
      <c r="M21" s="121"/>
    </row>
    <row r="22">
      <c r="A22" s="79">
        <v>20.0</v>
      </c>
      <c r="B22" s="86" t="s">
        <v>57</v>
      </c>
      <c r="C22" s="79" t="s">
        <v>303</v>
      </c>
      <c r="D22" s="80">
        <v>19.0</v>
      </c>
      <c r="E22" s="81">
        <f t="shared" si="2"/>
        <v>19</v>
      </c>
      <c r="F22" s="80">
        <v>4.0</v>
      </c>
      <c r="G22" s="82">
        <v>6.0</v>
      </c>
      <c r="H22" s="89">
        <v>6.729166666666667</v>
      </c>
      <c r="I22" s="84">
        <v>6.242361111111111</v>
      </c>
      <c r="J22" s="88">
        <f t="shared" si="1"/>
        <v>-0.4868055556</v>
      </c>
      <c r="K22" s="97">
        <v>0.0</v>
      </c>
      <c r="M22" s="121"/>
    </row>
    <row r="23">
      <c r="A23" s="79">
        <v>21.0</v>
      </c>
      <c r="B23" s="93" t="s">
        <v>51</v>
      </c>
      <c r="C23" s="79" t="s">
        <v>302</v>
      </c>
      <c r="D23" s="80">
        <v>19.0</v>
      </c>
      <c r="E23" s="81">
        <f t="shared" si="2"/>
        <v>17</v>
      </c>
      <c r="F23" s="80">
        <v>4.0</v>
      </c>
      <c r="G23" s="82">
        <v>6.0</v>
      </c>
      <c r="H23" s="89">
        <v>6.020833333333333</v>
      </c>
      <c r="I23" s="84">
        <v>7.1708333333333325</v>
      </c>
      <c r="J23" s="85">
        <f t="shared" si="1"/>
        <v>1.15</v>
      </c>
      <c r="K23" s="82">
        <v>2.0</v>
      </c>
      <c r="M23" s="121"/>
    </row>
    <row r="24">
      <c r="A24" s="80">
        <v>22.0</v>
      </c>
      <c r="B24" s="91" t="s">
        <v>78</v>
      </c>
      <c r="C24" s="79" t="s">
        <v>303</v>
      </c>
      <c r="D24" s="80">
        <v>19.0</v>
      </c>
      <c r="E24" s="81">
        <f t="shared" si="2"/>
        <v>18</v>
      </c>
      <c r="F24" s="80">
        <v>4.0</v>
      </c>
      <c r="G24" s="82">
        <v>9.0</v>
      </c>
      <c r="H24" s="89">
        <v>6.375</v>
      </c>
      <c r="I24" s="84">
        <v>6.5888888888888895</v>
      </c>
      <c r="J24" s="85">
        <f t="shared" si="1"/>
        <v>0.2138888889</v>
      </c>
      <c r="K24" s="82">
        <v>1.0</v>
      </c>
      <c r="M24" s="121"/>
    </row>
    <row r="25">
      <c r="A25" s="79">
        <v>23.0</v>
      </c>
      <c r="B25" s="100" t="s">
        <v>132</v>
      </c>
      <c r="C25" s="79" t="s">
        <v>303</v>
      </c>
      <c r="D25" s="80">
        <v>19.0</v>
      </c>
      <c r="E25" s="81">
        <f t="shared" si="2"/>
        <v>18</v>
      </c>
      <c r="F25" s="80">
        <v>4.0</v>
      </c>
      <c r="G25" s="82">
        <v>3.0</v>
      </c>
      <c r="H25" s="89">
        <v>6.375</v>
      </c>
      <c r="I25" s="84">
        <v>7.4125</v>
      </c>
      <c r="J25" s="85">
        <f t="shared" si="1"/>
        <v>1.0375</v>
      </c>
      <c r="K25" s="82">
        <v>1.0</v>
      </c>
      <c r="M25" s="121"/>
    </row>
    <row r="26">
      <c r="A26" s="79">
        <v>24.0</v>
      </c>
      <c r="B26" s="86" t="s">
        <v>87</v>
      </c>
      <c r="C26" s="79" t="s">
        <v>303</v>
      </c>
      <c r="D26" s="80">
        <v>19.0</v>
      </c>
      <c r="E26" s="81">
        <f t="shared" si="2"/>
        <v>19</v>
      </c>
      <c r="F26" s="80">
        <v>4.0</v>
      </c>
      <c r="G26" s="82">
        <v>5.0</v>
      </c>
      <c r="H26" s="89">
        <v>6.729166666666667</v>
      </c>
      <c r="I26" s="84">
        <v>6.424305555555554</v>
      </c>
      <c r="J26" s="85">
        <f t="shared" si="1"/>
        <v>-0.3048611111</v>
      </c>
      <c r="K26" s="97">
        <v>0.0</v>
      </c>
      <c r="M26" s="121"/>
    </row>
    <row r="27">
      <c r="A27" s="80">
        <v>25.0</v>
      </c>
      <c r="B27" s="91" t="s">
        <v>99</v>
      </c>
      <c r="C27" s="79" t="s">
        <v>303</v>
      </c>
      <c r="D27" s="80">
        <v>19.0</v>
      </c>
      <c r="E27" s="81">
        <f t="shared" si="2"/>
        <v>18</v>
      </c>
      <c r="F27" s="80">
        <v>4.0</v>
      </c>
      <c r="G27" s="82">
        <v>6.0</v>
      </c>
      <c r="H27" s="89">
        <v>6.375</v>
      </c>
      <c r="I27" s="84">
        <v>5.839583333333333</v>
      </c>
      <c r="J27" s="85">
        <f t="shared" si="1"/>
        <v>-0.5354166667</v>
      </c>
      <c r="K27" s="82">
        <v>1.0</v>
      </c>
      <c r="M27" s="121"/>
    </row>
    <row r="28">
      <c r="A28" s="79">
        <v>26.0</v>
      </c>
      <c r="B28" s="91" t="s">
        <v>93</v>
      </c>
      <c r="C28" s="79" t="s">
        <v>305</v>
      </c>
      <c r="D28" s="80">
        <v>19.0</v>
      </c>
      <c r="E28" s="81">
        <f t="shared" si="2"/>
        <v>19</v>
      </c>
      <c r="F28" s="80">
        <v>4.0</v>
      </c>
      <c r="G28" s="82">
        <v>3.0</v>
      </c>
      <c r="H28" s="89">
        <v>6.729166666666667</v>
      </c>
      <c r="I28" s="84">
        <v>7.931944444444444</v>
      </c>
      <c r="J28" s="85">
        <f t="shared" si="1"/>
        <v>1.202777778</v>
      </c>
      <c r="K28" s="97">
        <v>0.0</v>
      </c>
      <c r="M28" s="121"/>
    </row>
    <row r="29">
      <c r="A29" s="79">
        <v>27.0</v>
      </c>
      <c r="B29" s="100" t="s">
        <v>135</v>
      </c>
      <c r="C29" s="79" t="s">
        <v>303</v>
      </c>
      <c r="D29" s="80">
        <v>19.0</v>
      </c>
      <c r="E29" s="81">
        <f t="shared" si="2"/>
        <v>18</v>
      </c>
      <c r="F29" s="80">
        <v>4.0</v>
      </c>
      <c r="G29" s="82">
        <v>5.0</v>
      </c>
      <c r="H29" s="89">
        <v>6.375</v>
      </c>
      <c r="I29" s="84">
        <v>7.033333333333333</v>
      </c>
      <c r="J29" s="85">
        <f t="shared" si="1"/>
        <v>0.6583333333</v>
      </c>
      <c r="K29" s="82">
        <v>1.0</v>
      </c>
      <c r="M29" s="121"/>
    </row>
    <row r="30">
      <c r="A30" s="80">
        <v>28.0</v>
      </c>
      <c r="B30" s="86" t="s">
        <v>183</v>
      </c>
      <c r="C30" s="79" t="s">
        <v>303</v>
      </c>
      <c r="D30" s="80">
        <v>19.0</v>
      </c>
      <c r="E30" s="81">
        <f t="shared" si="2"/>
        <v>18</v>
      </c>
      <c r="F30" s="80">
        <v>4.0</v>
      </c>
      <c r="G30" s="82">
        <v>4.0</v>
      </c>
      <c r="H30" s="89">
        <v>6.375</v>
      </c>
      <c r="I30" s="84">
        <v>7.355555555555555</v>
      </c>
      <c r="J30" s="85">
        <f t="shared" si="1"/>
        <v>0.9805555556</v>
      </c>
      <c r="K30" s="82">
        <v>1.0</v>
      </c>
      <c r="M30" s="121"/>
    </row>
    <row r="31">
      <c r="A31" s="79">
        <v>29.0</v>
      </c>
      <c r="B31" s="91" t="s">
        <v>186</v>
      </c>
      <c r="C31" s="79" t="s">
        <v>303</v>
      </c>
      <c r="D31" s="80">
        <v>19.0</v>
      </c>
      <c r="E31" s="81">
        <f t="shared" si="2"/>
        <v>17</v>
      </c>
      <c r="F31" s="80">
        <v>4.0</v>
      </c>
      <c r="G31" s="82">
        <v>14.0</v>
      </c>
      <c r="H31" s="89">
        <v>6.020833333333333</v>
      </c>
      <c r="I31" s="84">
        <v>5.877083333333333</v>
      </c>
      <c r="J31" s="85">
        <f t="shared" si="1"/>
        <v>-0.14375</v>
      </c>
      <c r="K31" s="82">
        <v>2.0</v>
      </c>
      <c r="M31" s="121"/>
    </row>
    <row r="32">
      <c r="A32" s="79">
        <v>30.0</v>
      </c>
      <c r="B32" s="86" t="s">
        <v>141</v>
      </c>
      <c r="C32" s="79" t="s">
        <v>303</v>
      </c>
      <c r="D32" s="80">
        <v>19.0</v>
      </c>
      <c r="E32" s="81">
        <f t="shared" si="2"/>
        <v>18</v>
      </c>
      <c r="F32" s="80">
        <v>4.0</v>
      </c>
      <c r="G32" s="82">
        <v>5.0</v>
      </c>
      <c r="H32" s="89">
        <v>6.375</v>
      </c>
      <c r="I32" s="84">
        <v>6.522916666666666</v>
      </c>
      <c r="J32" s="85">
        <f t="shared" si="1"/>
        <v>0.1479166667</v>
      </c>
      <c r="K32" s="82">
        <v>1.0</v>
      </c>
      <c r="M32" s="121"/>
    </row>
    <row r="33">
      <c r="A33" s="80">
        <v>31.0</v>
      </c>
      <c r="B33" s="86" t="s">
        <v>207</v>
      </c>
      <c r="C33" s="79" t="s">
        <v>300</v>
      </c>
      <c r="D33" s="80">
        <v>19.0</v>
      </c>
      <c r="E33" s="81">
        <f t="shared" si="2"/>
        <v>18</v>
      </c>
      <c r="F33" s="80">
        <v>4.0</v>
      </c>
      <c r="G33" s="82">
        <v>5.0</v>
      </c>
      <c r="H33" s="89">
        <v>6.375</v>
      </c>
      <c r="I33" s="84">
        <v>6.35625</v>
      </c>
      <c r="J33" s="85">
        <f t="shared" si="1"/>
        <v>-0.01875</v>
      </c>
      <c r="K33" s="82">
        <v>1.0</v>
      </c>
      <c r="M33" s="121"/>
    </row>
    <row r="34">
      <c r="A34" s="79">
        <v>32.0</v>
      </c>
      <c r="B34" s="86" t="s">
        <v>60</v>
      </c>
      <c r="C34" s="79" t="s">
        <v>303</v>
      </c>
      <c r="D34" s="80">
        <v>19.0</v>
      </c>
      <c r="E34" s="81">
        <f t="shared" si="2"/>
        <v>17</v>
      </c>
      <c r="F34" s="80">
        <v>4.0</v>
      </c>
      <c r="G34" s="82">
        <v>3.0</v>
      </c>
      <c r="H34" s="89">
        <v>6.020833333333333</v>
      </c>
      <c r="I34" s="84">
        <v>6.129166666666666</v>
      </c>
      <c r="J34" s="85">
        <f t="shared" si="1"/>
        <v>0.1083333333</v>
      </c>
      <c r="K34" s="82">
        <v>2.0</v>
      </c>
      <c r="M34" s="121"/>
    </row>
    <row r="35">
      <c r="A35" s="79">
        <v>33.0</v>
      </c>
      <c r="B35" s="86" t="s">
        <v>249</v>
      </c>
      <c r="C35" s="79" t="s">
        <v>302</v>
      </c>
      <c r="D35" s="80">
        <v>19.0</v>
      </c>
      <c r="E35" s="81">
        <f t="shared" si="2"/>
        <v>19</v>
      </c>
      <c r="F35" s="80">
        <v>4.0</v>
      </c>
      <c r="G35" s="82">
        <v>1.0</v>
      </c>
      <c r="H35" s="89">
        <v>6.729166666666667</v>
      </c>
      <c r="I35" s="84">
        <v>6.869444444444444</v>
      </c>
      <c r="J35" s="85">
        <f t="shared" si="1"/>
        <v>0.1402777778</v>
      </c>
      <c r="K35" s="97">
        <v>0.0</v>
      </c>
      <c r="M35" s="121"/>
    </row>
    <row r="36">
      <c r="A36" s="80">
        <v>34.0</v>
      </c>
      <c r="B36" s="86" t="s">
        <v>72</v>
      </c>
      <c r="C36" s="79" t="s">
        <v>300</v>
      </c>
      <c r="D36" s="80">
        <v>19.0</v>
      </c>
      <c r="E36" s="81">
        <f t="shared" si="2"/>
        <v>18</v>
      </c>
      <c r="F36" s="80">
        <v>4.0</v>
      </c>
      <c r="G36" s="82">
        <v>2.0</v>
      </c>
      <c r="H36" s="94">
        <v>6.375</v>
      </c>
      <c r="I36" s="84">
        <v>7.278472222222222</v>
      </c>
      <c r="J36" s="95">
        <f t="shared" si="1"/>
        <v>0.9034722222</v>
      </c>
      <c r="K36" s="82">
        <v>1.0</v>
      </c>
      <c r="M36" s="121"/>
    </row>
    <row r="37">
      <c r="A37" s="79">
        <v>35.0</v>
      </c>
      <c r="B37" s="100" t="s">
        <v>204</v>
      </c>
      <c r="C37" s="79" t="s">
        <v>300</v>
      </c>
      <c r="D37" s="80">
        <v>19.0</v>
      </c>
      <c r="E37" s="81">
        <f t="shared" si="2"/>
        <v>18</v>
      </c>
      <c r="F37" s="80">
        <v>4.0</v>
      </c>
      <c r="G37" s="82">
        <v>5.0</v>
      </c>
      <c r="H37" s="89">
        <v>6.375</v>
      </c>
      <c r="I37" s="84">
        <v>6.448611111111109</v>
      </c>
      <c r="J37" s="85">
        <f t="shared" si="1"/>
        <v>0.07361111111</v>
      </c>
      <c r="K37" s="82">
        <v>1.0</v>
      </c>
      <c r="M37" s="121"/>
    </row>
    <row r="38">
      <c r="A38" s="79">
        <v>36.0</v>
      </c>
      <c r="B38" s="100" t="s">
        <v>48</v>
      </c>
      <c r="C38" s="79" t="s">
        <v>300</v>
      </c>
      <c r="D38" s="80">
        <v>19.0</v>
      </c>
      <c r="E38" s="81">
        <f t="shared" si="2"/>
        <v>19</v>
      </c>
      <c r="F38" s="80">
        <v>4.0</v>
      </c>
      <c r="G38" s="82"/>
      <c r="H38" s="89">
        <v>6.729166666666667</v>
      </c>
      <c r="I38" s="84">
        <v>1.797222222222222</v>
      </c>
      <c r="J38" s="88"/>
      <c r="K38" s="97"/>
      <c r="M38" s="121"/>
    </row>
    <row r="39">
      <c r="A39" s="80">
        <v>37.0</v>
      </c>
      <c r="B39" s="91" t="s">
        <v>279</v>
      </c>
      <c r="C39" s="79" t="s">
        <v>300</v>
      </c>
      <c r="D39" s="80">
        <v>19.0</v>
      </c>
      <c r="E39" s="81">
        <f t="shared" si="2"/>
        <v>18</v>
      </c>
      <c r="F39" s="80">
        <v>4.0</v>
      </c>
      <c r="G39" s="82">
        <v>5.0</v>
      </c>
      <c r="H39" s="89">
        <v>6.375</v>
      </c>
      <c r="I39" s="84">
        <v>6.097222222222222</v>
      </c>
      <c r="J39" s="85">
        <f t="shared" ref="J39:J63" si="3">I39-H39</f>
        <v>-0.2777777778</v>
      </c>
      <c r="K39" s="97">
        <v>1.0</v>
      </c>
      <c r="M39" s="121"/>
    </row>
    <row r="40">
      <c r="A40" s="79">
        <v>38.0</v>
      </c>
      <c r="B40" s="86" t="s">
        <v>14</v>
      </c>
      <c r="C40" s="79" t="s">
        <v>300</v>
      </c>
      <c r="D40" s="80">
        <v>19.0</v>
      </c>
      <c r="E40" s="81">
        <f t="shared" si="2"/>
        <v>16</v>
      </c>
      <c r="F40" s="80">
        <v>4.0</v>
      </c>
      <c r="G40" s="82">
        <v>7.0</v>
      </c>
      <c r="H40" s="89">
        <v>5.666666666666667</v>
      </c>
      <c r="I40" s="84">
        <v>5.943749999999999</v>
      </c>
      <c r="J40" s="85">
        <f t="shared" si="3"/>
        <v>0.2770833333</v>
      </c>
      <c r="K40" s="82">
        <v>3.0</v>
      </c>
      <c r="M40" s="121"/>
    </row>
    <row r="41">
      <c r="A41" s="79">
        <v>39.0</v>
      </c>
      <c r="B41" s="107" t="s">
        <v>81</v>
      </c>
      <c r="C41" s="79" t="s">
        <v>300</v>
      </c>
      <c r="D41" s="80">
        <v>19.0</v>
      </c>
      <c r="E41" s="81">
        <f t="shared" si="2"/>
        <v>19</v>
      </c>
      <c r="F41" s="80">
        <v>4.0</v>
      </c>
      <c r="G41" s="82">
        <v>3.0</v>
      </c>
      <c r="H41" s="89">
        <v>6.729166666666667</v>
      </c>
      <c r="I41" s="84">
        <v>7.4534722222222225</v>
      </c>
      <c r="J41" s="85">
        <f t="shared" si="3"/>
        <v>0.7243055556</v>
      </c>
      <c r="K41" s="97">
        <v>0.0</v>
      </c>
      <c r="M41" s="121"/>
    </row>
    <row r="42">
      <c r="A42" s="80">
        <v>40.0</v>
      </c>
      <c r="B42" s="100" t="s">
        <v>153</v>
      </c>
      <c r="C42" s="79" t="s">
        <v>300</v>
      </c>
      <c r="D42" s="80">
        <v>19.0</v>
      </c>
      <c r="E42" s="81">
        <f t="shared" si="2"/>
        <v>17</v>
      </c>
      <c r="F42" s="80">
        <v>4.0</v>
      </c>
      <c r="G42" s="82">
        <v>5.0</v>
      </c>
      <c r="H42" s="89">
        <v>6.020833333333333</v>
      </c>
      <c r="I42" s="84">
        <v>6.247916666666667</v>
      </c>
      <c r="J42" s="85">
        <f t="shared" si="3"/>
        <v>0.2270833333</v>
      </c>
      <c r="K42" s="82">
        <v>2.0</v>
      </c>
      <c r="M42" s="121"/>
    </row>
    <row r="43">
      <c r="A43" s="79">
        <v>41.0</v>
      </c>
      <c r="B43" s="91" t="s">
        <v>198</v>
      </c>
      <c r="C43" s="79" t="s">
        <v>301</v>
      </c>
      <c r="D43" s="80">
        <v>19.0</v>
      </c>
      <c r="E43" s="81">
        <f t="shared" si="2"/>
        <v>18</v>
      </c>
      <c r="F43" s="80">
        <v>4.0</v>
      </c>
      <c r="G43" s="82">
        <v>7.0</v>
      </c>
      <c r="H43" s="89">
        <v>6.375</v>
      </c>
      <c r="I43" s="84">
        <v>6.482638888888889</v>
      </c>
      <c r="J43" s="85">
        <f t="shared" si="3"/>
        <v>0.1076388889</v>
      </c>
      <c r="K43" s="82">
        <v>1.0</v>
      </c>
      <c r="M43" s="121"/>
    </row>
    <row r="44">
      <c r="A44" s="79">
        <v>42.0</v>
      </c>
      <c r="B44" s="86" t="s">
        <v>105</v>
      </c>
      <c r="C44" s="79" t="s">
        <v>301</v>
      </c>
      <c r="D44" s="80">
        <v>19.0</v>
      </c>
      <c r="E44" s="81">
        <f t="shared" si="2"/>
        <v>18</v>
      </c>
      <c r="F44" s="80">
        <v>4.0</v>
      </c>
      <c r="G44" s="82">
        <v>4.0</v>
      </c>
      <c r="H44" s="89">
        <v>6.375</v>
      </c>
      <c r="I44" s="84">
        <v>5.852083333333334</v>
      </c>
      <c r="J44" s="85">
        <f t="shared" si="3"/>
        <v>-0.5229166667</v>
      </c>
      <c r="K44" s="82">
        <v>1.0</v>
      </c>
      <c r="M44" s="121"/>
    </row>
    <row r="45">
      <c r="A45" s="80">
        <v>43.0</v>
      </c>
      <c r="B45" s="93" t="s">
        <v>29</v>
      </c>
      <c r="C45" s="79" t="s">
        <v>301</v>
      </c>
      <c r="D45" s="80">
        <v>19.0</v>
      </c>
      <c r="E45" s="81">
        <f t="shared" si="2"/>
        <v>19</v>
      </c>
      <c r="F45" s="80">
        <v>4.0</v>
      </c>
      <c r="G45" s="82">
        <v>14.0</v>
      </c>
      <c r="H45" s="89">
        <v>6.729166666666667</v>
      </c>
      <c r="I45" s="84">
        <v>6.152777777777777</v>
      </c>
      <c r="J45" s="85">
        <f t="shared" si="3"/>
        <v>-0.5763888889</v>
      </c>
      <c r="K45" s="97">
        <v>0.0</v>
      </c>
      <c r="M45" s="121"/>
    </row>
    <row r="46">
      <c r="A46" s="79">
        <v>44.0</v>
      </c>
      <c r="B46" s="93" t="s">
        <v>324</v>
      </c>
      <c r="C46" s="80" t="s">
        <v>301</v>
      </c>
      <c r="D46" s="80">
        <v>15.0</v>
      </c>
      <c r="E46" s="81">
        <f t="shared" si="2"/>
        <v>14</v>
      </c>
      <c r="F46" s="80">
        <v>3.0</v>
      </c>
      <c r="G46" s="82">
        <v>2.0</v>
      </c>
      <c r="H46" s="89">
        <v>4.958333333333333</v>
      </c>
      <c r="I46" s="84">
        <v>4.607638888888889</v>
      </c>
      <c r="J46" s="85">
        <f t="shared" si="3"/>
        <v>-0.3506944444</v>
      </c>
      <c r="K46" s="82">
        <v>1.0</v>
      </c>
      <c r="M46" s="121"/>
    </row>
    <row r="47">
      <c r="A47" s="79">
        <v>45.0</v>
      </c>
      <c r="B47" s="86" t="s">
        <v>26</v>
      </c>
      <c r="C47" s="79" t="s">
        <v>305</v>
      </c>
      <c r="D47" s="80">
        <v>19.0</v>
      </c>
      <c r="E47" s="81">
        <f t="shared" si="2"/>
        <v>18</v>
      </c>
      <c r="F47" s="80">
        <v>4.0</v>
      </c>
      <c r="G47" s="82">
        <v>4.0</v>
      </c>
      <c r="H47" s="89">
        <v>6.375</v>
      </c>
      <c r="I47" s="84">
        <v>9.005555555555556</v>
      </c>
      <c r="J47" s="85">
        <f t="shared" si="3"/>
        <v>2.630555556</v>
      </c>
      <c r="K47" s="82">
        <v>1.0</v>
      </c>
      <c r="M47" s="121"/>
    </row>
    <row r="48">
      <c r="A48" s="80">
        <v>46.0</v>
      </c>
      <c r="B48" s="86" t="s">
        <v>23</v>
      </c>
      <c r="C48" s="79" t="s">
        <v>301</v>
      </c>
      <c r="D48" s="80">
        <v>19.0</v>
      </c>
      <c r="E48" s="81">
        <f t="shared" si="2"/>
        <v>17</v>
      </c>
      <c r="F48" s="80">
        <v>4.0</v>
      </c>
      <c r="G48" s="82">
        <v>2.0</v>
      </c>
      <c r="H48" s="89">
        <v>6.020833333333333</v>
      </c>
      <c r="I48" s="84">
        <v>4.801388888888888</v>
      </c>
      <c r="J48" s="85">
        <f t="shared" si="3"/>
        <v>-1.219444444</v>
      </c>
      <c r="K48" s="82">
        <v>2.0</v>
      </c>
      <c r="M48" s="121"/>
    </row>
    <row r="49">
      <c r="A49" s="79">
        <v>47.0</v>
      </c>
      <c r="B49" s="107" t="s">
        <v>17</v>
      </c>
      <c r="C49" s="79" t="s">
        <v>300</v>
      </c>
      <c r="D49" s="80">
        <v>19.0</v>
      </c>
      <c r="E49" s="81">
        <f t="shared" si="2"/>
        <v>17</v>
      </c>
      <c r="F49" s="80">
        <v>4.0</v>
      </c>
      <c r="G49" s="82">
        <v>5.0</v>
      </c>
      <c r="H49" s="89">
        <v>6.020833333333333</v>
      </c>
      <c r="I49" s="84">
        <v>6.356944444444443</v>
      </c>
      <c r="J49" s="85">
        <f t="shared" si="3"/>
        <v>0.3361111111</v>
      </c>
      <c r="K49" s="82">
        <v>2.0</v>
      </c>
      <c r="M49" s="121"/>
    </row>
    <row r="50">
      <c r="A50" s="79">
        <v>48.0</v>
      </c>
      <c r="B50" s="100" t="s">
        <v>150</v>
      </c>
      <c r="C50" s="79" t="s">
        <v>300</v>
      </c>
      <c r="D50" s="80">
        <v>19.0</v>
      </c>
      <c r="E50" s="81">
        <f t="shared" si="2"/>
        <v>19</v>
      </c>
      <c r="F50" s="80">
        <v>4.0</v>
      </c>
      <c r="G50" s="82">
        <v>4.0</v>
      </c>
      <c r="H50" s="89">
        <v>6.729166666666667</v>
      </c>
      <c r="I50" s="84">
        <v>7.457638888888887</v>
      </c>
      <c r="J50" s="88">
        <f t="shared" si="3"/>
        <v>0.7284722222</v>
      </c>
      <c r="K50" s="97">
        <v>0.0</v>
      </c>
      <c r="M50" s="121"/>
    </row>
    <row r="51">
      <c r="A51" s="80">
        <v>49.0</v>
      </c>
      <c r="B51" s="86" t="s">
        <v>32</v>
      </c>
      <c r="C51" s="79" t="s">
        <v>300</v>
      </c>
      <c r="D51" s="80">
        <v>19.0</v>
      </c>
      <c r="E51" s="81">
        <f t="shared" si="2"/>
        <v>19</v>
      </c>
      <c r="F51" s="80">
        <v>4.0</v>
      </c>
      <c r="G51" s="82">
        <v>7.0</v>
      </c>
      <c r="H51" s="89">
        <v>6.729166666666667</v>
      </c>
      <c r="I51" s="84">
        <v>6.149999999999999</v>
      </c>
      <c r="J51" s="85">
        <f t="shared" si="3"/>
        <v>-0.5791666667</v>
      </c>
      <c r="K51" s="97">
        <v>0.0</v>
      </c>
      <c r="M51" s="121"/>
    </row>
    <row r="52">
      <c r="A52" s="79">
        <v>50.0</v>
      </c>
      <c r="B52" s="86" t="s">
        <v>10</v>
      </c>
      <c r="C52" s="79" t="s">
        <v>300</v>
      </c>
      <c r="D52" s="80">
        <v>19.0</v>
      </c>
      <c r="E52" s="81">
        <f t="shared" si="2"/>
        <v>18</v>
      </c>
      <c r="F52" s="80">
        <v>4.0</v>
      </c>
      <c r="G52" s="82">
        <v>4.0</v>
      </c>
      <c r="H52" s="89">
        <v>6.375</v>
      </c>
      <c r="I52" s="84">
        <v>7.029861111111112</v>
      </c>
      <c r="J52" s="85">
        <f t="shared" si="3"/>
        <v>0.6548611111</v>
      </c>
      <c r="K52" s="82">
        <v>1.0</v>
      </c>
      <c r="M52" s="121"/>
    </row>
    <row r="53">
      <c r="A53" s="79">
        <v>51.0</v>
      </c>
      <c r="B53" s="91" t="s">
        <v>6</v>
      </c>
      <c r="C53" s="79" t="s">
        <v>300</v>
      </c>
      <c r="D53" s="80">
        <v>19.0</v>
      </c>
      <c r="E53" s="81">
        <f t="shared" si="2"/>
        <v>19</v>
      </c>
      <c r="F53" s="80">
        <v>4.0</v>
      </c>
      <c r="G53" s="82">
        <v>0.0</v>
      </c>
      <c r="H53" s="89">
        <v>6.729166666666667</v>
      </c>
      <c r="I53" s="84">
        <v>9.30138888888889</v>
      </c>
      <c r="J53" s="85">
        <f t="shared" si="3"/>
        <v>2.572222222</v>
      </c>
      <c r="K53" s="97">
        <v>0.0</v>
      </c>
      <c r="M53" s="121"/>
    </row>
    <row r="54">
      <c r="A54" s="80">
        <v>52.0</v>
      </c>
      <c r="B54" s="108" t="s">
        <v>75</v>
      </c>
      <c r="C54" s="79" t="s">
        <v>305</v>
      </c>
      <c r="D54" s="80">
        <v>19.0</v>
      </c>
      <c r="E54" s="81">
        <f t="shared" si="2"/>
        <v>18</v>
      </c>
      <c r="F54" s="80">
        <v>4.0</v>
      </c>
      <c r="G54" s="82">
        <v>3.0</v>
      </c>
      <c r="H54" s="89">
        <v>6.375</v>
      </c>
      <c r="I54" s="84">
        <v>5.672916666666667</v>
      </c>
      <c r="J54" s="85">
        <f t="shared" si="3"/>
        <v>-0.7020833333</v>
      </c>
      <c r="K54" s="82">
        <v>1.0</v>
      </c>
      <c r="M54" s="121"/>
    </row>
    <row r="55">
      <c r="A55" s="79">
        <v>53.0</v>
      </c>
      <c r="B55" s="78" t="s">
        <v>120</v>
      </c>
      <c r="C55" s="79" t="s">
        <v>301</v>
      </c>
      <c r="D55" s="80">
        <v>19.0</v>
      </c>
      <c r="E55" s="81">
        <f t="shared" si="2"/>
        <v>19</v>
      </c>
      <c r="F55" s="80">
        <v>4.0</v>
      </c>
      <c r="G55" s="82">
        <v>0.0</v>
      </c>
      <c r="H55" s="89">
        <v>6.729166666666667</v>
      </c>
      <c r="I55" s="84">
        <v>7.394444444444446</v>
      </c>
      <c r="J55" s="85">
        <f t="shared" si="3"/>
        <v>0.6652777778</v>
      </c>
      <c r="K55" s="97">
        <v>0.0</v>
      </c>
      <c r="M55" s="121"/>
    </row>
    <row r="56">
      <c r="A56" s="79">
        <v>54.0</v>
      </c>
      <c r="B56" s="109" t="s">
        <v>123</v>
      </c>
      <c r="C56" s="79" t="s">
        <v>303</v>
      </c>
      <c r="D56" s="80">
        <v>19.0</v>
      </c>
      <c r="E56" s="81">
        <f t="shared" si="2"/>
        <v>19</v>
      </c>
      <c r="F56" s="80">
        <v>4.0</v>
      </c>
      <c r="G56" s="82">
        <v>0.0</v>
      </c>
      <c r="H56" s="89">
        <v>6.729166666666667</v>
      </c>
      <c r="I56" s="84">
        <v>7.163194444444445</v>
      </c>
      <c r="J56" s="88">
        <f t="shared" si="3"/>
        <v>0.4340277778</v>
      </c>
      <c r="K56" s="97">
        <v>0.0</v>
      </c>
      <c r="M56" s="121"/>
    </row>
    <row r="57">
      <c r="A57" s="80">
        <v>55.0</v>
      </c>
      <c r="B57" s="108" t="s">
        <v>111</v>
      </c>
      <c r="C57" s="79" t="s">
        <v>303</v>
      </c>
      <c r="D57" s="80">
        <v>24.0</v>
      </c>
      <c r="E57" s="81">
        <f t="shared" si="2"/>
        <v>19</v>
      </c>
      <c r="F57" s="79">
        <v>0.0</v>
      </c>
      <c r="G57" s="82">
        <v>0.0</v>
      </c>
      <c r="H57" s="89">
        <v>6.729166666666667</v>
      </c>
      <c r="I57" s="84">
        <v>5.986805555555556</v>
      </c>
      <c r="J57" s="85">
        <f t="shared" si="3"/>
        <v>-0.7423611111</v>
      </c>
      <c r="K57" s="82">
        <v>5.0</v>
      </c>
      <c r="M57" s="121"/>
    </row>
    <row r="58">
      <c r="A58" s="79">
        <v>56.0</v>
      </c>
      <c r="B58" s="109" t="s">
        <v>114</v>
      </c>
      <c r="C58" s="79" t="s">
        <v>303</v>
      </c>
      <c r="D58" s="80">
        <v>24.0</v>
      </c>
      <c r="E58" s="81">
        <f t="shared" si="2"/>
        <v>21</v>
      </c>
      <c r="F58" s="79">
        <v>0.0</v>
      </c>
      <c r="G58" s="82">
        <v>0.0</v>
      </c>
      <c r="H58" s="89">
        <v>7.4375</v>
      </c>
      <c r="I58" s="84">
        <v>7.75763888888889</v>
      </c>
      <c r="J58" s="85">
        <f t="shared" si="3"/>
        <v>0.3201388889</v>
      </c>
      <c r="K58" s="82">
        <v>3.0</v>
      </c>
      <c r="M58" s="121"/>
    </row>
    <row r="59">
      <c r="A59" s="79">
        <v>57.0</v>
      </c>
      <c r="B59" s="109" t="s">
        <v>129</v>
      </c>
      <c r="C59" s="79" t="s">
        <v>303</v>
      </c>
      <c r="D59" s="80">
        <v>24.0</v>
      </c>
      <c r="E59" s="81">
        <f t="shared" si="2"/>
        <v>19</v>
      </c>
      <c r="F59" s="79">
        <v>0.0</v>
      </c>
      <c r="G59" s="82">
        <v>0.0</v>
      </c>
      <c r="H59" s="89">
        <v>6.729166666666667</v>
      </c>
      <c r="I59" s="84">
        <v>7.191666666666666</v>
      </c>
      <c r="J59" s="85">
        <f t="shared" si="3"/>
        <v>0.4625</v>
      </c>
      <c r="K59" s="82">
        <v>5.0</v>
      </c>
      <c r="M59" s="121"/>
    </row>
    <row r="60">
      <c r="A60" s="80">
        <v>58.0</v>
      </c>
      <c r="B60" s="78" t="s">
        <v>126</v>
      </c>
      <c r="C60" s="79" t="s">
        <v>303</v>
      </c>
      <c r="D60" s="80">
        <v>24.0</v>
      </c>
      <c r="E60" s="81">
        <f t="shared" si="2"/>
        <v>11</v>
      </c>
      <c r="F60" s="79">
        <v>0.0</v>
      </c>
      <c r="G60" s="82">
        <v>0.0</v>
      </c>
      <c r="H60" s="89">
        <v>3.8958333333333335</v>
      </c>
      <c r="I60" s="84">
        <v>4.022916666666667</v>
      </c>
      <c r="J60" s="85">
        <f t="shared" si="3"/>
        <v>0.1270833333</v>
      </c>
      <c r="K60" s="82">
        <v>13.0</v>
      </c>
      <c r="M60" s="121"/>
    </row>
    <row r="61">
      <c r="A61" s="79">
        <v>59.0</v>
      </c>
      <c r="B61" s="78" t="s">
        <v>287</v>
      </c>
      <c r="C61" s="79" t="s">
        <v>303</v>
      </c>
      <c r="D61" s="80">
        <v>24.0</v>
      </c>
      <c r="E61" s="81">
        <f t="shared" si="2"/>
        <v>21</v>
      </c>
      <c r="F61" s="79">
        <v>0.0</v>
      </c>
      <c r="G61" s="82">
        <v>0.0</v>
      </c>
      <c r="H61" s="89">
        <v>7.4375</v>
      </c>
      <c r="I61" s="84">
        <v>7.69722222222222</v>
      </c>
      <c r="J61" s="85">
        <f t="shared" si="3"/>
        <v>0.2597222222</v>
      </c>
      <c r="K61" s="82">
        <v>3.0</v>
      </c>
      <c r="M61" s="121"/>
    </row>
    <row r="62">
      <c r="A62" s="79">
        <v>60.0</v>
      </c>
      <c r="B62" s="98" t="s">
        <v>162</v>
      </c>
      <c r="C62" s="79" t="s">
        <v>303</v>
      </c>
      <c r="D62" s="80">
        <v>24.0</v>
      </c>
      <c r="E62" s="81">
        <f t="shared" si="2"/>
        <v>19</v>
      </c>
      <c r="F62" s="79">
        <v>0.0</v>
      </c>
      <c r="G62" s="82">
        <v>0.0</v>
      </c>
      <c r="H62" s="89">
        <v>6.729166666666667</v>
      </c>
      <c r="I62" s="84">
        <v>8.38611111111111</v>
      </c>
      <c r="J62" s="85">
        <f t="shared" si="3"/>
        <v>1.656944444</v>
      </c>
      <c r="K62" s="82">
        <v>5.0</v>
      </c>
      <c r="M62" s="121"/>
    </row>
    <row r="63">
      <c r="A63" s="80">
        <v>61.0</v>
      </c>
      <c r="B63" s="108" t="s">
        <v>38</v>
      </c>
      <c r="C63" s="79" t="s">
        <v>303</v>
      </c>
      <c r="D63" s="80">
        <v>19.0</v>
      </c>
      <c r="E63" s="81">
        <f t="shared" si="2"/>
        <v>14</v>
      </c>
      <c r="F63" s="79">
        <v>0.0</v>
      </c>
      <c r="G63" s="82">
        <v>2.0</v>
      </c>
      <c r="H63" s="89">
        <v>4.958333333333333</v>
      </c>
      <c r="I63" s="84">
        <v>5.523611111111111</v>
      </c>
      <c r="J63" s="85">
        <f t="shared" si="3"/>
        <v>0.5652777778</v>
      </c>
      <c r="K63" s="82">
        <v>5.0</v>
      </c>
      <c r="M63" s="121"/>
    </row>
    <row r="64">
      <c r="A64" s="79">
        <v>62.0</v>
      </c>
      <c r="B64" s="110" t="s">
        <v>35</v>
      </c>
      <c r="C64" s="79" t="s">
        <v>303</v>
      </c>
      <c r="D64" s="80"/>
      <c r="E64" s="81"/>
      <c r="F64" s="79"/>
      <c r="G64" s="82"/>
      <c r="H64" s="89"/>
      <c r="I64" s="84">
        <v>0.0</v>
      </c>
      <c r="J64" s="85"/>
      <c r="K64" s="97"/>
      <c r="M64" s="121"/>
    </row>
    <row r="65">
      <c r="A65" s="79">
        <v>63.0</v>
      </c>
      <c r="B65" s="108" t="s">
        <v>117</v>
      </c>
      <c r="C65" s="79" t="s">
        <v>303</v>
      </c>
      <c r="D65" s="80">
        <v>19.0</v>
      </c>
      <c r="E65" s="81">
        <f t="shared" ref="E65:E67" si="4">D65-K65</f>
        <v>18</v>
      </c>
      <c r="F65" s="80">
        <v>4.0</v>
      </c>
      <c r="G65" s="82">
        <v>0.0</v>
      </c>
      <c r="H65" s="89">
        <v>6.375</v>
      </c>
      <c r="I65" s="84">
        <v>8.886111111111111</v>
      </c>
      <c r="J65" s="85">
        <f t="shared" ref="J65:J67" si="5">I65-H65</f>
        <v>2.511111111</v>
      </c>
      <c r="K65" s="82">
        <v>1.0</v>
      </c>
      <c r="M65" s="121"/>
    </row>
    <row r="66">
      <c r="A66" s="80">
        <v>64.0</v>
      </c>
      <c r="B66" s="78" t="s">
        <v>237</v>
      </c>
      <c r="C66" s="79" t="s">
        <v>303</v>
      </c>
      <c r="D66" s="80">
        <v>24.0</v>
      </c>
      <c r="E66" s="81">
        <f t="shared" si="4"/>
        <v>21</v>
      </c>
      <c r="F66" s="79">
        <v>0.0</v>
      </c>
      <c r="G66" s="82">
        <v>0.0</v>
      </c>
      <c r="H66" s="89">
        <v>7.4375</v>
      </c>
      <c r="I66" s="84">
        <v>7.949305555555554</v>
      </c>
      <c r="J66" s="111">
        <f t="shared" si="5"/>
        <v>0.5118055556</v>
      </c>
      <c r="K66" s="82">
        <v>3.0</v>
      </c>
      <c r="M66" s="121"/>
    </row>
    <row r="67">
      <c r="A67" s="79">
        <v>65.0</v>
      </c>
      <c r="B67" s="78" t="s">
        <v>288</v>
      </c>
      <c r="C67" s="79" t="s">
        <v>303</v>
      </c>
      <c r="D67" s="80">
        <v>24.0</v>
      </c>
      <c r="E67" s="81">
        <f t="shared" si="4"/>
        <v>20</v>
      </c>
      <c r="F67" s="79">
        <v>0.0</v>
      </c>
      <c r="G67" s="82">
        <v>0.0</v>
      </c>
      <c r="H67" s="89">
        <v>7.083333333333333</v>
      </c>
      <c r="I67" s="84">
        <v>7.48263888888889</v>
      </c>
      <c r="J67" s="85">
        <f t="shared" si="5"/>
        <v>0.3993055556</v>
      </c>
      <c r="K67" s="82">
        <v>4.0</v>
      </c>
    </row>
  </sheetData>
  <mergeCells count="2">
    <mergeCell ref="A1:B1"/>
    <mergeCell ref="C1:K1"/>
  </mergeCells>
  <conditionalFormatting sqref="J3:J67">
    <cfRule type="cellIs" dxfId="12" priority="1" operator="lessThan">
      <formula>"00:00:00"</formula>
    </cfRule>
  </conditionalFormatting>
  <conditionalFormatting sqref="J3:J67">
    <cfRule type="cellIs" dxfId="7" priority="2" operator="greaterThan">
      <formula>"00:00:00"</formula>
    </cfRule>
  </conditionalFormatting>
  <dataValidations>
    <dataValidation type="list" allowBlank="1" showErrorMessage="1" sqref="C3:C67">
      <formula1>"JetClass,FAMS,DevOps,Voltro,SS,Special Projects"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2" width="3.63"/>
    <col customWidth="1" min="3" max="3" width="21.63"/>
  </cols>
  <sheetData>
    <row r="1">
      <c r="A1" s="122" t="s">
        <v>265</v>
      </c>
      <c r="B1" s="123" t="s">
        <v>1</v>
      </c>
      <c r="C1" s="10" t="s">
        <v>266</v>
      </c>
      <c r="D1" s="11" t="s">
        <v>267</v>
      </c>
      <c r="E1" s="13" t="str">
        <f t="shared" ref="E1:AI1" si="1">text(E2, "ddd")</f>
        <v>Sat</v>
      </c>
      <c r="F1" s="13" t="str">
        <f t="shared" si="1"/>
        <v>Sun</v>
      </c>
      <c r="G1" s="12" t="str">
        <f t="shared" si="1"/>
        <v>Mon</v>
      </c>
      <c r="H1" s="12" t="str">
        <f t="shared" si="1"/>
        <v>Tue</v>
      </c>
      <c r="I1" s="12" t="str">
        <f t="shared" si="1"/>
        <v>Wed</v>
      </c>
      <c r="J1" s="12" t="str">
        <f t="shared" si="1"/>
        <v>Thu</v>
      </c>
      <c r="K1" s="12" t="str">
        <f t="shared" si="1"/>
        <v>Fri</v>
      </c>
      <c r="L1" s="13" t="str">
        <f t="shared" si="1"/>
        <v>Sat</v>
      </c>
      <c r="M1" s="13" t="str">
        <f t="shared" si="1"/>
        <v>Sun</v>
      </c>
      <c r="N1" s="12" t="str">
        <f t="shared" si="1"/>
        <v>Mon</v>
      </c>
      <c r="O1" s="12" t="str">
        <f t="shared" si="1"/>
        <v>Tue</v>
      </c>
      <c r="P1" s="12" t="str">
        <f t="shared" si="1"/>
        <v>Wed</v>
      </c>
      <c r="Q1" s="12" t="str">
        <f t="shared" si="1"/>
        <v>Thu</v>
      </c>
      <c r="R1" s="12" t="str">
        <f t="shared" si="1"/>
        <v>Fri</v>
      </c>
      <c r="S1" s="13" t="str">
        <f t="shared" si="1"/>
        <v>Sat</v>
      </c>
      <c r="T1" s="13" t="str">
        <f t="shared" si="1"/>
        <v>Sun</v>
      </c>
      <c r="U1" s="12" t="str">
        <f t="shared" si="1"/>
        <v>Mon</v>
      </c>
      <c r="V1" s="12" t="str">
        <f t="shared" si="1"/>
        <v>Tue</v>
      </c>
      <c r="W1" s="12" t="str">
        <f t="shared" si="1"/>
        <v>Wed</v>
      </c>
      <c r="X1" s="12" t="str">
        <f t="shared" si="1"/>
        <v>Thu</v>
      </c>
      <c r="Y1" s="12" t="str">
        <f t="shared" si="1"/>
        <v>Fri</v>
      </c>
      <c r="Z1" s="13" t="str">
        <f t="shared" si="1"/>
        <v>Sat</v>
      </c>
      <c r="AA1" s="13" t="str">
        <f t="shared" si="1"/>
        <v>Sun</v>
      </c>
      <c r="AB1" s="12" t="str">
        <f t="shared" si="1"/>
        <v>Mon</v>
      </c>
      <c r="AC1" s="12" t="str">
        <f t="shared" si="1"/>
        <v>Tue</v>
      </c>
      <c r="AD1" s="12" t="str">
        <f t="shared" si="1"/>
        <v>Wed</v>
      </c>
      <c r="AE1" s="12" t="str">
        <f t="shared" si="1"/>
        <v>Thu</v>
      </c>
      <c r="AF1" s="12" t="str">
        <f t="shared" si="1"/>
        <v>Fri</v>
      </c>
      <c r="AG1" s="13" t="str">
        <f t="shared" si="1"/>
        <v>Sat</v>
      </c>
      <c r="AH1" s="13" t="str">
        <f t="shared" si="1"/>
        <v>Sun</v>
      </c>
      <c r="AI1" s="12" t="str">
        <f t="shared" si="1"/>
        <v>Mon</v>
      </c>
    </row>
    <row r="2">
      <c r="A2" s="15"/>
      <c r="B2" s="15"/>
      <c r="C2" s="15"/>
      <c r="D2" s="15"/>
      <c r="E2" s="17">
        <v>45717.0</v>
      </c>
      <c r="F2" s="17">
        <v>45718.0</v>
      </c>
      <c r="G2" s="16">
        <v>45719.0</v>
      </c>
      <c r="H2" s="16">
        <v>45720.0</v>
      </c>
      <c r="I2" s="16">
        <v>45721.0</v>
      </c>
      <c r="J2" s="16">
        <v>45722.0</v>
      </c>
      <c r="K2" s="16">
        <v>45723.0</v>
      </c>
      <c r="L2" s="17">
        <v>45724.0</v>
      </c>
      <c r="M2" s="17">
        <v>45725.0</v>
      </c>
      <c r="N2" s="16">
        <v>45726.0</v>
      </c>
      <c r="O2" s="16">
        <v>45727.0</v>
      </c>
      <c r="P2" s="16">
        <v>45728.0</v>
      </c>
      <c r="Q2" s="16">
        <v>45729.0</v>
      </c>
      <c r="R2" s="16">
        <v>45730.0</v>
      </c>
      <c r="S2" s="17">
        <v>45731.0</v>
      </c>
      <c r="T2" s="17">
        <v>45732.0</v>
      </c>
      <c r="U2" s="16">
        <v>45733.0</v>
      </c>
      <c r="V2" s="16">
        <v>45734.0</v>
      </c>
      <c r="W2" s="16">
        <v>45735.0</v>
      </c>
      <c r="X2" s="16">
        <v>45736.0</v>
      </c>
      <c r="Y2" s="16">
        <v>45737.0</v>
      </c>
      <c r="Z2" s="17">
        <v>45738.0</v>
      </c>
      <c r="AA2" s="17">
        <v>45739.0</v>
      </c>
      <c r="AB2" s="16">
        <v>45740.0</v>
      </c>
      <c r="AC2" s="16">
        <v>45741.0</v>
      </c>
      <c r="AD2" s="16">
        <v>45742.0</v>
      </c>
      <c r="AE2" s="16">
        <v>45743.0</v>
      </c>
      <c r="AF2" s="16">
        <v>45744.0</v>
      </c>
      <c r="AG2" s="17">
        <v>45745.0</v>
      </c>
      <c r="AH2" s="17">
        <v>45746.0</v>
      </c>
      <c r="AI2" s="16">
        <v>45747.0</v>
      </c>
    </row>
    <row r="3">
      <c r="A3" s="124" t="s">
        <v>325</v>
      </c>
      <c r="B3" s="20">
        <v>1.0</v>
      </c>
      <c r="C3" s="21" t="s">
        <v>174</v>
      </c>
      <c r="D3" s="22">
        <f t="shared" ref="D3:D66" si="2">SUM(E3:AL3)</f>
        <v>0</v>
      </c>
      <c r="E3" s="26" t="s">
        <v>270</v>
      </c>
      <c r="F3" s="26" t="s">
        <v>270</v>
      </c>
      <c r="G3" s="26" t="s">
        <v>270</v>
      </c>
      <c r="H3" s="26" t="s">
        <v>270</v>
      </c>
      <c r="I3" s="26" t="s">
        <v>270</v>
      </c>
      <c r="J3" s="26" t="s">
        <v>270</v>
      </c>
      <c r="K3" s="26" t="s">
        <v>270</v>
      </c>
      <c r="L3" s="26" t="s">
        <v>270</v>
      </c>
      <c r="M3" s="26" t="s">
        <v>270</v>
      </c>
      <c r="N3" s="26" t="s">
        <v>270</v>
      </c>
      <c r="O3" s="26" t="s">
        <v>270</v>
      </c>
      <c r="P3" s="26" t="s">
        <v>270</v>
      </c>
      <c r="Q3" s="26" t="s">
        <v>270</v>
      </c>
      <c r="R3" s="26" t="s">
        <v>270</v>
      </c>
      <c r="S3" s="26" t="s">
        <v>270</v>
      </c>
      <c r="T3" s="26" t="s">
        <v>270</v>
      </c>
      <c r="U3" s="26" t="s">
        <v>270</v>
      </c>
      <c r="V3" s="26" t="s">
        <v>270</v>
      </c>
      <c r="W3" s="26" t="s">
        <v>270</v>
      </c>
      <c r="X3" s="26" t="s">
        <v>270</v>
      </c>
      <c r="Y3" s="26" t="s">
        <v>270</v>
      </c>
      <c r="Z3" s="26" t="s">
        <v>270</v>
      </c>
      <c r="AA3" s="26" t="s">
        <v>270</v>
      </c>
      <c r="AB3" s="26" t="s">
        <v>270</v>
      </c>
      <c r="AC3" s="26" t="s">
        <v>270</v>
      </c>
      <c r="AD3" s="26" t="s">
        <v>270</v>
      </c>
      <c r="AE3" s="26" t="s">
        <v>270</v>
      </c>
      <c r="AF3" s="26" t="s">
        <v>270</v>
      </c>
      <c r="AG3" s="26" t="s">
        <v>270</v>
      </c>
      <c r="AH3" s="26" t="s">
        <v>270</v>
      </c>
      <c r="AI3" s="26" t="s">
        <v>270</v>
      </c>
    </row>
    <row r="4">
      <c r="A4" s="32"/>
      <c r="B4" s="33">
        <v>2.0</v>
      </c>
      <c r="C4" s="31" t="s">
        <v>222</v>
      </c>
      <c r="D4" s="22">
        <f t="shared" si="2"/>
        <v>4.2625</v>
      </c>
      <c r="E4" s="23"/>
      <c r="F4" s="23"/>
      <c r="G4" s="23">
        <v>0.25069444444444444</v>
      </c>
      <c r="H4" s="26" t="s">
        <v>269</v>
      </c>
      <c r="I4" s="23">
        <v>0.2111111111111111</v>
      </c>
      <c r="J4" s="23">
        <v>0.1701388888888889</v>
      </c>
      <c r="K4" s="23">
        <v>0.25</v>
      </c>
      <c r="L4" s="26"/>
      <c r="M4" s="26"/>
      <c r="N4" s="23">
        <v>0.26319444444444445</v>
      </c>
      <c r="O4" s="26" t="s">
        <v>271</v>
      </c>
      <c r="P4" s="117">
        <v>0.25</v>
      </c>
      <c r="Q4" s="117">
        <v>0.25</v>
      </c>
      <c r="R4" s="117">
        <v>0.24444444444444444</v>
      </c>
      <c r="S4" s="114"/>
      <c r="T4" s="114"/>
      <c r="U4" s="117">
        <v>0.24513888888888888</v>
      </c>
      <c r="V4" s="117">
        <v>0.19583333333333333</v>
      </c>
      <c r="W4" s="117">
        <v>0.18055555555555555</v>
      </c>
      <c r="X4" s="117">
        <v>0.2513888888888889</v>
      </c>
      <c r="Y4" s="125">
        <v>0.25</v>
      </c>
      <c r="Z4" s="114"/>
      <c r="AA4" s="114"/>
      <c r="AB4" s="117">
        <v>0.25</v>
      </c>
      <c r="AC4" s="117">
        <v>0.25</v>
      </c>
      <c r="AD4" s="117">
        <v>0.25</v>
      </c>
      <c r="AE4" s="117">
        <v>0.25</v>
      </c>
      <c r="AF4" s="117">
        <v>0.25</v>
      </c>
      <c r="AG4" s="114"/>
      <c r="AH4" s="114"/>
      <c r="AI4" s="26" t="s">
        <v>326</v>
      </c>
    </row>
    <row r="5">
      <c r="A5" s="32"/>
      <c r="B5" s="33">
        <v>3.0</v>
      </c>
      <c r="C5" s="31" t="s">
        <v>41</v>
      </c>
      <c r="D5" s="22">
        <f t="shared" si="2"/>
        <v>5</v>
      </c>
      <c r="E5" s="23"/>
      <c r="F5" s="23"/>
      <c r="G5" s="23">
        <v>0.25</v>
      </c>
      <c r="H5" s="23">
        <v>0.25</v>
      </c>
      <c r="I5" s="23">
        <v>0.25</v>
      </c>
      <c r="J5" s="23">
        <v>0.25</v>
      </c>
      <c r="K5" s="23">
        <v>0.25</v>
      </c>
      <c r="L5" s="23"/>
      <c r="M5" s="23"/>
      <c r="N5" s="23">
        <v>0.25</v>
      </c>
      <c r="O5" s="23">
        <v>0.25</v>
      </c>
      <c r="P5" s="117">
        <v>0.25</v>
      </c>
      <c r="Q5" s="117">
        <v>0.25</v>
      </c>
      <c r="R5" s="117">
        <v>0.25</v>
      </c>
      <c r="S5" s="114"/>
      <c r="T5" s="114"/>
      <c r="U5" s="117">
        <v>0.25</v>
      </c>
      <c r="V5" s="117">
        <v>0.25</v>
      </c>
      <c r="W5" s="117">
        <v>0.25</v>
      </c>
      <c r="X5" s="117">
        <v>0.25</v>
      </c>
      <c r="Y5" s="125">
        <v>0.25</v>
      </c>
      <c r="Z5" s="114"/>
      <c r="AA5" s="114"/>
      <c r="AB5" s="117">
        <v>0.25</v>
      </c>
      <c r="AC5" s="117">
        <v>0.25</v>
      </c>
      <c r="AD5" s="117">
        <v>0.25</v>
      </c>
      <c r="AE5" s="117">
        <v>0.25</v>
      </c>
      <c r="AF5" s="117">
        <v>0.25</v>
      </c>
      <c r="AG5" s="114"/>
      <c r="AH5" s="114"/>
      <c r="AI5" s="26" t="s">
        <v>326</v>
      </c>
    </row>
    <row r="6">
      <c r="A6" s="32"/>
      <c r="B6" s="20">
        <v>4.0</v>
      </c>
      <c r="C6" s="31" t="s">
        <v>234</v>
      </c>
      <c r="D6" s="22">
        <f t="shared" si="2"/>
        <v>1.840277778</v>
      </c>
      <c r="E6" s="23"/>
      <c r="F6" s="23"/>
      <c r="G6" s="23">
        <v>0.25</v>
      </c>
      <c r="H6" s="23">
        <v>0.25</v>
      </c>
      <c r="I6" s="23">
        <v>0.25</v>
      </c>
      <c r="J6" s="23">
        <v>0.25</v>
      </c>
      <c r="K6" s="23">
        <v>0.25</v>
      </c>
      <c r="L6" s="23"/>
      <c r="M6" s="23"/>
      <c r="N6" s="26"/>
      <c r="O6" s="23">
        <v>0.06458333333333334</v>
      </c>
      <c r="P6" s="114"/>
      <c r="Q6" s="117">
        <v>0.25555555555555554</v>
      </c>
      <c r="R6" s="117"/>
      <c r="S6" s="114"/>
      <c r="T6" s="114"/>
      <c r="U6" s="117">
        <v>0.2701388888888889</v>
      </c>
      <c r="V6" s="114"/>
      <c r="W6" s="114"/>
      <c r="X6" s="117"/>
      <c r="Y6" s="116"/>
      <c r="Z6" s="114"/>
      <c r="AA6" s="114"/>
      <c r="AB6" s="117"/>
      <c r="AC6" s="114"/>
      <c r="AD6" s="117"/>
      <c r="AE6" s="114"/>
      <c r="AF6" s="114"/>
      <c r="AG6" s="114"/>
      <c r="AH6" s="114"/>
      <c r="AI6" s="26" t="s">
        <v>326</v>
      </c>
    </row>
    <row r="7">
      <c r="A7" s="32"/>
      <c r="B7" s="33">
        <v>5.0</v>
      </c>
      <c r="C7" s="34" t="s">
        <v>201</v>
      </c>
      <c r="D7" s="22">
        <f t="shared" si="2"/>
        <v>3.926388889</v>
      </c>
      <c r="E7" s="23"/>
      <c r="F7" s="23"/>
      <c r="G7" s="23">
        <v>0.25069444444444444</v>
      </c>
      <c r="H7" s="23">
        <v>0.2534722222222222</v>
      </c>
      <c r="I7" s="23">
        <v>0.24305555555555555</v>
      </c>
      <c r="J7" s="23">
        <v>0.25972222222222224</v>
      </c>
      <c r="K7" s="23">
        <v>0.25</v>
      </c>
      <c r="L7" s="23"/>
      <c r="M7" s="23"/>
      <c r="N7" s="23">
        <v>0.23680555555555555</v>
      </c>
      <c r="O7" s="23">
        <v>0.2548611111111111</v>
      </c>
      <c r="P7" s="117">
        <v>0.23819444444444443</v>
      </c>
      <c r="Q7" s="117">
        <v>0.2298611111111111</v>
      </c>
      <c r="R7" s="117">
        <v>0.25</v>
      </c>
      <c r="S7" s="114"/>
      <c r="T7" s="114"/>
      <c r="U7" s="117">
        <v>0.2361111111111111</v>
      </c>
      <c r="V7" s="117">
        <v>0.2465277777777778</v>
      </c>
      <c r="W7" s="114" t="s">
        <v>269</v>
      </c>
      <c r="X7" s="117"/>
      <c r="Y7" s="125">
        <v>0.25</v>
      </c>
      <c r="Z7" s="114"/>
      <c r="AA7" s="114"/>
      <c r="AB7" s="117"/>
      <c r="AC7" s="117">
        <v>0.2423611111111111</v>
      </c>
      <c r="AD7" s="117">
        <v>0.24930555555555556</v>
      </c>
      <c r="AE7" s="117">
        <v>0.23541666666666666</v>
      </c>
      <c r="AF7" s="114"/>
      <c r="AG7" s="114"/>
      <c r="AH7" s="114"/>
      <c r="AI7" s="26" t="s">
        <v>326</v>
      </c>
    </row>
    <row r="8">
      <c r="A8" s="32"/>
      <c r="B8" s="33">
        <v>6.0</v>
      </c>
      <c r="C8" s="35" t="s">
        <v>246</v>
      </c>
      <c r="D8" s="22">
        <f t="shared" si="2"/>
        <v>4.695138889</v>
      </c>
      <c r="E8" s="23"/>
      <c r="F8" s="23"/>
      <c r="G8" s="23">
        <v>0.23333333333333334</v>
      </c>
      <c r="H8" s="23">
        <v>0.25555555555555554</v>
      </c>
      <c r="I8" s="23">
        <v>0.24305555555555555</v>
      </c>
      <c r="J8" s="23">
        <v>0.24097222222222223</v>
      </c>
      <c r="K8" s="23">
        <v>0.25</v>
      </c>
      <c r="L8" s="23"/>
      <c r="M8" s="23"/>
      <c r="N8" s="23">
        <v>0.24305555555555555</v>
      </c>
      <c r="O8" s="23">
        <v>0.24861111111111112</v>
      </c>
      <c r="P8" s="117">
        <v>0.24097222222222223</v>
      </c>
      <c r="Q8" s="117">
        <v>0.25069444444444444</v>
      </c>
      <c r="R8" s="117">
        <v>0.25</v>
      </c>
      <c r="S8" s="114"/>
      <c r="T8" s="114"/>
      <c r="U8" s="117">
        <v>0.24444444444444444</v>
      </c>
      <c r="V8" s="117">
        <v>0.25069444444444444</v>
      </c>
      <c r="W8" s="117"/>
      <c r="X8" s="117">
        <v>0.24861111111111112</v>
      </c>
      <c r="Y8" s="125">
        <v>0.25</v>
      </c>
      <c r="Z8" s="114"/>
      <c r="AA8" s="114"/>
      <c r="AB8" s="117">
        <v>0.24513888888888888</v>
      </c>
      <c r="AC8" s="117">
        <v>0.25</v>
      </c>
      <c r="AD8" s="117">
        <v>0.25</v>
      </c>
      <c r="AE8" s="117">
        <v>0.25</v>
      </c>
      <c r="AF8" s="117">
        <v>0.25</v>
      </c>
      <c r="AG8" s="114"/>
      <c r="AH8" s="114"/>
      <c r="AI8" s="26" t="s">
        <v>326</v>
      </c>
    </row>
    <row r="9">
      <c r="A9" s="32"/>
      <c r="B9" s="20">
        <v>7.0</v>
      </c>
      <c r="C9" s="34" t="s">
        <v>231</v>
      </c>
      <c r="D9" s="22">
        <f t="shared" si="2"/>
        <v>4.635416667</v>
      </c>
      <c r="E9" s="23"/>
      <c r="F9" s="23"/>
      <c r="G9" s="23">
        <v>0.25</v>
      </c>
      <c r="H9" s="26" t="s">
        <v>271</v>
      </c>
      <c r="I9" s="23">
        <v>0.26805555555555555</v>
      </c>
      <c r="J9" s="23">
        <v>0.25833333333333336</v>
      </c>
      <c r="K9" s="23">
        <v>0.2701388888888889</v>
      </c>
      <c r="L9" s="23"/>
      <c r="M9" s="23"/>
      <c r="N9" s="23">
        <v>0.18194444444444444</v>
      </c>
      <c r="O9" s="23">
        <v>0.2590277777777778</v>
      </c>
      <c r="P9" s="117">
        <v>0.25625</v>
      </c>
      <c r="Q9" s="117">
        <v>0.29791666666666666</v>
      </c>
      <c r="R9" s="117">
        <v>0.25</v>
      </c>
      <c r="S9" s="114"/>
      <c r="T9" s="114"/>
      <c r="U9" s="117">
        <v>0.18541666666666667</v>
      </c>
      <c r="V9" s="117">
        <v>0.2298611111111111</v>
      </c>
      <c r="W9" s="117">
        <v>0.2861111111111111</v>
      </c>
      <c r="X9" s="117">
        <v>0.21666666666666667</v>
      </c>
      <c r="Y9" s="125">
        <v>0.25</v>
      </c>
      <c r="Z9" s="114"/>
      <c r="AA9" s="114"/>
      <c r="AB9" s="117">
        <v>0.25</v>
      </c>
      <c r="AC9" s="117">
        <v>0.2652777777777778</v>
      </c>
      <c r="AD9" s="117">
        <v>0.20555555555555555</v>
      </c>
      <c r="AE9" s="117">
        <v>0.31180555555555556</v>
      </c>
      <c r="AF9" s="117">
        <v>0.14305555555555555</v>
      </c>
      <c r="AG9" s="114"/>
      <c r="AH9" s="114"/>
      <c r="AI9" s="26" t="s">
        <v>326</v>
      </c>
    </row>
    <row r="10">
      <c r="A10" s="32"/>
      <c r="B10" s="33">
        <v>8.0</v>
      </c>
      <c r="C10" s="36" t="s">
        <v>147</v>
      </c>
      <c r="D10" s="22">
        <f t="shared" si="2"/>
        <v>4.284722222</v>
      </c>
      <c r="E10" s="23"/>
      <c r="F10" s="23"/>
      <c r="G10" s="23">
        <v>0.26666666666666666</v>
      </c>
      <c r="H10" s="23">
        <v>0.2520833333333333</v>
      </c>
      <c r="I10" s="23"/>
      <c r="J10" s="23">
        <v>0.25625</v>
      </c>
      <c r="K10" s="23">
        <v>0.2673611111111111</v>
      </c>
      <c r="L10" s="23"/>
      <c r="M10" s="23"/>
      <c r="N10" s="23">
        <v>0.26944444444444443</v>
      </c>
      <c r="O10" s="23">
        <v>0.2534722222222222</v>
      </c>
      <c r="P10" s="117">
        <v>0.25555555555555554</v>
      </c>
      <c r="Q10" s="117">
        <v>0.2465277777777778</v>
      </c>
      <c r="R10" s="117">
        <v>0.24305555555555555</v>
      </c>
      <c r="S10" s="114"/>
      <c r="T10" s="114"/>
      <c r="U10" s="117">
        <v>0.2659722222222222</v>
      </c>
      <c r="V10" s="117"/>
      <c r="W10" s="117">
        <v>0.2826388888888889</v>
      </c>
      <c r="X10" s="117">
        <v>0.23125</v>
      </c>
      <c r="Y10" s="116"/>
      <c r="Z10" s="114"/>
      <c r="AA10" s="114"/>
      <c r="AB10" s="117">
        <v>0.24722222222222223</v>
      </c>
      <c r="AC10" s="117">
        <v>0.2263888888888889</v>
      </c>
      <c r="AD10" s="117">
        <v>0.24444444444444444</v>
      </c>
      <c r="AE10" s="117">
        <v>0.2263888888888889</v>
      </c>
      <c r="AF10" s="117">
        <v>0.25</v>
      </c>
      <c r="AG10" s="114"/>
      <c r="AH10" s="114"/>
      <c r="AI10" s="26" t="s">
        <v>326</v>
      </c>
    </row>
    <row r="11">
      <c r="A11" s="32"/>
      <c r="B11" s="33">
        <v>9.0</v>
      </c>
      <c r="C11" s="34" t="s">
        <v>177</v>
      </c>
      <c r="D11" s="22">
        <f t="shared" si="2"/>
        <v>5.008333333</v>
      </c>
      <c r="E11" s="23"/>
      <c r="F11" s="23"/>
      <c r="G11" s="23">
        <v>0.24097222222222223</v>
      </c>
      <c r="H11" s="23">
        <v>0.25277777777777777</v>
      </c>
      <c r="I11" s="23">
        <v>0.25416666666666665</v>
      </c>
      <c r="J11" s="23">
        <v>0.25555555555555554</v>
      </c>
      <c r="K11" s="23">
        <v>0.25</v>
      </c>
      <c r="L11" s="23"/>
      <c r="M11" s="23"/>
      <c r="N11" s="23">
        <v>0.24027777777777778</v>
      </c>
      <c r="O11" s="23">
        <v>0.2569444444444444</v>
      </c>
      <c r="P11" s="117">
        <v>0.2520833333333333</v>
      </c>
      <c r="Q11" s="117">
        <v>0.25625</v>
      </c>
      <c r="R11" s="117">
        <v>0.25</v>
      </c>
      <c r="S11" s="114"/>
      <c r="T11" s="114"/>
      <c r="U11" s="117">
        <v>0.2375</v>
      </c>
      <c r="V11" s="117">
        <v>0.2590277777777778</v>
      </c>
      <c r="W11" s="117">
        <v>0.2548611111111111</v>
      </c>
      <c r="X11" s="117">
        <v>0.2548611111111111</v>
      </c>
      <c r="Y11" s="125">
        <v>0.25</v>
      </c>
      <c r="Z11" s="114"/>
      <c r="AA11" s="114"/>
      <c r="AB11" s="117">
        <v>0.2534722222222222</v>
      </c>
      <c r="AC11" s="117">
        <v>0.24861111111111112</v>
      </c>
      <c r="AD11" s="117">
        <v>0.24513888888888888</v>
      </c>
      <c r="AE11" s="117">
        <v>0.24583333333333332</v>
      </c>
      <c r="AF11" s="117">
        <v>0.25</v>
      </c>
      <c r="AG11" s="114"/>
      <c r="AH11" s="114"/>
      <c r="AI11" s="26" t="s">
        <v>326</v>
      </c>
    </row>
    <row r="12">
      <c r="A12" s="32"/>
      <c r="B12" s="20">
        <v>10.0</v>
      </c>
      <c r="C12" s="37" t="s">
        <v>216</v>
      </c>
      <c r="D12" s="22">
        <f t="shared" si="2"/>
        <v>3.745138889</v>
      </c>
      <c r="E12" s="23"/>
      <c r="F12" s="23"/>
      <c r="G12" s="23">
        <v>0.2152777777777778</v>
      </c>
      <c r="H12" s="23">
        <v>0.27708333333333335</v>
      </c>
      <c r="I12" s="23">
        <v>0.2548611111111111</v>
      </c>
      <c r="J12" s="23">
        <v>0.23958333333333334</v>
      </c>
      <c r="K12" s="23">
        <v>0.25</v>
      </c>
      <c r="L12" s="23"/>
      <c r="M12" s="23"/>
      <c r="N12" s="23">
        <v>0.25625</v>
      </c>
      <c r="O12" s="23">
        <v>0.2590277777777778</v>
      </c>
      <c r="P12" s="117">
        <v>0.25555555555555554</v>
      </c>
      <c r="Q12" s="117">
        <v>0.2375</v>
      </c>
      <c r="R12" s="117">
        <v>0.25</v>
      </c>
      <c r="S12" s="114"/>
      <c r="T12" s="114"/>
      <c r="U12" s="117">
        <v>0.25</v>
      </c>
      <c r="V12" s="117">
        <v>0.25</v>
      </c>
      <c r="W12" s="117">
        <v>0.25</v>
      </c>
      <c r="X12" s="117">
        <v>0.25</v>
      </c>
      <c r="Y12" s="125">
        <v>0.25</v>
      </c>
      <c r="Z12" s="114"/>
      <c r="AA12" s="114"/>
      <c r="AB12" s="114"/>
      <c r="AC12" s="114"/>
      <c r="AD12" s="114"/>
      <c r="AE12" s="114"/>
      <c r="AF12" s="114"/>
      <c r="AG12" s="114"/>
      <c r="AH12" s="114"/>
      <c r="AI12" s="26" t="s">
        <v>326</v>
      </c>
    </row>
    <row r="13">
      <c r="A13" s="32"/>
      <c r="B13" s="33">
        <v>11.0</v>
      </c>
      <c r="C13" s="126" t="s">
        <v>138</v>
      </c>
      <c r="D13" s="22">
        <f t="shared" si="2"/>
        <v>4.129861111</v>
      </c>
      <c r="E13" s="23"/>
      <c r="F13" s="23"/>
      <c r="G13" s="23">
        <v>0.22916666666666666</v>
      </c>
      <c r="H13" s="23">
        <v>0.23819444444444443</v>
      </c>
      <c r="I13" s="23">
        <v>0.25555555555555554</v>
      </c>
      <c r="J13" s="23">
        <v>0.19652777777777777</v>
      </c>
      <c r="K13" s="26"/>
      <c r="L13" s="23"/>
      <c r="M13" s="23"/>
      <c r="N13" s="23">
        <v>0.24027777777777778</v>
      </c>
      <c r="O13" s="23">
        <v>0.21388888888888888</v>
      </c>
      <c r="P13" s="117">
        <v>0.2465277777777778</v>
      </c>
      <c r="Q13" s="117">
        <v>0.2423611111111111</v>
      </c>
      <c r="R13" s="117">
        <v>0.25</v>
      </c>
      <c r="S13" s="114"/>
      <c r="T13" s="114"/>
      <c r="U13" s="117">
        <v>0.26319444444444445</v>
      </c>
      <c r="V13" s="117">
        <v>0.275</v>
      </c>
      <c r="W13" s="117"/>
      <c r="X13" s="117"/>
      <c r="Y13" s="125">
        <v>0.25</v>
      </c>
      <c r="Z13" s="114"/>
      <c r="AA13" s="114"/>
      <c r="AB13" s="117">
        <v>0.2513888888888889</v>
      </c>
      <c r="AC13" s="117">
        <v>0.21666666666666667</v>
      </c>
      <c r="AD13" s="117">
        <v>0.25</v>
      </c>
      <c r="AE13" s="117">
        <v>0.2611111111111111</v>
      </c>
      <c r="AF13" s="117">
        <v>0.25</v>
      </c>
      <c r="AG13" s="114"/>
      <c r="AH13" s="114"/>
      <c r="AI13" s="26" t="s">
        <v>326</v>
      </c>
    </row>
    <row r="14">
      <c r="A14" s="32"/>
      <c r="B14" s="33">
        <v>12.0</v>
      </c>
      <c r="C14" s="35" t="s">
        <v>228</v>
      </c>
      <c r="D14" s="22">
        <f t="shared" si="2"/>
        <v>3.867361111</v>
      </c>
      <c r="E14" s="23"/>
      <c r="F14" s="23"/>
      <c r="G14" s="23"/>
      <c r="H14" s="23">
        <v>0.21597222222222223</v>
      </c>
      <c r="I14" s="23">
        <v>0.23125</v>
      </c>
      <c r="J14" s="26" t="s">
        <v>271</v>
      </c>
      <c r="K14" s="23">
        <v>0.25</v>
      </c>
      <c r="L14" s="23"/>
      <c r="M14" s="23"/>
      <c r="N14" s="23">
        <v>0.24375</v>
      </c>
      <c r="O14" s="23">
        <v>0.23055555555555557</v>
      </c>
      <c r="P14" s="117">
        <v>0.21805555555555556</v>
      </c>
      <c r="Q14" s="117">
        <v>0.225</v>
      </c>
      <c r="R14" s="117">
        <v>0.25</v>
      </c>
      <c r="S14" s="114"/>
      <c r="T14" s="114"/>
      <c r="U14" s="117">
        <v>0.25</v>
      </c>
      <c r="V14" s="117">
        <v>0.25277777777777777</v>
      </c>
      <c r="W14" s="117"/>
      <c r="X14" s="117"/>
      <c r="Y14" s="125">
        <v>0.25</v>
      </c>
      <c r="Z14" s="114"/>
      <c r="AA14" s="114"/>
      <c r="AB14" s="117">
        <v>0.25</v>
      </c>
      <c r="AC14" s="117">
        <v>0.25</v>
      </c>
      <c r="AD14" s="117">
        <v>0.25</v>
      </c>
      <c r="AE14" s="117">
        <v>0.25</v>
      </c>
      <c r="AF14" s="117">
        <v>0.25</v>
      </c>
      <c r="AG14" s="114"/>
      <c r="AH14" s="114"/>
      <c r="AI14" s="26" t="s">
        <v>326</v>
      </c>
    </row>
    <row r="15">
      <c r="A15" s="32"/>
      <c r="B15" s="20">
        <v>13.0</v>
      </c>
      <c r="C15" s="35" t="s">
        <v>273</v>
      </c>
      <c r="D15" s="22">
        <f t="shared" si="2"/>
        <v>4.454861111</v>
      </c>
      <c r="E15" s="23"/>
      <c r="F15" s="23"/>
      <c r="G15" s="23">
        <v>0.25763888888888886</v>
      </c>
      <c r="H15" s="23">
        <v>0.23819444444444443</v>
      </c>
      <c r="I15" s="23">
        <v>0.26180555555555557</v>
      </c>
      <c r="J15" s="23">
        <v>0.24513888888888888</v>
      </c>
      <c r="K15" s="23">
        <v>0.25</v>
      </c>
      <c r="L15" s="23"/>
      <c r="M15" s="23"/>
      <c r="N15" s="23">
        <v>0.22916666666666666</v>
      </c>
      <c r="O15" s="23">
        <v>0.23958333333333334</v>
      </c>
      <c r="P15" s="117">
        <v>0.25833333333333336</v>
      </c>
      <c r="Q15" s="117">
        <v>0.25069444444444444</v>
      </c>
      <c r="R15" s="117">
        <v>0.25</v>
      </c>
      <c r="S15" s="114"/>
      <c r="T15" s="114"/>
      <c r="U15" s="117">
        <v>0.2673611111111111</v>
      </c>
      <c r="V15" s="117">
        <v>0.21458333333333332</v>
      </c>
      <c r="W15" s="117"/>
      <c r="X15" s="117">
        <v>0.2722222222222222</v>
      </c>
      <c r="Y15" s="125">
        <v>0.25</v>
      </c>
      <c r="Z15" s="114"/>
      <c r="AA15" s="114"/>
      <c r="AB15" s="117">
        <v>0.22361111111111112</v>
      </c>
      <c r="AC15" s="117">
        <v>0.26666666666666666</v>
      </c>
      <c r="AD15" s="117">
        <v>0.2375</v>
      </c>
      <c r="AE15" s="117">
        <v>0.2423611111111111</v>
      </c>
      <c r="AF15" s="114"/>
      <c r="AG15" s="114"/>
      <c r="AH15" s="114"/>
      <c r="AI15" s="26" t="s">
        <v>326</v>
      </c>
    </row>
    <row r="16">
      <c r="A16" s="32"/>
      <c r="B16" s="33">
        <v>14.0</v>
      </c>
      <c r="C16" s="35" t="s">
        <v>254</v>
      </c>
      <c r="D16" s="22">
        <f t="shared" si="2"/>
        <v>2.8125</v>
      </c>
      <c r="E16" s="23"/>
      <c r="F16" s="23"/>
      <c r="G16" s="23"/>
      <c r="H16" s="23">
        <v>0.23958333333333334</v>
      </c>
      <c r="I16" s="23"/>
      <c r="J16" s="23"/>
      <c r="K16" s="26"/>
      <c r="L16" s="23"/>
      <c r="M16" s="23"/>
      <c r="N16" s="23">
        <v>0.23472222222222222</v>
      </c>
      <c r="O16" s="23">
        <v>0.23333333333333334</v>
      </c>
      <c r="P16" s="117">
        <v>0.23055555555555557</v>
      </c>
      <c r="Q16" s="117">
        <v>0.23333333333333334</v>
      </c>
      <c r="R16" s="114"/>
      <c r="S16" s="114"/>
      <c r="T16" s="114"/>
      <c r="U16" s="117">
        <v>0.2263888888888889</v>
      </c>
      <c r="V16" s="117">
        <v>0.2375</v>
      </c>
      <c r="W16" s="117"/>
      <c r="X16" s="117">
        <v>0.2375</v>
      </c>
      <c r="Y16" s="127"/>
      <c r="Z16" s="114"/>
      <c r="AA16" s="114"/>
      <c r="AB16" s="114"/>
      <c r="AC16" s="117">
        <v>0.22430555555555556</v>
      </c>
      <c r="AD16" s="117">
        <v>0.24166666666666667</v>
      </c>
      <c r="AE16" s="117">
        <v>0.22361111111111112</v>
      </c>
      <c r="AF16" s="117">
        <v>0.25</v>
      </c>
      <c r="AG16" s="114"/>
      <c r="AH16" s="114"/>
      <c r="AI16" s="26" t="s">
        <v>326</v>
      </c>
    </row>
    <row r="17">
      <c r="A17" s="32"/>
      <c r="B17" s="33">
        <v>15.0</v>
      </c>
      <c r="C17" s="35" t="s">
        <v>213</v>
      </c>
      <c r="D17" s="22">
        <f t="shared" si="2"/>
        <v>4.711111111</v>
      </c>
      <c r="E17" s="23"/>
      <c r="F17" s="23"/>
      <c r="G17" s="23"/>
      <c r="H17" s="23">
        <v>0.375</v>
      </c>
      <c r="I17" s="23">
        <v>0.2986111111111111</v>
      </c>
      <c r="J17" s="23">
        <v>0.26875</v>
      </c>
      <c r="K17" s="26"/>
      <c r="L17" s="23"/>
      <c r="M17" s="23"/>
      <c r="N17" s="23">
        <v>0.3819444444444444</v>
      </c>
      <c r="O17" s="23">
        <v>0.39444444444444443</v>
      </c>
      <c r="P17" s="117">
        <v>0.30833333333333335</v>
      </c>
      <c r="Q17" s="117">
        <v>0.1638888888888889</v>
      </c>
      <c r="R17" s="117">
        <v>0.25</v>
      </c>
      <c r="S17" s="114"/>
      <c r="T17" s="114"/>
      <c r="U17" s="117">
        <v>0.37916666666666665</v>
      </c>
      <c r="V17" s="117">
        <v>0.21458333333333332</v>
      </c>
      <c r="W17" s="114" t="s">
        <v>271</v>
      </c>
      <c r="X17" s="117">
        <v>0.25</v>
      </c>
      <c r="Y17" s="125">
        <v>0.25</v>
      </c>
      <c r="Z17" s="114"/>
      <c r="AA17" s="114"/>
      <c r="AB17" s="117">
        <v>0.23194444444444445</v>
      </c>
      <c r="AC17" s="117">
        <v>0.25</v>
      </c>
      <c r="AD17" s="117">
        <v>0.19444444444444445</v>
      </c>
      <c r="AE17" s="117">
        <v>0.25</v>
      </c>
      <c r="AF17" s="117">
        <v>0.25</v>
      </c>
      <c r="AG17" s="114"/>
      <c r="AH17" s="114"/>
      <c r="AI17" s="26" t="s">
        <v>326</v>
      </c>
    </row>
    <row r="18">
      <c r="A18" s="32"/>
      <c r="B18" s="20">
        <v>16.0</v>
      </c>
      <c r="C18" s="43" t="s">
        <v>54</v>
      </c>
      <c r="D18" s="22">
        <f t="shared" si="2"/>
        <v>4.641666667</v>
      </c>
      <c r="E18" s="23"/>
      <c r="F18" s="23"/>
      <c r="G18" s="23"/>
      <c r="H18" s="23">
        <v>0.46111111111111114</v>
      </c>
      <c r="I18" s="23"/>
      <c r="J18" s="23">
        <v>0.2013888888888889</v>
      </c>
      <c r="K18" s="23">
        <v>0.25</v>
      </c>
      <c r="L18" s="23"/>
      <c r="M18" s="23"/>
      <c r="N18" s="23">
        <v>0.30486111111111114</v>
      </c>
      <c r="O18" s="23">
        <v>0.35</v>
      </c>
      <c r="P18" s="117">
        <v>0.3104166666666667</v>
      </c>
      <c r="Q18" s="117"/>
      <c r="R18" s="117">
        <v>0.25</v>
      </c>
      <c r="S18" s="114"/>
      <c r="T18" s="114"/>
      <c r="U18" s="117">
        <v>0.33194444444444443</v>
      </c>
      <c r="V18" s="117">
        <v>0.36041666666666666</v>
      </c>
      <c r="W18" s="117">
        <v>0.3472222222222222</v>
      </c>
      <c r="X18" s="117">
        <v>0.21597222222222223</v>
      </c>
      <c r="Y18" s="125">
        <v>0.25</v>
      </c>
      <c r="Z18" s="114"/>
      <c r="AA18" s="114"/>
      <c r="AB18" s="117">
        <v>0.23333333333333334</v>
      </c>
      <c r="AC18" s="114" t="s">
        <v>269</v>
      </c>
      <c r="AD18" s="117">
        <v>0.275</v>
      </c>
      <c r="AE18" s="117">
        <v>0.25</v>
      </c>
      <c r="AF18" s="117">
        <v>0.25</v>
      </c>
      <c r="AG18" s="114"/>
      <c r="AH18" s="114"/>
      <c r="AI18" s="26" t="s">
        <v>326</v>
      </c>
    </row>
    <row r="19">
      <c r="A19" s="32"/>
      <c r="B19" s="33">
        <v>17.0</v>
      </c>
      <c r="C19" s="43" t="s">
        <v>159</v>
      </c>
      <c r="D19" s="22">
        <f t="shared" si="2"/>
        <v>2.190972222</v>
      </c>
      <c r="E19" s="23"/>
      <c r="F19" s="23"/>
      <c r="G19" s="26" t="s">
        <v>276</v>
      </c>
      <c r="H19" s="26" t="s">
        <v>276</v>
      </c>
      <c r="I19" s="26" t="s">
        <v>276</v>
      </c>
      <c r="J19" s="26" t="s">
        <v>276</v>
      </c>
      <c r="K19" s="26" t="s">
        <v>276</v>
      </c>
      <c r="L19" s="26" t="s">
        <v>276</v>
      </c>
      <c r="M19" s="26" t="s">
        <v>276</v>
      </c>
      <c r="N19" s="26" t="s">
        <v>276</v>
      </c>
      <c r="O19" s="26" t="s">
        <v>276</v>
      </c>
      <c r="P19" s="114" t="s">
        <v>276</v>
      </c>
      <c r="Q19" s="117">
        <v>0.2520833333333333</v>
      </c>
      <c r="R19" s="117">
        <v>0.25</v>
      </c>
      <c r="S19" s="114"/>
      <c r="T19" s="114"/>
      <c r="U19" s="117">
        <v>0.33541666666666664</v>
      </c>
      <c r="V19" s="117">
        <v>0.35555555555555557</v>
      </c>
      <c r="W19" s="117"/>
      <c r="X19" s="117">
        <v>0.25763888888888886</v>
      </c>
      <c r="Y19" s="125">
        <v>0.25</v>
      </c>
      <c r="Z19" s="114"/>
      <c r="AA19" s="114"/>
      <c r="AB19" s="117">
        <v>0.26458333333333334</v>
      </c>
      <c r="AC19" s="117">
        <v>0.22569444444444445</v>
      </c>
      <c r="AD19" s="117"/>
      <c r="AE19" s="114"/>
      <c r="AF19" s="114"/>
      <c r="AG19" s="114"/>
      <c r="AH19" s="114"/>
      <c r="AI19" s="26" t="s">
        <v>326</v>
      </c>
    </row>
    <row r="20">
      <c r="A20" s="32"/>
      <c r="B20" s="33">
        <v>18.0</v>
      </c>
      <c r="C20" s="35" t="s">
        <v>156</v>
      </c>
      <c r="D20" s="22">
        <f t="shared" si="2"/>
        <v>4.378472222</v>
      </c>
      <c r="E20" s="23"/>
      <c r="F20" s="23"/>
      <c r="G20" s="23">
        <v>0.28541666666666665</v>
      </c>
      <c r="H20" s="23">
        <v>0.27152777777777776</v>
      </c>
      <c r="I20" s="23">
        <v>0.3125</v>
      </c>
      <c r="J20" s="23">
        <v>0.2673611111111111</v>
      </c>
      <c r="K20" s="23">
        <v>0.25</v>
      </c>
      <c r="L20" s="23"/>
      <c r="M20" s="23"/>
      <c r="N20" s="23">
        <v>0.24583333333333332</v>
      </c>
      <c r="O20" s="23">
        <v>0.2604166666666667</v>
      </c>
      <c r="P20" s="117">
        <v>0.22152777777777777</v>
      </c>
      <c r="Q20" s="117">
        <v>0.23402777777777778</v>
      </c>
      <c r="R20" s="117">
        <v>0.25</v>
      </c>
      <c r="S20" s="114"/>
      <c r="T20" s="114"/>
      <c r="U20" s="117">
        <v>0.2833333333333333</v>
      </c>
      <c r="V20" s="117">
        <v>0.2611111111111111</v>
      </c>
      <c r="W20" s="117">
        <v>0.25763888888888886</v>
      </c>
      <c r="X20" s="117">
        <v>0.2861111111111111</v>
      </c>
      <c r="Y20" s="127"/>
      <c r="Z20" s="114"/>
      <c r="AA20" s="114"/>
      <c r="AB20" s="117">
        <v>0.23472222222222222</v>
      </c>
      <c r="AC20" s="117">
        <v>0.21458333333333332</v>
      </c>
      <c r="AD20" s="117">
        <v>0.2423611111111111</v>
      </c>
      <c r="AE20" s="114"/>
      <c r="AF20" s="114"/>
      <c r="AG20" s="114"/>
      <c r="AH20" s="114"/>
      <c r="AI20" s="26" t="s">
        <v>326</v>
      </c>
    </row>
    <row r="21">
      <c r="A21" s="32"/>
      <c r="B21" s="20">
        <v>19.0</v>
      </c>
      <c r="C21" s="128" t="s">
        <v>275</v>
      </c>
      <c r="D21" s="22">
        <f t="shared" si="2"/>
        <v>3.465277778</v>
      </c>
      <c r="E21" s="23"/>
      <c r="F21" s="23"/>
      <c r="G21" s="23"/>
      <c r="H21" s="23">
        <v>0.26805555555555555</v>
      </c>
      <c r="I21" s="23">
        <v>0.22916666666666666</v>
      </c>
      <c r="J21" s="26"/>
      <c r="K21" s="26"/>
      <c r="L21" s="23"/>
      <c r="M21" s="23"/>
      <c r="N21" s="26"/>
      <c r="O21" s="23">
        <v>0.26805555555555555</v>
      </c>
      <c r="P21" s="114"/>
      <c r="Q21" s="117">
        <v>0.33055555555555555</v>
      </c>
      <c r="R21" s="114"/>
      <c r="S21" s="114"/>
      <c r="T21" s="114"/>
      <c r="U21" s="117">
        <v>0.2423611111111111</v>
      </c>
      <c r="V21" s="117">
        <v>0.3388888888888889</v>
      </c>
      <c r="W21" s="117">
        <v>0.3347222222222222</v>
      </c>
      <c r="X21" s="114"/>
      <c r="Y21" s="116">
        <v>0.175</v>
      </c>
      <c r="Z21" s="114"/>
      <c r="AA21" s="114"/>
      <c r="AB21" s="117">
        <v>0.38333333333333336</v>
      </c>
      <c r="AC21" s="117">
        <v>0.2965277777777778</v>
      </c>
      <c r="AD21" s="117">
        <v>0.32916666666666666</v>
      </c>
      <c r="AE21" s="117">
        <v>0.26944444444444443</v>
      </c>
      <c r="AF21" s="114"/>
      <c r="AG21" s="114"/>
      <c r="AH21" s="114"/>
      <c r="AI21" s="26" t="s">
        <v>326</v>
      </c>
    </row>
    <row r="22">
      <c r="A22" s="32"/>
      <c r="B22" s="33">
        <v>20.0</v>
      </c>
      <c r="C22" s="31" t="s">
        <v>57</v>
      </c>
      <c r="D22" s="22">
        <f t="shared" si="2"/>
        <v>2.649305556</v>
      </c>
      <c r="E22" s="23"/>
      <c r="F22" s="23"/>
      <c r="G22" s="23">
        <v>0.2513888888888889</v>
      </c>
      <c r="H22" s="23">
        <v>0.25833333333333336</v>
      </c>
      <c r="I22" s="23"/>
      <c r="J22" s="23">
        <v>0.25763888888888886</v>
      </c>
      <c r="K22" s="26"/>
      <c r="L22" s="23"/>
      <c r="M22" s="23"/>
      <c r="N22" s="23">
        <v>0.24444444444444444</v>
      </c>
      <c r="O22" s="26"/>
      <c r="P22" s="117">
        <v>0.27847222222222223</v>
      </c>
      <c r="Q22" s="117">
        <v>0.18680555555555556</v>
      </c>
      <c r="R22" s="114"/>
      <c r="S22" s="114"/>
      <c r="T22" s="114"/>
      <c r="U22" s="117">
        <v>0.27361111111111114</v>
      </c>
      <c r="V22" s="117">
        <v>0.2791666666666667</v>
      </c>
      <c r="W22" s="114"/>
      <c r="X22" s="114"/>
      <c r="Y22" s="127"/>
      <c r="Z22" s="114"/>
      <c r="AA22" s="114"/>
      <c r="AB22" s="117">
        <v>0.22083333333333333</v>
      </c>
      <c r="AC22" s="117">
        <v>0.2125</v>
      </c>
      <c r="AD22" s="117">
        <v>0.18611111111111112</v>
      </c>
      <c r="AE22" s="114"/>
      <c r="AF22" s="114"/>
      <c r="AG22" s="114"/>
      <c r="AH22" s="114"/>
      <c r="AI22" s="26" t="s">
        <v>326</v>
      </c>
    </row>
    <row r="23">
      <c r="A23" s="32"/>
      <c r="B23" s="33">
        <v>21.0</v>
      </c>
      <c r="C23" s="35" t="s">
        <v>51</v>
      </c>
      <c r="D23" s="22">
        <f t="shared" si="2"/>
        <v>0.4736111111</v>
      </c>
      <c r="E23" s="23"/>
      <c r="F23" s="23"/>
      <c r="G23" s="23">
        <v>0.21597222222222223</v>
      </c>
      <c r="H23" s="23"/>
      <c r="I23" s="23"/>
      <c r="J23" s="23"/>
      <c r="K23" s="26"/>
      <c r="L23" s="23"/>
      <c r="M23" s="23"/>
      <c r="N23" s="23"/>
      <c r="O23" s="23"/>
      <c r="P23" s="117"/>
      <c r="Q23" s="117">
        <v>0.25763888888888886</v>
      </c>
      <c r="R23" s="114"/>
      <c r="S23" s="114"/>
      <c r="T23" s="114"/>
      <c r="U23" s="114"/>
      <c r="V23" s="114"/>
      <c r="W23" s="114"/>
      <c r="X23" s="114"/>
      <c r="Y23" s="127"/>
      <c r="Z23" s="114"/>
      <c r="AA23" s="114"/>
      <c r="AB23" s="114"/>
      <c r="AC23" s="114"/>
      <c r="AD23" s="114"/>
      <c r="AE23" s="114"/>
      <c r="AF23" s="114"/>
      <c r="AG23" s="114"/>
      <c r="AH23" s="114"/>
      <c r="AI23" s="26" t="s">
        <v>326</v>
      </c>
    </row>
    <row r="24">
      <c r="A24" s="32"/>
      <c r="B24" s="20">
        <v>22.0</v>
      </c>
      <c r="C24" s="34" t="s">
        <v>78</v>
      </c>
      <c r="D24" s="22">
        <f t="shared" si="2"/>
        <v>3.095138889</v>
      </c>
      <c r="E24" s="23"/>
      <c r="F24" s="23"/>
      <c r="G24" s="23">
        <v>0.24791666666666667</v>
      </c>
      <c r="H24" s="23">
        <v>0.2743055555555556</v>
      </c>
      <c r="I24" s="23">
        <v>0.25625</v>
      </c>
      <c r="J24" s="23">
        <v>0.2520833333333333</v>
      </c>
      <c r="K24" s="26"/>
      <c r="L24" s="23"/>
      <c r="M24" s="23"/>
      <c r="N24" s="23">
        <v>0.25833333333333336</v>
      </c>
      <c r="O24" s="23">
        <v>0.27291666666666664</v>
      </c>
      <c r="P24" s="117">
        <v>0.24791666666666667</v>
      </c>
      <c r="Q24" s="117">
        <v>0.26666666666666666</v>
      </c>
      <c r="R24" s="114"/>
      <c r="S24" s="114"/>
      <c r="T24" s="114"/>
      <c r="U24" s="117">
        <v>0.23541666666666666</v>
      </c>
      <c r="V24" s="117">
        <v>0.2861111111111111</v>
      </c>
      <c r="W24" s="117">
        <v>0.24305555555555555</v>
      </c>
      <c r="X24" s="117">
        <v>0.25416666666666665</v>
      </c>
      <c r="Y24" s="127"/>
      <c r="Z24" s="114"/>
      <c r="AA24" s="114"/>
      <c r="AB24" s="114"/>
      <c r="AC24" s="114"/>
      <c r="AD24" s="114"/>
      <c r="AE24" s="114"/>
      <c r="AF24" s="114"/>
      <c r="AG24" s="114"/>
      <c r="AH24" s="114"/>
      <c r="AI24" s="26" t="s">
        <v>326</v>
      </c>
    </row>
    <row r="25">
      <c r="A25" s="32"/>
      <c r="B25" s="33">
        <v>23.0</v>
      </c>
      <c r="C25" s="43" t="s">
        <v>132</v>
      </c>
      <c r="D25" s="22">
        <f t="shared" si="2"/>
        <v>3.963888889</v>
      </c>
      <c r="E25" s="23"/>
      <c r="F25" s="23"/>
      <c r="G25" s="23">
        <v>0.2222222222222222</v>
      </c>
      <c r="H25" s="26"/>
      <c r="I25" s="23">
        <v>0.2548611111111111</v>
      </c>
      <c r="J25" s="23">
        <v>0.2388888888888889</v>
      </c>
      <c r="K25" s="26"/>
      <c r="L25" s="23"/>
      <c r="M25" s="23"/>
      <c r="N25" s="23">
        <v>0.22430555555555556</v>
      </c>
      <c r="O25" s="23">
        <v>0.24791666666666667</v>
      </c>
      <c r="P25" s="117">
        <v>0.30486111111111114</v>
      </c>
      <c r="Q25" s="117">
        <v>0.4326388888888889</v>
      </c>
      <c r="R25" s="114"/>
      <c r="S25" s="114"/>
      <c r="T25" s="114"/>
      <c r="U25" s="117">
        <v>0.22430555555555556</v>
      </c>
      <c r="V25" s="117">
        <v>0.34375</v>
      </c>
      <c r="W25" s="117">
        <v>0.37916666666666665</v>
      </c>
      <c r="X25" s="114"/>
      <c r="Y25" s="127"/>
      <c r="Z25" s="114"/>
      <c r="AA25" s="114"/>
      <c r="AB25" s="117">
        <v>0.29305555555555557</v>
      </c>
      <c r="AC25" s="117">
        <v>0.3958333333333333</v>
      </c>
      <c r="AD25" s="117">
        <v>0.40208333333333335</v>
      </c>
      <c r="AE25" s="117"/>
      <c r="AF25" s="114"/>
      <c r="AG25" s="114"/>
      <c r="AH25" s="114"/>
      <c r="AI25" s="26" t="s">
        <v>326</v>
      </c>
    </row>
    <row r="26">
      <c r="A26" s="32"/>
      <c r="B26" s="33">
        <v>24.0</v>
      </c>
      <c r="C26" s="31" t="s">
        <v>87</v>
      </c>
      <c r="D26" s="22">
        <f t="shared" si="2"/>
        <v>3.236111111</v>
      </c>
      <c r="E26" s="23"/>
      <c r="F26" s="23"/>
      <c r="G26" s="23">
        <v>0.2520833333333333</v>
      </c>
      <c r="H26" s="23">
        <v>0.24444444444444444</v>
      </c>
      <c r="I26" s="23">
        <v>0.27291666666666664</v>
      </c>
      <c r="J26" s="23">
        <v>0.2798611111111111</v>
      </c>
      <c r="K26" s="26"/>
      <c r="L26" s="23"/>
      <c r="M26" s="23"/>
      <c r="N26" s="23">
        <v>0.2625</v>
      </c>
      <c r="O26" s="23">
        <v>0.24583333333333332</v>
      </c>
      <c r="P26" s="114"/>
      <c r="Q26" s="117">
        <v>0.48541666666666666</v>
      </c>
      <c r="R26" s="114"/>
      <c r="S26" s="114"/>
      <c r="T26" s="114"/>
      <c r="U26" s="117"/>
      <c r="V26" s="117">
        <v>0.27361111111111114</v>
      </c>
      <c r="W26" s="117"/>
      <c r="X26" s="117"/>
      <c r="Y26" s="127"/>
      <c r="Z26" s="114"/>
      <c r="AA26" s="114"/>
      <c r="AB26" s="117">
        <v>0.2590277777777778</v>
      </c>
      <c r="AC26" s="117"/>
      <c r="AD26" s="117">
        <v>0.41944444444444445</v>
      </c>
      <c r="AE26" s="117">
        <v>0.24097222222222223</v>
      </c>
      <c r="AF26" s="114"/>
      <c r="AG26" s="114"/>
      <c r="AH26" s="114"/>
      <c r="AI26" s="26" t="s">
        <v>326</v>
      </c>
    </row>
    <row r="27">
      <c r="A27" s="32"/>
      <c r="B27" s="20">
        <v>25.0</v>
      </c>
      <c r="C27" s="34" t="s">
        <v>99</v>
      </c>
      <c r="D27" s="22">
        <f t="shared" si="2"/>
        <v>2.945138889</v>
      </c>
      <c r="E27" s="23"/>
      <c r="F27" s="23"/>
      <c r="G27" s="23">
        <v>0.2263888888888889</v>
      </c>
      <c r="H27" s="23">
        <v>0.2375</v>
      </c>
      <c r="I27" s="23">
        <v>0.25416666666666665</v>
      </c>
      <c r="J27" s="23">
        <v>0.26319444444444445</v>
      </c>
      <c r="K27" s="26"/>
      <c r="L27" s="23"/>
      <c r="M27" s="23"/>
      <c r="N27" s="23">
        <v>0.23958333333333334</v>
      </c>
      <c r="O27" s="23">
        <v>0.2111111111111111</v>
      </c>
      <c r="P27" s="114"/>
      <c r="Q27" s="117">
        <v>0.47430555555555554</v>
      </c>
      <c r="R27" s="114"/>
      <c r="S27" s="114"/>
      <c r="T27" s="114"/>
      <c r="U27" s="117"/>
      <c r="V27" s="117"/>
      <c r="W27" s="114"/>
      <c r="X27" s="117">
        <v>0.25833333333333336</v>
      </c>
      <c r="Y27" s="127"/>
      <c r="Z27" s="114"/>
      <c r="AA27" s="114"/>
      <c r="AB27" s="117">
        <v>0.21458333333333332</v>
      </c>
      <c r="AC27" s="117">
        <v>0.22777777777777777</v>
      </c>
      <c r="AD27" s="117">
        <v>0.33819444444444446</v>
      </c>
      <c r="AE27" s="114"/>
      <c r="AF27" s="114"/>
      <c r="AG27" s="114"/>
      <c r="AH27" s="114"/>
      <c r="AI27" s="26" t="s">
        <v>326</v>
      </c>
    </row>
    <row r="28">
      <c r="A28" s="32"/>
      <c r="B28" s="33">
        <v>26.0</v>
      </c>
      <c r="C28" s="34" t="s">
        <v>93</v>
      </c>
      <c r="D28" s="22">
        <f t="shared" si="2"/>
        <v>5.052083333</v>
      </c>
      <c r="E28" s="23"/>
      <c r="F28" s="23"/>
      <c r="G28" s="23">
        <v>0.24305555555555555</v>
      </c>
      <c r="H28" s="23">
        <v>0.2875</v>
      </c>
      <c r="I28" s="23">
        <v>0.26458333333333334</v>
      </c>
      <c r="J28" s="23">
        <v>0.28055555555555556</v>
      </c>
      <c r="K28" s="26"/>
      <c r="L28" s="23"/>
      <c r="M28" s="23"/>
      <c r="N28" s="23">
        <v>0.25972222222222224</v>
      </c>
      <c r="O28" s="23">
        <v>0.2826388888888889</v>
      </c>
      <c r="P28" s="117"/>
      <c r="Q28" s="117">
        <v>0.51875</v>
      </c>
      <c r="R28" s="114"/>
      <c r="S28" s="114"/>
      <c r="T28" s="114"/>
      <c r="U28" s="117">
        <v>0.24583333333333332</v>
      </c>
      <c r="V28" s="117">
        <v>0.3486111111111111</v>
      </c>
      <c r="W28" s="117">
        <v>0.32430555555555557</v>
      </c>
      <c r="X28" s="117">
        <v>0.26180555555555557</v>
      </c>
      <c r="Y28" s="127"/>
      <c r="Z28" s="114"/>
      <c r="AA28" s="114"/>
      <c r="AB28" s="117">
        <v>0.35694444444444445</v>
      </c>
      <c r="AC28" s="117">
        <v>0.46111111111111114</v>
      </c>
      <c r="AD28" s="117">
        <v>0.3909722222222222</v>
      </c>
      <c r="AE28" s="117">
        <v>0.5256944444444445</v>
      </c>
      <c r="AF28" s="114"/>
      <c r="AG28" s="114"/>
      <c r="AH28" s="114"/>
      <c r="AI28" s="26" t="s">
        <v>326</v>
      </c>
    </row>
    <row r="29">
      <c r="A29" s="32"/>
      <c r="B29" s="33">
        <v>27.0</v>
      </c>
      <c r="C29" s="43" t="s">
        <v>135</v>
      </c>
      <c r="D29" s="22">
        <f t="shared" si="2"/>
        <v>3.427777778</v>
      </c>
      <c r="E29" s="23"/>
      <c r="F29" s="23"/>
      <c r="G29" s="23">
        <v>0.24166666666666667</v>
      </c>
      <c r="H29" s="23">
        <v>0.26180555555555557</v>
      </c>
      <c r="I29" s="26"/>
      <c r="J29" s="23">
        <v>0.24930555555555556</v>
      </c>
      <c r="K29" s="26"/>
      <c r="L29" s="23"/>
      <c r="M29" s="23"/>
      <c r="N29" s="23">
        <v>0.23958333333333334</v>
      </c>
      <c r="O29" s="23">
        <v>0.24305555555555555</v>
      </c>
      <c r="P29" s="117"/>
      <c r="Q29" s="117">
        <v>0.20347222222222222</v>
      </c>
      <c r="R29" s="114"/>
      <c r="S29" s="114"/>
      <c r="T29" s="114"/>
      <c r="U29" s="117">
        <v>0.24513888888888888</v>
      </c>
      <c r="V29" s="117">
        <v>0.24861111111111112</v>
      </c>
      <c r="W29" s="117">
        <v>0.27569444444444446</v>
      </c>
      <c r="X29" s="117">
        <v>0.2791666666666667</v>
      </c>
      <c r="Y29" s="127"/>
      <c r="Z29" s="114"/>
      <c r="AA29" s="114"/>
      <c r="AB29" s="117">
        <v>0.22708333333333333</v>
      </c>
      <c r="AC29" s="114"/>
      <c r="AD29" s="117">
        <v>0.2590277777777778</v>
      </c>
      <c r="AE29" s="117">
        <v>0.45416666666666666</v>
      </c>
      <c r="AF29" s="114"/>
      <c r="AG29" s="114"/>
      <c r="AH29" s="114"/>
      <c r="AI29" s="26" t="s">
        <v>326</v>
      </c>
    </row>
    <row r="30">
      <c r="A30" s="32"/>
      <c r="B30" s="20">
        <v>28.0</v>
      </c>
      <c r="C30" s="31" t="s">
        <v>183</v>
      </c>
      <c r="D30" s="22">
        <f t="shared" si="2"/>
        <v>3.464583333</v>
      </c>
      <c r="E30" s="23"/>
      <c r="F30" s="23"/>
      <c r="G30" s="23">
        <v>0.28958333333333336</v>
      </c>
      <c r="H30" s="23">
        <v>0.2777777777777778</v>
      </c>
      <c r="I30" s="26"/>
      <c r="J30" s="23">
        <v>0.2534722222222222</v>
      </c>
      <c r="K30" s="26"/>
      <c r="L30" s="23"/>
      <c r="M30" s="23"/>
      <c r="N30" s="23"/>
      <c r="O30" s="23">
        <v>0.25416666666666665</v>
      </c>
      <c r="P30" s="117">
        <v>0.22916666666666666</v>
      </c>
      <c r="Q30" s="117">
        <v>0.46944444444444444</v>
      </c>
      <c r="R30" s="114"/>
      <c r="S30" s="114"/>
      <c r="T30" s="114"/>
      <c r="U30" s="117"/>
      <c r="V30" s="117">
        <v>0.3159722222222222</v>
      </c>
      <c r="W30" s="114"/>
      <c r="X30" s="117">
        <v>0.25972222222222224</v>
      </c>
      <c r="Y30" s="127"/>
      <c r="Z30" s="114"/>
      <c r="AA30" s="114"/>
      <c r="AB30" s="117">
        <v>0.3715277777777778</v>
      </c>
      <c r="AC30" s="117">
        <v>0.24375</v>
      </c>
      <c r="AD30" s="117">
        <v>0.30625</v>
      </c>
      <c r="AE30" s="117">
        <v>0.19375</v>
      </c>
      <c r="AF30" s="114"/>
      <c r="AG30" s="114"/>
      <c r="AH30" s="114"/>
      <c r="AI30" s="26" t="s">
        <v>326</v>
      </c>
    </row>
    <row r="31">
      <c r="A31" s="32"/>
      <c r="B31" s="33">
        <v>29.0</v>
      </c>
      <c r="C31" s="34" t="s">
        <v>186</v>
      </c>
      <c r="D31" s="22">
        <f t="shared" si="2"/>
        <v>1.213888889</v>
      </c>
      <c r="E31" s="23"/>
      <c r="F31" s="23"/>
      <c r="G31" s="23">
        <v>0.23194444444444445</v>
      </c>
      <c r="H31" s="26"/>
      <c r="I31" s="23"/>
      <c r="J31" s="26"/>
      <c r="K31" s="26"/>
      <c r="L31" s="23"/>
      <c r="M31" s="23"/>
      <c r="N31" s="23"/>
      <c r="O31" s="23">
        <v>0.2263888888888889</v>
      </c>
      <c r="P31" s="114"/>
      <c r="Q31" s="114"/>
      <c r="R31" s="114"/>
      <c r="S31" s="114"/>
      <c r="T31" s="114"/>
      <c r="U31" s="117">
        <v>0.24305555555555555</v>
      </c>
      <c r="V31" s="117">
        <v>0.2611111111111111</v>
      </c>
      <c r="W31" s="114"/>
      <c r="X31" s="117"/>
      <c r="Y31" s="127"/>
      <c r="Z31" s="114"/>
      <c r="AA31" s="114"/>
      <c r="AB31" s="117"/>
      <c r="AC31" s="114"/>
      <c r="AD31" s="114"/>
      <c r="AE31" s="117">
        <v>0.2513888888888889</v>
      </c>
      <c r="AF31" s="114"/>
      <c r="AG31" s="114"/>
      <c r="AH31" s="114"/>
      <c r="AI31" s="26" t="s">
        <v>326</v>
      </c>
    </row>
    <row r="32">
      <c r="A32" s="32"/>
      <c r="B32" s="33">
        <v>30.0</v>
      </c>
      <c r="C32" s="31" t="s">
        <v>141</v>
      </c>
      <c r="D32" s="22">
        <f t="shared" si="2"/>
        <v>2.472222222</v>
      </c>
      <c r="E32" s="23"/>
      <c r="F32" s="23"/>
      <c r="G32" s="23">
        <v>0.23819444444444443</v>
      </c>
      <c r="H32" s="23">
        <v>0.3527777777777778</v>
      </c>
      <c r="I32" s="23">
        <v>0.3506944444444444</v>
      </c>
      <c r="J32" s="23">
        <v>0.24722222222222223</v>
      </c>
      <c r="K32" s="26"/>
      <c r="L32" s="23"/>
      <c r="M32" s="23"/>
      <c r="N32" s="23">
        <v>0.23541666666666666</v>
      </c>
      <c r="O32" s="23">
        <v>0.4236111111111111</v>
      </c>
      <c r="P32" s="117">
        <v>0.36041666666666666</v>
      </c>
      <c r="Q32" s="117">
        <v>0.2638888888888889</v>
      </c>
      <c r="R32" s="114"/>
      <c r="S32" s="114"/>
      <c r="T32" s="114"/>
      <c r="U32" s="114"/>
      <c r="V32" s="114"/>
      <c r="W32" s="114"/>
      <c r="X32" s="114"/>
      <c r="Y32" s="127"/>
      <c r="Z32" s="114"/>
      <c r="AA32" s="114"/>
      <c r="AB32" s="114"/>
      <c r="AC32" s="114"/>
      <c r="AD32" s="114"/>
      <c r="AE32" s="114"/>
      <c r="AF32" s="114"/>
      <c r="AG32" s="114"/>
      <c r="AH32" s="114"/>
      <c r="AI32" s="26" t="s">
        <v>326</v>
      </c>
    </row>
    <row r="33">
      <c r="A33" s="32"/>
      <c r="B33" s="20">
        <v>31.0</v>
      </c>
      <c r="C33" s="31" t="s">
        <v>207</v>
      </c>
      <c r="D33" s="22">
        <f t="shared" si="2"/>
        <v>2.75</v>
      </c>
      <c r="E33" s="23"/>
      <c r="F33" s="23"/>
      <c r="G33" s="23">
        <v>0.22777777777777777</v>
      </c>
      <c r="H33" s="23">
        <v>0.24583333333333332</v>
      </c>
      <c r="I33" s="23">
        <v>0.23194444444444445</v>
      </c>
      <c r="J33" s="23">
        <v>0.17569444444444443</v>
      </c>
      <c r="K33" s="26"/>
      <c r="L33" s="23"/>
      <c r="M33" s="23"/>
      <c r="N33" s="26"/>
      <c r="O33" s="23">
        <v>0.39166666666666666</v>
      </c>
      <c r="P33" s="117">
        <v>0.20069444444444445</v>
      </c>
      <c r="Q33" s="117">
        <v>0.23472222222222222</v>
      </c>
      <c r="R33" s="114"/>
      <c r="S33" s="114"/>
      <c r="T33" s="114"/>
      <c r="U33" s="117">
        <v>0.23194444444444445</v>
      </c>
      <c r="V33" s="117">
        <v>0.225</v>
      </c>
      <c r="W33" s="117"/>
      <c r="X33" s="117">
        <v>0.1986111111111111</v>
      </c>
      <c r="Y33" s="127"/>
      <c r="Z33" s="114"/>
      <c r="AA33" s="114"/>
      <c r="AB33" s="117">
        <v>0.19583333333333333</v>
      </c>
      <c r="AC33" s="117"/>
      <c r="AD33" s="114"/>
      <c r="AE33" s="117">
        <v>0.19027777777777777</v>
      </c>
      <c r="AF33" s="114"/>
      <c r="AG33" s="114"/>
      <c r="AH33" s="114"/>
      <c r="AI33" s="26" t="s">
        <v>326</v>
      </c>
    </row>
    <row r="34">
      <c r="A34" s="32"/>
      <c r="B34" s="33">
        <v>32.0</v>
      </c>
      <c r="C34" s="31" t="s">
        <v>60</v>
      </c>
      <c r="D34" s="22">
        <f t="shared" si="2"/>
        <v>2.586111111</v>
      </c>
      <c r="E34" s="23"/>
      <c r="F34" s="23"/>
      <c r="G34" s="23">
        <v>0.25277777777777777</v>
      </c>
      <c r="H34" s="23">
        <v>0.125</v>
      </c>
      <c r="I34" s="26" t="s">
        <v>269</v>
      </c>
      <c r="J34" s="23">
        <v>0.24861111111111112</v>
      </c>
      <c r="K34" s="23">
        <v>0.20972222222222223</v>
      </c>
      <c r="L34" s="23"/>
      <c r="M34" s="23"/>
      <c r="N34" s="26"/>
      <c r="O34" s="23">
        <v>0.25069444444444444</v>
      </c>
      <c r="P34" s="117">
        <v>0.2298611111111111</v>
      </c>
      <c r="Q34" s="117">
        <v>0.23541666666666666</v>
      </c>
      <c r="R34" s="117">
        <v>0.19236111111111112</v>
      </c>
      <c r="S34" s="114"/>
      <c r="T34" s="114"/>
      <c r="U34" s="117">
        <v>0.25555555555555554</v>
      </c>
      <c r="V34" s="117"/>
      <c r="W34" s="117"/>
      <c r="X34" s="117"/>
      <c r="Y34" s="127"/>
      <c r="Z34" s="114"/>
      <c r="AA34" s="114"/>
      <c r="AB34" s="117">
        <v>0.19027777777777777</v>
      </c>
      <c r="AC34" s="117">
        <v>0.1909722222222222</v>
      </c>
      <c r="AD34" s="117">
        <v>0.2048611111111111</v>
      </c>
      <c r="AE34" s="117"/>
      <c r="AF34" s="114"/>
      <c r="AG34" s="114"/>
      <c r="AH34" s="114"/>
      <c r="AI34" s="26" t="s">
        <v>326</v>
      </c>
    </row>
    <row r="35">
      <c r="A35" s="32"/>
      <c r="B35" s="33">
        <v>33.0</v>
      </c>
      <c r="C35" s="31" t="s">
        <v>249</v>
      </c>
      <c r="D35" s="22">
        <f t="shared" si="2"/>
        <v>4.853472222</v>
      </c>
      <c r="E35" s="23"/>
      <c r="F35" s="23"/>
      <c r="G35" s="23">
        <v>0.3215277777777778</v>
      </c>
      <c r="H35" s="23">
        <v>0.23680555555555555</v>
      </c>
      <c r="I35" s="23">
        <v>0.24513888888888888</v>
      </c>
      <c r="J35" s="23">
        <v>0.2611111111111111</v>
      </c>
      <c r="K35" s="23">
        <v>0.2520833333333333</v>
      </c>
      <c r="L35" s="23"/>
      <c r="M35" s="23"/>
      <c r="N35" s="23">
        <v>0.2638888888888889</v>
      </c>
      <c r="O35" s="23">
        <v>0.21388888888888888</v>
      </c>
      <c r="P35" s="117">
        <v>0.25069444444444444</v>
      </c>
      <c r="Q35" s="117">
        <v>0.26180555555555557</v>
      </c>
      <c r="R35" s="117">
        <v>0.25416666666666665</v>
      </c>
      <c r="S35" s="114"/>
      <c r="T35" s="114"/>
      <c r="U35" s="117">
        <v>0.2548611111111111</v>
      </c>
      <c r="V35" s="117">
        <v>0.225</v>
      </c>
      <c r="W35" s="117">
        <v>0.2548611111111111</v>
      </c>
      <c r="X35" s="117">
        <v>0.25416666666666665</v>
      </c>
      <c r="Y35" s="116"/>
      <c r="Z35" s="114"/>
      <c r="AA35" s="114"/>
      <c r="AB35" s="117">
        <v>0.25555555555555554</v>
      </c>
      <c r="AC35" s="117">
        <v>0.27569444444444446</v>
      </c>
      <c r="AD35" s="117">
        <v>0.2590277777777778</v>
      </c>
      <c r="AE35" s="117">
        <v>0.25555555555555554</v>
      </c>
      <c r="AF35" s="117">
        <v>0.25763888888888886</v>
      </c>
      <c r="AG35" s="114"/>
      <c r="AH35" s="114"/>
      <c r="AI35" s="26" t="s">
        <v>326</v>
      </c>
    </row>
    <row r="36">
      <c r="A36" s="32"/>
      <c r="B36" s="20">
        <v>34.0</v>
      </c>
      <c r="C36" s="31" t="s">
        <v>72</v>
      </c>
      <c r="D36" s="22">
        <f t="shared" si="2"/>
        <v>3.758333333</v>
      </c>
      <c r="E36" s="23"/>
      <c r="F36" s="23"/>
      <c r="G36" s="23"/>
      <c r="H36" s="23">
        <v>0.2569444444444444</v>
      </c>
      <c r="I36" s="23">
        <v>0.27291666666666664</v>
      </c>
      <c r="J36" s="23"/>
      <c r="K36" s="23"/>
      <c r="L36" s="23"/>
      <c r="M36" s="23"/>
      <c r="N36" s="23">
        <v>0.25833333333333336</v>
      </c>
      <c r="O36" s="23">
        <v>0.28194444444444444</v>
      </c>
      <c r="P36" s="117">
        <v>0.28055555555555556</v>
      </c>
      <c r="Q36" s="117">
        <v>0.2875</v>
      </c>
      <c r="R36" s="114"/>
      <c r="S36" s="114"/>
      <c r="T36" s="114"/>
      <c r="U36" s="117">
        <v>0.27152777777777776</v>
      </c>
      <c r="V36" s="117">
        <v>0.28888888888888886</v>
      </c>
      <c r="W36" s="117">
        <v>0.28541666666666665</v>
      </c>
      <c r="X36" s="117">
        <v>0.29097222222222224</v>
      </c>
      <c r="Y36" s="127"/>
      <c r="Z36" s="114"/>
      <c r="AA36" s="114"/>
      <c r="AB36" s="117">
        <v>0.24097222222222223</v>
      </c>
      <c r="AC36" s="117">
        <v>0.24305555555555555</v>
      </c>
      <c r="AD36" s="117">
        <v>0.2513888888888889</v>
      </c>
      <c r="AE36" s="117">
        <v>0.24791666666666667</v>
      </c>
      <c r="AF36" s="114"/>
      <c r="AG36" s="114"/>
      <c r="AH36" s="114"/>
      <c r="AI36" s="26" t="s">
        <v>326</v>
      </c>
    </row>
    <row r="37">
      <c r="A37" s="32"/>
      <c r="B37" s="33">
        <v>35.0</v>
      </c>
      <c r="C37" s="43" t="s">
        <v>204</v>
      </c>
      <c r="D37" s="22">
        <f t="shared" si="2"/>
        <v>3.643055556</v>
      </c>
      <c r="E37" s="23"/>
      <c r="F37" s="23"/>
      <c r="G37" s="23">
        <v>0.24375</v>
      </c>
      <c r="H37" s="23">
        <v>0.25277777777777777</v>
      </c>
      <c r="I37" s="23">
        <v>0.2638888888888889</v>
      </c>
      <c r="J37" s="23">
        <v>0.2375</v>
      </c>
      <c r="K37" s="26"/>
      <c r="L37" s="23"/>
      <c r="M37" s="23"/>
      <c r="N37" s="23">
        <v>0.23333333333333334</v>
      </c>
      <c r="O37" s="23">
        <v>0.2375</v>
      </c>
      <c r="P37" s="117">
        <v>0.2375</v>
      </c>
      <c r="Q37" s="117">
        <v>0.2388888888888889</v>
      </c>
      <c r="R37" s="114"/>
      <c r="S37" s="114"/>
      <c r="T37" s="114"/>
      <c r="U37" s="117">
        <v>0.24305555555555555</v>
      </c>
      <c r="V37" s="117">
        <v>0.24097222222222223</v>
      </c>
      <c r="W37" s="117"/>
      <c r="X37" s="117">
        <v>0.2548611111111111</v>
      </c>
      <c r="Y37" s="127"/>
      <c r="Z37" s="114"/>
      <c r="AA37" s="114"/>
      <c r="AB37" s="117">
        <v>0.23958333333333334</v>
      </c>
      <c r="AC37" s="117">
        <v>0.22013888888888888</v>
      </c>
      <c r="AD37" s="117">
        <v>0.22013888888888888</v>
      </c>
      <c r="AE37" s="117">
        <v>0.2791666666666667</v>
      </c>
      <c r="AF37" s="114"/>
      <c r="AG37" s="114"/>
      <c r="AH37" s="114"/>
      <c r="AI37" s="26" t="s">
        <v>326</v>
      </c>
    </row>
    <row r="38">
      <c r="A38" s="32"/>
      <c r="B38" s="20">
        <v>37.0</v>
      </c>
      <c r="C38" s="34" t="s">
        <v>279</v>
      </c>
      <c r="D38" s="22">
        <f t="shared" si="2"/>
        <v>3.895833333</v>
      </c>
      <c r="E38" s="23"/>
      <c r="F38" s="23"/>
      <c r="G38" s="23">
        <v>0.2465277777777778</v>
      </c>
      <c r="H38" s="23">
        <v>0.24722222222222223</v>
      </c>
      <c r="I38" s="23">
        <v>0.2465277777777778</v>
      </c>
      <c r="J38" s="23">
        <v>0.24722222222222223</v>
      </c>
      <c r="K38" s="26"/>
      <c r="L38" s="23"/>
      <c r="M38" s="23"/>
      <c r="N38" s="23">
        <v>0.23819444444444443</v>
      </c>
      <c r="O38" s="23">
        <v>0.24930555555555556</v>
      </c>
      <c r="P38" s="117">
        <v>0.2388888888888889</v>
      </c>
      <c r="Q38" s="117">
        <v>0.24861111111111112</v>
      </c>
      <c r="R38" s="114"/>
      <c r="S38" s="114"/>
      <c r="T38" s="114"/>
      <c r="U38" s="117">
        <v>0.2652777777777778</v>
      </c>
      <c r="V38" s="117">
        <v>0.24375</v>
      </c>
      <c r="W38" s="117">
        <v>0.2375</v>
      </c>
      <c r="X38" s="117">
        <v>0.24791666666666667</v>
      </c>
      <c r="Y38" s="127"/>
      <c r="Z38" s="114"/>
      <c r="AA38" s="114"/>
      <c r="AB38" s="117">
        <v>0.2388888888888889</v>
      </c>
      <c r="AC38" s="117">
        <v>0.2777777777777778</v>
      </c>
      <c r="AD38" s="117">
        <v>0.225</v>
      </c>
      <c r="AE38" s="117">
        <v>0.19722222222222222</v>
      </c>
      <c r="AF38" s="114"/>
      <c r="AG38" s="114"/>
      <c r="AH38" s="114"/>
      <c r="AI38" s="26" t="s">
        <v>326</v>
      </c>
    </row>
    <row r="39">
      <c r="A39" s="32"/>
      <c r="B39" s="33">
        <v>38.0</v>
      </c>
      <c r="C39" s="31" t="s">
        <v>14</v>
      </c>
      <c r="D39" s="22">
        <f t="shared" si="2"/>
        <v>1.65625</v>
      </c>
      <c r="E39" s="23"/>
      <c r="F39" s="23"/>
      <c r="G39" s="23"/>
      <c r="H39" s="26"/>
      <c r="I39" s="26"/>
      <c r="J39" s="26"/>
      <c r="K39" s="26"/>
      <c r="L39" s="23"/>
      <c r="M39" s="23"/>
      <c r="N39" s="26"/>
      <c r="O39" s="26"/>
      <c r="P39" s="114"/>
      <c r="Q39" s="117">
        <v>0.27361111111111114</v>
      </c>
      <c r="R39" s="114"/>
      <c r="S39" s="114"/>
      <c r="T39" s="114"/>
      <c r="U39" s="117"/>
      <c r="V39" s="117">
        <v>0.24861111111111112</v>
      </c>
      <c r="W39" s="117"/>
      <c r="X39" s="117">
        <v>0.24513888888888888</v>
      </c>
      <c r="Y39" s="127"/>
      <c r="Z39" s="114"/>
      <c r="AA39" s="114"/>
      <c r="AB39" s="117">
        <v>0.2659722222222222</v>
      </c>
      <c r="AC39" s="117">
        <v>0.23819444444444443</v>
      </c>
      <c r="AD39" s="117">
        <v>0.18263888888888888</v>
      </c>
      <c r="AE39" s="117">
        <v>0.20208333333333334</v>
      </c>
      <c r="AF39" s="114"/>
      <c r="AG39" s="114"/>
      <c r="AH39" s="114"/>
      <c r="AI39" s="26" t="s">
        <v>326</v>
      </c>
    </row>
    <row r="40">
      <c r="A40" s="32"/>
      <c r="B40" s="33">
        <v>39.0</v>
      </c>
      <c r="C40" s="50" t="s">
        <v>81</v>
      </c>
      <c r="D40" s="22">
        <f t="shared" si="2"/>
        <v>3.857638889</v>
      </c>
      <c r="E40" s="23"/>
      <c r="F40" s="23"/>
      <c r="G40" s="23">
        <v>0.225</v>
      </c>
      <c r="H40" s="23">
        <v>0.41597222222222224</v>
      </c>
      <c r="I40" s="23">
        <v>0.2520833333333333</v>
      </c>
      <c r="J40" s="26"/>
      <c r="K40" s="26"/>
      <c r="L40" s="23"/>
      <c r="M40" s="23"/>
      <c r="N40" s="23">
        <v>0.3680555555555556</v>
      </c>
      <c r="O40" s="23">
        <v>0.25763888888888886</v>
      </c>
      <c r="P40" s="117"/>
      <c r="Q40" s="117">
        <v>0.4951388888888889</v>
      </c>
      <c r="R40" s="114"/>
      <c r="S40" s="114"/>
      <c r="T40" s="114"/>
      <c r="U40" s="117">
        <v>0.26319444444444445</v>
      </c>
      <c r="V40" s="117">
        <v>0.3680555555555556</v>
      </c>
      <c r="W40" s="114"/>
      <c r="X40" s="117">
        <v>0.29444444444444445</v>
      </c>
      <c r="Y40" s="127"/>
      <c r="Z40" s="114"/>
      <c r="AA40" s="114"/>
      <c r="AB40" s="117">
        <v>0.28402777777777777</v>
      </c>
      <c r="AC40" s="117">
        <v>0.30694444444444446</v>
      </c>
      <c r="AD40" s="117">
        <v>0.32708333333333334</v>
      </c>
      <c r="AE40" s="117"/>
      <c r="AF40" s="114"/>
      <c r="AG40" s="114"/>
      <c r="AH40" s="114"/>
      <c r="AI40" s="26" t="s">
        <v>326</v>
      </c>
    </row>
    <row r="41">
      <c r="A41" s="32"/>
      <c r="B41" s="20">
        <v>40.0</v>
      </c>
      <c r="C41" s="43" t="s">
        <v>153</v>
      </c>
      <c r="D41" s="22">
        <f t="shared" si="2"/>
        <v>3.485416667</v>
      </c>
      <c r="E41" s="23"/>
      <c r="F41" s="23"/>
      <c r="G41" s="23">
        <v>0.3277777777777778</v>
      </c>
      <c r="H41" s="23">
        <v>0.20347222222222222</v>
      </c>
      <c r="I41" s="23">
        <v>0.22083333333333333</v>
      </c>
      <c r="J41" s="23">
        <v>0.3236111111111111</v>
      </c>
      <c r="K41" s="26"/>
      <c r="L41" s="23"/>
      <c r="M41" s="23"/>
      <c r="N41" s="23">
        <v>0.21180555555555555</v>
      </c>
      <c r="O41" s="23"/>
      <c r="P41" s="117">
        <v>0.3145833333333333</v>
      </c>
      <c r="Q41" s="117">
        <v>0.39791666666666664</v>
      </c>
      <c r="R41" s="114"/>
      <c r="S41" s="114"/>
      <c r="T41" s="114"/>
      <c r="U41" s="117">
        <v>0.27708333333333335</v>
      </c>
      <c r="V41" s="117">
        <v>0.24930555555555556</v>
      </c>
      <c r="W41" s="117">
        <v>0.3236111111111111</v>
      </c>
      <c r="X41" s="117">
        <v>0.20416666666666666</v>
      </c>
      <c r="Y41" s="127"/>
      <c r="Z41" s="114"/>
      <c r="AA41" s="114"/>
      <c r="AB41" s="117">
        <v>0.24027777777777778</v>
      </c>
      <c r="AC41" s="117"/>
      <c r="AD41" s="117">
        <v>0.1909722222222222</v>
      </c>
      <c r="AE41" s="117"/>
      <c r="AF41" s="114"/>
      <c r="AG41" s="114"/>
      <c r="AH41" s="114"/>
      <c r="AI41" s="26" t="s">
        <v>326</v>
      </c>
    </row>
    <row r="42">
      <c r="A42" s="32"/>
      <c r="B42" s="33">
        <v>41.0</v>
      </c>
      <c r="C42" s="34" t="s">
        <v>198</v>
      </c>
      <c r="D42" s="22">
        <f t="shared" si="2"/>
        <v>0</v>
      </c>
      <c r="E42" s="23"/>
      <c r="F42" s="23"/>
      <c r="G42" s="23"/>
      <c r="H42" s="26"/>
      <c r="I42" s="26"/>
      <c r="J42" s="26"/>
      <c r="K42" s="26"/>
      <c r="L42" s="23"/>
      <c r="M42" s="23"/>
      <c r="N42" s="26"/>
      <c r="O42" s="26"/>
      <c r="P42" s="114"/>
      <c r="Q42" s="114"/>
      <c r="R42" s="114"/>
      <c r="S42" s="114"/>
      <c r="T42" s="114"/>
      <c r="U42" s="114"/>
      <c r="V42" s="114"/>
      <c r="W42" s="114"/>
      <c r="X42" s="114"/>
      <c r="Y42" s="127"/>
      <c r="Z42" s="114"/>
      <c r="AA42" s="114"/>
      <c r="AB42" s="114"/>
      <c r="AC42" s="114"/>
      <c r="AD42" s="114"/>
      <c r="AE42" s="114"/>
      <c r="AF42" s="114"/>
      <c r="AG42" s="114"/>
      <c r="AH42" s="114"/>
      <c r="AI42" s="26" t="s">
        <v>326</v>
      </c>
    </row>
    <row r="43">
      <c r="A43" s="32"/>
      <c r="B43" s="33">
        <v>42.0</v>
      </c>
      <c r="C43" s="31" t="s">
        <v>105</v>
      </c>
      <c r="D43" s="22">
        <f t="shared" si="2"/>
        <v>4.252777778</v>
      </c>
      <c r="E43" s="23"/>
      <c r="F43" s="23"/>
      <c r="G43" s="23">
        <v>0.2590277777777778</v>
      </c>
      <c r="H43" s="23">
        <v>0.26666666666666666</v>
      </c>
      <c r="I43" s="23">
        <v>0.27708333333333335</v>
      </c>
      <c r="J43" s="23">
        <v>0.25416666666666665</v>
      </c>
      <c r="K43" s="23"/>
      <c r="L43" s="23"/>
      <c r="M43" s="23"/>
      <c r="N43" s="23">
        <v>0.2611111111111111</v>
      </c>
      <c r="O43" s="23">
        <v>0.2638888888888889</v>
      </c>
      <c r="P43" s="117">
        <v>0.26805555555555555</v>
      </c>
      <c r="Q43" s="117">
        <v>0.2743055555555556</v>
      </c>
      <c r="R43" s="117">
        <v>0.25625</v>
      </c>
      <c r="S43" s="114"/>
      <c r="T43" s="114"/>
      <c r="U43" s="117">
        <v>0.2743055555555556</v>
      </c>
      <c r="V43" s="117">
        <v>0.2708333333333333</v>
      </c>
      <c r="W43" s="117">
        <v>0.27152777777777776</v>
      </c>
      <c r="X43" s="117">
        <v>0.2673611111111111</v>
      </c>
      <c r="Y43" s="116"/>
      <c r="Z43" s="114"/>
      <c r="AA43" s="114"/>
      <c r="AB43" s="117">
        <v>0.2638888888888889</v>
      </c>
      <c r="AC43" s="117">
        <v>0.2638888888888889</v>
      </c>
      <c r="AD43" s="117"/>
      <c r="AE43" s="117">
        <v>0.2604166666666667</v>
      </c>
      <c r="AF43" s="114"/>
      <c r="AG43" s="114"/>
      <c r="AH43" s="114"/>
      <c r="AI43" s="26" t="s">
        <v>326</v>
      </c>
    </row>
    <row r="44">
      <c r="A44" s="32"/>
      <c r="B44" s="20">
        <v>43.0</v>
      </c>
      <c r="C44" s="35" t="s">
        <v>29</v>
      </c>
      <c r="D44" s="22">
        <f t="shared" si="2"/>
        <v>1.710416667</v>
      </c>
      <c r="E44" s="23"/>
      <c r="F44" s="23"/>
      <c r="G44" s="23">
        <v>0.23541666666666666</v>
      </c>
      <c r="H44" s="26"/>
      <c r="I44" s="26"/>
      <c r="J44" s="23">
        <v>0.2520833333333333</v>
      </c>
      <c r="K44" s="26"/>
      <c r="L44" s="23"/>
      <c r="M44" s="23"/>
      <c r="N44" s="26"/>
      <c r="O44" s="23">
        <v>0.23402777777777778</v>
      </c>
      <c r="P44" s="114"/>
      <c r="Q44" s="117">
        <v>0.24097222222222223</v>
      </c>
      <c r="R44" s="114"/>
      <c r="S44" s="114"/>
      <c r="T44" s="114"/>
      <c r="U44" s="117">
        <v>0.25</v>
      </c>
      <c r="V44" s="114"/>
      <c r="W44" s="114"/>
      <c r="X44" s="117">
        <v>0.24583333333333332</v>
      </c>
      <c r="Y44" s="127"/>
      <c r="Z44" s="114"/>
      <c r="AA44" s="114"/>
      <c r="AB44" s="117">
        <v>0.2520833333333333</v>
      </c>
      <c r="AC44" s="114"/>
      <c r="AD44" s="114"/>
      <c r="AE44" s="114"/>
      <c r="AF44" s="114"/>
      <c r="AG44" s="114"/>
      <c r="AH44" s="114"/>
      <c r="AI44" s="26" t="s">
        <v>326</v>
      </c>
    </row>
    <row r="45">
      <c r="A45" s="32"/>
      <c r="B45" s="33">
        <v>44.0</v>
      </c>
      <c r="C45" s="35" t="s">
        <v>257</v>
      </c>
      <c r="D45" s="22">
        <f t="shared" si="2"/>
        <v>3.159722222</v>
      </c>
      <c r="E45" s="23"/>
      <c r="F45" s="23"/>
      <c r="G45" s="23">
        <v>0.23680555555555555</v>
      </c>
      <c r="H45" s="23">
        <v>0.24930555555555556</v>
      </c>
      <c r="I45" s="23">
        <v>0.2513888888888889</v>
      </c>
      <c r="J45" s="23"/>
      <c r="K45" s="26"/>
      <c r="L45" s="23"/>
      <c r="M45" s="23"/>
      <c r="N45" s="23"/>
      <c r="O45" s="23">
        <v>0.23194444444444445</v>
      </c>
      <c r="P45" s="117">
        <v>0.24861111111111112</v>
      </c>
      <c r="Q45" s="117">
        <v>0.24930555555555556</v>
      </c>
      <c r="R45" s="114"/>
      <c r="S45" s="114"/>
      <c r="T45" s="114"/>
      <c r="U45" s="117">
        <v>0.24861111111111112</v>
      </c>
      <c r="V45" s="117">
        <v>0.24027777777777778</v>
      </c>
      <c r="W45" s="117">
        <v>0.24930555555555556</v>
      </c>
      <c r="X45" s="114"/>
      <c r="Y45" s="127"/>
      <c r="Z45" s="114"/>
      <c r="AA45" s="114"/>
      <c r="AB45" s="117">
        <v>0.2423611111111111</v>
      </c>
      <c r="AC45" s="117">
        <v>0.24097222222222223</v>
      </c>
      <c r="AD45" s="117">
        <v>0.24097222222222223</v>
      </c>
      <c r="AE45" s="117">
        <v>0.2298611111111111</v>
      </c>
      <c r="AF45" s="114"/>
      <c r="AG45" s="114"/>
      <c r="AH45" s="114"/>
      <c r="AI45" s="26" t="s">
        <v>326</v>
      </c>
    </row>
    <row r="46">
      <c r="A46" s="32"/>
      <c r="B46" s="33">
        <v>45.0</v>
      </c>
      <c r="C46" s="31" t="s">
        <v>26</v>
      </c>
      <c r="D46" s="22">
        <f t="shared" si="2"/>
        <v>0.2576388889</v>
      </c>
      <c r="E46" s="23"/>
      <c r="F46" s="23"/>
      <c r="G46" s="23">
        <v>0.25763888888888886</v>
      </c>
      <c r="H46" s="23"/>
      <c r="I46" s="23"/>
      <c r="J46" s="23"/>
      <c r="K46" s="23"/>
      <c r="L46" s="23"/>
      <c r="M46" s="23"/>
      <c r="N46" s="23"/>
      <c r="O46" s="23"/>
      <c r="P46" s="117"/>
      <c r="Q46" s="117">
        <v>0.0</v>
      </c>
      <c r="R46" s="117"/>
      <c r="S46" s="114"/>
      <c r="T46" s="114"/>
      <c r="U46" s="114"/>
      <c r="V46" s="117"/>
      <c r="W46" s="117"/>
      <c r="X46" s="114"/>
      <c r="Y46" s="127"/>
      <c r="Z46" s="114"/>
      <c r="AA46" s="114"/>
      <c r="AB46" s="114"/>
      <c r="AC46" s="114"/>
      <c r="AD46" s="114"/>
      <c r="AE46" s="114"/>
      <c r="AF46" s="114"/>
      <c r="AG46" s="114"/>
      <c r="AH46" s="114"/>
      <c r="AI46" s="26" t="s">
        <v>326</v>
      </c>
    </row>
    <row r="47">
      <c r="A47" s="32"/>
      <c r="B47" s="20">
        <v>46.0</v>
      </c>
      <c r="C47" s="31" t="s">
        <v>23</v>
      </c>
      <c r="D47" s="22">
        <f t="shared" si="2"/>
        <v>0</v>
      </c>
      <c r="E47" s="23"/>
      <c r="F47" s="23"/>
      <c r="G47" s="23"/>
      <c r="H47" s="26"/>
      <c r="I47" s="26"/>
      <c r="J47" s="26"/>
      <c r="K47" s="26"/>
      <c r="L47" s="23"/>
      <c r="M47" s="23"/>
      <c r="N47" s="26"/>
      <c r="O47" s="26"/>
      <c r="P47" s="114"/>
      <c r="Q47" s="114"/>
      <c r="R47" s="114"/>
      <c r="S47" s="114"/>
      <c r="T47" s="114"/>
      <c r="U47" s="114"/>
      <c r="V47" s="114"/>
      <c r="W47" s="114"/>
      <c r="X47" s="114"/>
      <c r="Y47" s="127"/>
      <c r="Z47" s="114"/>
      <c r="AA47" s="114"/>
      <c r="AB47" s="114"/>
      <c r="AC47" s="114"/>
      <c r="AD47" s="114"/>
      <c r="AE47" s="114"/>
      <c r="AF47" s="114"/>
      <c r="AG47" s="114"/>
      <c r="AH47" s="114"/>
      <c r="AI47" s="26" t="s">
        <v>326</v>
      </c>
    </row>
    <row r="48">
      <c r="A48" s="32"/>
      <c r="B48" s="33">
        <v>47.0</v>
      </c>
      <c r="C48" s="50" t="s">
        <v>17</v>
      </c>
      <c r="D48" s="22">
        <f t="shared" si="2"/>
        <v>6.442361111</v>
      </c>
      <c r="E48" s="23"/>
      <c r="F48" s="23"/>
      <c r="G48" s="23">
        <v>0.4423611111111111</v>
      </c>
      <c r="H48" s="23">
        <v>0.34444444444444444</v>
      </c>
      <c r="I48" s="23">
        <v>0.31875</v>
      </c>
      <c r="J48" s="23">
        <v>0.33611111111111114</v>
      </c>
      <c r="K48" s="23">
        <v>0.32083333333333336</v>
      </c>
      <c r="L48" s="23"/>
      <c r="M48" s="23"/>
      <c r="N48" s="23">
        <v>0.33958333333333335</v>
      </c>
      <c r="O48" s="23">
        <v>0.3277777777777778</v>
      </c>
      <c r="P48" s="117">
        <v>0.3138888888888889</v>
      </c>
      <c r="Q48" s="117">
        <v>0.3159722222222222</v>
      </c>
      <c r="R48" s="117">
        <v>0.29375</v>
      </c>
      <c r="S48" s="114"/>
      <c r="T48" s="114"/>
      <c r="U48" s="114"/>
      <c r="V48" s="117">
        <v>0.3388888888888889</v>
      </c>
      <c r="W48" s="117">
        <v>0.49027777777777776</v>
      </c>
      <c r="X48" s="117">
        <v>0.2777777777777778</v>
      </c>
      <c r="Y48" s="116">
        <v>0.31875</v>
      </c>
      <c r="Z48" s="114"/>
      <c r="AA48" s="114"/>
      <c r="AB48" s="117">
        <v>0.3229166666666667</v>
      </c>
      <c r="AC48" s="117">
        <v>0.3326388888888889</v>
      </c>
      <c r="AD48" s="117">
        <v>0.33194444444444443</v>
      </c>
      <c r="AE48" s="117">
        <v>0.3368055555555556</v>
      </c>
      <c r="AF48" s="117">
        <v>0.3388888888888889</v>
      </c>
      <c r="AG48" s="114"/>
      <c r="AH48" s="114"/>
      <c r="AI48" s="26" t="s">
        <v>326</v>
      </c>
    </row>
    <row r="49">
      <c r="A49" s="32"/>
      <c r="B49" s="33">
        <v>48.0</v>
      </c>
      <c r="C49" s="43" t="s">
        <v>150</v>
      </c>
      <c r="D49" s="22">
        <f t="shared" si="2"/>
        <v>4.196527778</v>
      </c>
      <c r="E49" s="23"/>
      <c r="F49" s="23"/>
      <c r="G49" s="23">
        <v>0.24444444444444444</v>
      </c>
      <c r="H49" s="23">
        <v>0.26180555555555557</v>
      </c>
      <c r="I49" s="23">
        <v>0.2833333333333333</v>
      </c>
      <c r="J49" s="23">
        <v>0.2590277777777778</v>
      </c>
      <c r="K49" s="23">
        <v>0.2569444444444444</v>
      </c>
      <c r="L49" s="23"/>
      <c r="M49" s="23"/>
      <c r="N49" s="26"/>
      <c r="O49" s="26"/>
      <c r="P49" s="117">
        <v>0.25416666666666665</v>
      </c>
      <c r="Q49" s="117">
        <v>0.2652777777777778</v>
      </c>
      <c r="R49" s="117">
        <v>0.24375</v>
      </c>
      <c r="S49" s="114"/>
      <c r="T49" s="114"/>
      <c r="U49" s="117">
        <v>0.25833333333333336</v>
      </c>
      <c r="V49" s="117">
        <v>0.2708333333333333</v>
      </c>
      <c r="W49" s="117">
        <v>0.25833333333333336</v>
      </c>
      <c r="X49" s="117">
        <v>0.2659722222222222</v>
      </c>
      <c r="Y49" s="127"/>
      <c r="Z49" s="114"/>
      <c r="AA49" s="114"/>
      <c r="AB49" s="117">
        <v>0.26944444444444443</v>
      </c>
      <c r="AC49" s="117">
        <v>0.275</v>
      </c>
      <c r="AD49" s="117">
        <v>0.26666666666666666</v>
      </c>
      <c r="AE49" s="117">
        <v>0.26319444444444445</v>
      </c>
      <c r="AF49" s="114"/>
      <c r="AG49" s="114"/>
      <c r="AH49" s="114"/>
      <c r="AI49" s="26" t="s">
        <v>326</v>
      </c>
    </row>
    <row r="50">
      <c r="A50" s="15"/>
      <c r="B50" s="20">
        <v>49.0</v>
      </c>
      <c r="C50" s="31" t="s">
        <v>32</v>
      </c>
      <c r="D50" s="22">
        <f t="shared" si="2"/>
        <v>1.949305556</v>
      </c>
      <c r="E50" s="23"/>
      <c r="F50" s="23"/>
      <c r="G50" s="23"/>
      <c r="H50" s="23">
        <v>0.12569444444444444</v>
      </c>
      <c r="I50" s="23">
        <v>0.16458333333333333</v>
      </c>
      <c r="J50" s="23">
        <v>0.18263888888888888</v>
      </c>
      <c r="K50" s="26"/>
      <c r="L50" s="23"/>
      <c r="M50" s="23"/>
      <c r="N50" s="23">
        <v>0.15347222222222223</v>
      </c>
      <c r="O50" s="23">
        <v>0.3416666666666667</v>
      </c>
      <c r="P50" s="117"/>
      <c r="Q50" s="117"/>
      <c r="R50" s="117"/>
      <c r="S50" s="114"/>
      <c r="T50" s="114"/>
      <c r="U50" s="117">
        <v>0.20555555555555555</v>
      </c>
      <c r="V50" s="117">
        <v>0.34652777777777777</v>
      </c>
      <c r="W50" s="117"/>
      <c r="X50" s="117">
        <v>0.18472222222222223</v>
      </c>
      <c r="Y50" s="127"/>
      <c r="Z50" s="114"/>
      <c r="AA50" s="114"/>
      <c r="AB50" s="117">
        <v>0.24444444444444444</v>
      </c>
      <c r="AC50" s="117"/>
      <c r="AD50" s="117"/>
      <c r="AE50" s="114"/>
      <c r="AF50" s="114"/>
      <c r="AG50" s="114"/>
      <c r="AH50" s="114"/>
      <c r="AI50" s="26" t="s">
        <v>326</v>
      </c>
    </row>
    <row r="51">
      <c r="A51" s="54" t="s">
        <v>282</v>
      </c>
      <c r="B51" s="55">
        <v>50.0</v>
      </c>
      <c r="C51" s="56" t="s">
        <v>10</v>
      </c>
      <c r="D51" s="22">
        <f t="shared" si="2"/>
        <v>0</v>
      </c>
      <c r="E51" s="23"/>
      <c r="F51" s="23"/>
      <c r="G51" s="23"/>
      <c r="H51" s="23"/>
      <c r="I51" s="23"/>
      <c r="J51" s="23"/>
      <c r="K51" s="26"/>
      <c r="L51" s="23"/>
      <c r="M51" s="23"/>
      <c r="N51" s="26"/>
      <c r="O51" s="23"/>
      <c r="P51" s="114"/>
      <c r="Q51" s="114"/>
      <c r="R51" s="117"/>
      <c r="S51" s="114"/>
      <c r="T51" s="114"/>
      <c r="U51" s="117"/>
      <c r="V51" s="114"/>
      <c r="W51" s="117"/>
      <c r="X51" s="114"/>
      <c r="Y51" s="127"/>
      <c r="Z51" s="114"/>
      <c r="AA51" s="114"/>
      <c r="AB51" s="114"/>
      <c r="AC51" s="117"/>
      <c r="AD51" s="117"/>
      <c r="AE51" s="114"/>
      <c r="AF51" s="114"/>
      <c r="AG51" s="114"/>
      <c r="AH51" s="114"/>
      <c r="AI51" s="26" t="s">
        <v>326</v>
      </c>
    </row>
    <row r="52">
      <c r="A52" s="32"/>
      <c r="B52" s="57">
        <v>51.0</v>
      </c>
      <c r="C52" s="58" t="s">
        <v>6</v>
      </c>
      <c r="D52" s="22">
        <f t="shared" si="2"/>
        <v>6.024305556</v>
      </c>
      <c r="E52" s="23"/>
      <c r="F52" s="23"/>
      <c r="G52" s="23">
        <v>0.44166666666666665</v>
      </c>
      <c r="H52" s="23">
        <v>0.41180555555555554</v>
      </c>
      <c r="I52" s="23">
        <v>0.43194444444444446</v>
      </c>
      <c r="J52" s="23">
        <v>0.49930555555555556</v>
      </c>
      <c r="K52" s="23">
        <v>0.4597222222222222</v>
      </c>
      <c r="L52" s="23"/>
      <c r="M52" s="23"/>
      <c r="N52" s="23">
        <v>0.49444444444444446</v>
      </c>
      <c r="O52" s="23">
        <v>0.5138888888888888</v>
      </c>
      <c r="P52" s="117">
        <v>0.45</v>
      </c>
      <c r="Q52" s="117">
        <v>0.47847222222222224</v>
      </c>
      <c r="R52" s="117">
        <v>0.47847222222222224</v>
      </c>
      <c r="S52" s="114"/>
      <c r="T52" s="114"/>
      <c r="U52" s="117"/>
      <c r="V52" s="117"/>
      <c r="W52" s="117"/>
      <c r="X52" s="117"/>
      <c r="Y52" s="116"/>
      <c r="Z52" s="117">
        <v>0.4826388888888889</v>
      </c>
      <c r="AA52" s="114"/>
      <c r="AB52" s="117">
        <v>0.4215277777777778</v>
      </c>
      <c r="AC52" s="117"/>
      <c r="AD52" s="117">
        <v>0.46041666666666664</v>
      </c>
      <c r="AE52" s="117"/>
      <c r="AF52" s="117"/>
      <c r="AG52" s="117"/>
      <c r="AH52" s="114"/>
      <c r="AI52" s="26" t="s">
        <v>326</v>
      </c>
    </row>
    <row r="53">
      <c r="A53" s="32"/>
      <c r="B53" s="57">
        <v>52.0</v>
      </c>
      <c r="C53" s="59" t="s">
        <v>75</v>
      </c>
      <c r="D53" s="22">
        <f t="shared" si="2"/>
        <v>2.691666667</v>
      </c>
      <c r="E53" s="23"/>
      <c r="F53" s="23"/>
      <c r="G53" s="23">
        <v>0.20833333333333334</v>
      </c>
      <c r="H53" s="23">
        <v>0.2125</v>
      </c>
      <c r="I53" s="23">
        <v>0.21319444444444444</v>
      </c>
      <c r="J53" s="23">
        <v>0.18472222222222223</v>
      </c>
      <c r="K53" s="26"/>
      <c r="L53" s="23"/>
      <c r="M53" s="23"/>
      <c r="N53" s="26"/>
      <c r="O53" s="26"/>
      <c r="P53" s="117">
        <v>0.17083333333333334</v>
      </c>
      <c r="Q53" s="117">
        <v>0.20972222222222223</v>
      </c>
      <c r="R53" s="114"/>
      <c r="S53" s="114"/>
      <c r="T53" s="114"/>
      <c r="U53" s="117">
        <v>0.2048611111111111</v>
      </c>
      <c r="V53" s="117">
        <v>0.18680555555555556</v>
      </c>
      <c r="W53" s="117">
        <v>0.18333333333333332</v>
      </c>
      <c r="X53" s="117">
        <v>0.18888888888888888</v>
      </c>
      <c r="Y53" s="127"/>
      <c r="Z53" s="114"/>
      <c r="AA53" s="114"/>
      <c r="AB53" s="117">
        <v>0.1840277777777778</v>
      </c>
      <c r="AC53" s="117">
        <v>0.17430555555555555</v>
      </c>
      <c r="AD53" s="117">
        <v>0.18611111111111112</v>
      </c>
      <c r="AE53" s="117">
        <v>0.1840277777777778</v>
      </c>
      <c r="AF53" s="114"/>
      <c r="AG53" s="114"/>
      <c r="AH53" s="114"/>
      <c r="AI53" s="26" t="s">
        <v>326</v>
      </c>
    </row>
    <row r="54">
      <c r="A54" s="32"/>
      <c r="B54" s="55">
        <v>53.0</v>
      </c>
      <c r="C54" s="60" t="s">
        <v>120</v>
      </c>
      <c r="D54" s="22">
        <f t="shared" si="2"/>
        <v>3.692361111</v>
      </c>
      <c r="E54" s="23"/>
      <c r="F54" s="23"/>
      <c r="G54" s="23">
        <v>0.39166666666666666</v>
      </c>
      <c r="H54" s="23">
        <v>0.30625</v>
      </c>
      <c r="I54" s="23"/>
      <c r="J54" s="23">
        <v>0.3875</v>
      </c>
      <c r="K54" s="23">
        <v>0.41388888888888886</v>
      </c>
      <c r="L54" s="23"/>
      <c r="M54" s="23"/>
      <c r="N54" s="23">
        <v>0.39375</v>
      </c>
      <c r="O54" s="23">
        <v>0.35694444444444445</v>
      </c>
      <c r="P54" s="117">
        <v>0.3597222222222222</v>
      </c>
      <c r="Q54" s="117">
        <v>0.39791666666666664</v>
      </c>
      <c r="R54" s="117">
        <v>0.32708333333333334</v>
      </c>
      <c r="S54" s="114"/>
      <c r="T54" s="114"/>
      <c r="U54" s="117"/>
      <c r="V54" s="117"/>
      <c r="W54" s="117"/>
      <c r="X54" s="117"/>
      <c r="Y54" s="116">
        <v>0.3576388888888889</v>
      </c>
      <c r="Z54" s="114"/>
      <c r="AA54" s="114"/>
      <c r="AB54" s="117"/>
      <c r="AC54" s="117"/>
      <c r="AD54" s="117"/>
      <c r="AE54" s="117"/>
      <c r="AF54" s="117"/>
      <c r="AG54" s="114"/>
      <c r="AH54" s="114"/>
      <c r="AI54" s="26" t="s">
        <v>326</v>
      </c>
    </row>
    <row r="55">
      <c r="A55" s="32"/>
      <c r="B55" s="57">
        <v>54.0</v>
      </c>
      <c r="C55" s="61" t="s">
        <v>123</v>
      </c>
      <c r="D55" s="22">
        <f t="shared" si="2"/>
        <v>3.773611111</v>
      </c>
      <c r="E55" s="23"/>
      <c r="F55" s="23"/>
      <c r="G55" s="23">
        <v>0.2534722222222222</v>
      </c>
      <c r="H55" s="23">
        <v>0.25763888888888886</v>
      </c>
      <c r="I55" s="23">
        <v>0.25416666666666665</v>
      </c>
      <c r="J55" s="23"/>
      <c r="K55" s="26"/>
      <c r="L55" s="23"/>
      <c r="M55" s="23"/>
      <c r="N55" s="26"/>
      <c r="O55" s="23">
        <v>0.2534722222222222</v>
      </c>
      <c r="P55" s="117"/>
      <c r="Q55" s="117">
        <v>0.25625</v>
      </c>
      <c r="R55" s="117"/>
      <c r="S55" s="114"/>
      <c r="T55" s="114"/>
      <c r="U55" s="117">
        <v>0.3194444444444444</v>
      </c>
      <c r="V55" s="117"/>
      <c r="W55" s="117">
        <v>0.24444444444444444</v>
      </c>
      <c r="X55" s="117">
        <v>0.2569444444444444</v>
      </c>
      <c r="Y55" s="116">
        <v>0.35625</v>
      </c>
      <c r="Z55" s="114"/>
      <c r="AA55" s="114"/>
      <c r="AB55" s="117">
        <v>0.2548611111111111</v>
      </c>
      <c r="AC55" s="117">
        <v>0.22777777777777777</v>
      </c>
      <c r="AD55" s="117">
        <v>0.25555555555555554</v>
      </c>
      <c r="AE55" s="117">
        <v>0.3416666666666667</v>
      </c>
      <c r="AF55" s="117">
        <v>0.24166666666666667</v>
      </c>
      <c r="AG55" s="114"/>
      <c r="AH55" s="114"/>
      <c r="AI55" s="26" t="s">
        <v>326</v>
      </c>
    </row>
    <row r="56">
      <c r="A56" s="32"/>
      <c r="B56" s="57">
        <v>55.0</v>
      </c>
      <c r="C56" s="59" t="s">
        <v>111</v>
      </c>
      <c r="D56" s="22">
        <f t="shared" si="2"/>
        <v>7.101388889</v>
      </c>
      <c r="E56" s="23">
        <v>0.34305555555555556</v>
      </c>
      <c r="F56" s="23"/>
      <c r="G56" s="23">
        <v>0.3638888888888889</v>
      </c>
      <c r="H56" s="23">
        <v>0.3277777777777778</v>
      </c>
      <c r="I56" s="23">
        <v>0.42291666666666666</v>
      </c>
      <c r="J56" s="23">
        <v>0.3333333333333333</v>
      </c>
      <c r="K56" s="23">
        <v>0.3423611111111111</v>
      </c>
      <c r="L56" s="23"/>
      <c r="M56" s="23"/>
      <c r="N56" s="23"/>
      <c r="O56" s="23">
        <v>0.4361111111111111</v>
      </c>
      <c r="P56" s="117">
        <v>0.425</v>
      </c>
      <c r="Q56" s="117"/>
      <c r="R56" s="117">
        <v>0.3909722222222222</v>
      </c>
      <c r="S56" s="117">
        <v>0.39444444444444443</v>
      </c>
      <c r="T56" s="114"/>
      <c r="U56" s="117"/>
      <c r="V56" s="114"/>
      <c r="W56" s="117">
        <v>0.40902777777777777</v>
      </c>
      <c r="X56" s="117">
        <v>0.3972222222222222</v>
      </c>
      <c r="Y56" s="116"/>
      <c r="Z56" s="117"/>
      <c r="AA56" s="117">
        <v>0.3784722222222222</v>
      </c>
      <c r="AB56" s="117">
        <v>0.2951388888888889</v>
      </c>
      <c r="AC56" s="117">
        <v>0.31319444444444444</v>
      </c>
      <c r="AD56" s="117">
        <v>0.41388888888888886</v>
      </c>
      <c r="AE56" s="117"/>
      <c r="AF56" s="117">
        <v>0.4125</v>
      </c>
      <c r="AG56" s="117">
        <v>0.4097222222222222</v>
      </c>
      <c r="AH56" s="114"/>
      <c r="AI56" s="23">
        <v>0.2923611111111111</v>
      </c>
    </row>
    <row r="57">
      <c r="A57" s="32"/>
      <c r="B57" s="55">
        <v>56.0</v>
      </c>
      <c r="C57" s="61" t="s">
        <v>114</v>
      </c>
      <c r="D57" s="22">
        <f t="shared" si="2"/>
        <v>3.611111111</v>
      </c>
      <c r="E57" s="23">
        <v>0.33125</v>
      </c>
      <c r="F57" s="23">
        <v>0.3840277777777778</v>
      </c>
      <c r="G57" s="23">
        <v>0.36527777777777776</v>
      </c>
      <c r="H57" s="23">
        <v>0.36319444444444443</v>
      </c>
      <c r="I57" s="26"/>
      <c r="J57" s="23">
        <v>0.36736111111111114</v>
      </c>
      <c r="K57" s="23">
        <v>0.36319444444444443</v>
      </c>
      <c r="L57" s="23"/>
      <c r="M57" s="23"/>
      <c r="N57" s="23">
        <v>0.3701388888888889</v>
      </c>
      <c r="O57" s="23">
        <v>0.3645833333333333</v>
      </c>
      <c r="P57" s="117">
        <v>0.3423611111111111</v>
      </c>
      <c r="Q57" s="114"/>
      <c r="R57" s="117">
        <v>0.3597222222222222</v>
      </c>
      <c r="S57" s="117"/>
      <c r="T57" s="117"/>
      <c r="U57" s="117"/>
      <c r="V57" s="117"/>
      <c r="W57" s="117"/>
      <c r="X57" s="117"/>
      <c r="Y57" s="116"/>
      <c r="Z57" s="117"/>
      <c r="AA57" s="117"/>
      <c r="AB57" s="117"/>
      <c r="AC57" s="117"/>
      <c r="AD57" s="117"/>
      <c r="AE57" s="117"/>
      <c r="AF57" s="117"/>
      <c r="AG57" s="117"/>
      <c r="AH57" s="117"/>
      <c r="AI57" s="26" t="s">
        <v>326</v>
      </c>
    </row>
    <row r="58">
      <c r="A58" s="32"/>
      <c r="B58" s="57">
        <v>57.0</v>
      </c>
      <c r="C58" s="61" t="s">
        <v>129</v>
      </c>
      <c r="D58" s="22">
        <f t="shared" si="2"/>
        <v>0</v>
      </c>
      <c r="E58" s="23"/>
      <c r="F58" s="23"/>
      <c r="G58" s="23"/>
      <c r="H58" s="23"/>
      <c r="I58" s="23"/>
      <c r="J58" s="23"/>
      <c r="K58" s="23"/>
      <c r="L58" s="26"/>
      <c r="M58" s="23"/>
      <c r="N58" s="23"/>
      <c r="O58" s="23"/>
      <c r="P58" s="117"/>
      <c r="Q58" s="117"/>
      <c r="R58" s="117"/>
      <c r="S58" s="117"/>
      <c r="T58" s="117"/>
      <c r="U58" s="117"/>
      <c r="V58" s="117"/>
      <c r="W58" s="117"/>
      <c r="X58" s="117"/>
      <c r="Y58" s="116"/>
      <c r="Z58" s="117"/>
      <c r="AA58" s="117"/>
      <c r="AB58" s="117"/>
      <c r="AC58" s="117"/>
      <c r="AD58" s="117"/>
      <c r="AE58" s="117"/>
      <c r="AF58" s="114"/>
      <c r="AG58" s="114"/>
      <c r="AH58" s="114"/>
      <c r="AI58" s="26" t="s">
        <v>326</v>
      </c>
    </row>
    <row r="59">
      <c r="A59" s="32"/>
      <c r="B59" s="57">
        <v>58.0</v>
      </c>
      <c r="C59" s="60" t="s">
        <v>126</v>
      </c>
      <c r="D59" s="22">
        <f t="shared" si="2"/>
        <v>8.655555556</v>
      </c>
      <c r="E59" s="23"/>
      <c r="F59" s="23">
        <v>0.3888888888888889</v>
      </c>
      <c r="G59" s="23">
        <v>0.4326388888888889</v>
      </c>
      <c r="H59" s="23">
        <v>0.35833333333333334</v>
      </c>
      <c r="I59" s="23">
        <v>0.4326388888888889</v>
      </c>
      <c r="J59" s="23">
        <v>0.4173611111111111</v>
      </c>
      <c r="K59" s="23">
        <v>0.34305555555555556</v>
      </c>
      <c r="L59" s="23"/>
      <c r="M59" s="23"/>
      <c r="N59" s="23">
        <v>0.33958333333333335</v>
      </c>
      <c r="O59" s="23">
        <v>0.4027777777777778</v>
      </c>
      <c r="P59" s="117">
        <v>0.35833333333333334</v>
      </c>
      <c r="Q59" s="117">
        <v>0.375</v>
      </c>
      <c r="R59" s="117">
        <v>0.41388888888888886</v>
      </c>
      <c r="S59" s="114"/>
      <c r="T59" s="117">
        <v>0.3611111111111111</v>
      </c>
      <c r="U59" s="117">
        <v>0.4444444444444444</v>
      </c>
      <c r="V59" s="117"/>
      <c r="W59" s="117"/>
      <c r="X59" s="117">
        <v>0.3763888888888889</v>
      </c>
      <c r="Y59" s="116">
        <v>0.43472222222222223</v>
      </c>
      <c r="Z59" s="114"/>
      <c r="AA59" s="117"/>
      <c r="AB59" s="117">
        <v>0.41458333333333336</v>
      </c>
      <c r="AC59" s="117">
        <v>0.4270833333333333</v>
      </c>
      <c r="AD59" s="117">
        <v>0.38680555555555557</v>
      </c>
      <c r="AE59" s="117">
        <v>0.47291666666666665</v>
      </c>
      <c r="AF59" s="117">
        <v>0.37222222222222223</v>
      </c>
      <c r="AG59" s="117">
        <v>0.4486111111111111</v>
      </c>
      <c r="AH59" s="117">
        <v>0.25416666666666665</v>
      </c>
      <c r="AI59" s="26" t="s">
        <v>326</v>
      </c>
    </row>
    <row r="60">
      <c r="A60" s="32"/>
      <c r="B60" s="55">
        <v>59.0</v>
      </c>
      <c r="C60" s="60" t="s">
        <v>287</v>
      </c>
      <c r="D60" s="22">
        <f t="shared" si="2"/>
        <v>6.404861111</v>
      </c>
      <c r="E60" s="23"/>
      <c r="F60" s="23"/>
      <c r="G60" s="23">
        <v>0.36666666666666664</v>
      </c>
      <c r="H60" s="23">
        <v>0.35</v>
      </c>
      <c r="I60" s="26"/>
      <c r="J60" s="23"/>
      <c r="K60" s="23">
        <v>0.3611111111111111</v>
      </c>
      <c r="L60" s="23"/>
      <c r="M60" s="23"/>
      <c r="N60" s="23">
        <v>0.34930555555555554</v>
      </c>
      <c r="O60" s="23">
        <v>0.34652777777777777</v>
      </c>
      <c r="P60" s="114"/>
      <c r="Q60" s="117">
        <v>0.3638888888888889</v>
      </c>
      <c r="R60" s="117">
        <v>0.3625</v>
      </c>
      <c r="S60" s="117">
        <v>0.48541666666666666</v>
      </c>
      <c r="T60" s="117">
        <v>0.34097222222222223</v>
      </c>
      <c r="U60" s="117">
        <v>0.3416666666666667</v>
      </c>
      <c r="V60" s="117">
        <v>0.3388888888888889</v>
      </c>
      <c r="W60" s="114"/>
      <c r="X60" s="117"/>
      <c r="Y60" s="116"/>
      <c r="Z60" s="117">
        <v>0.3402777777777778</v>
      </c>
      <c r="AA60" s="117"/>
      <c r="AB60" s="117">
        <v>0.34652777777777777</v>
      </c>
      <c r="AC60" s="117">
        <v>0.35208333333333336</v>
      </c>
      <c r="AD60" s="117">
        <v>0.35347222222222224</v>
      </c>
      <c r="AE60" s="117">
        <v>0.3458333333333333</v>
      </c>
      <c r="AF60" s="114"/>
      <c r="AG60" s="117">
        <v>0.31180555555555556</v>
      </c>
      <c r="AH60" s="117">
        <v>0.34791666666666665</v>
      </c>
      <c r="AI60" s="26" t="s">
        <v>326</v>
      </c>
    </row>
    <row r="61">
      <c r="A61" s="32"/>
      <c r="B61" s="57">
        <v>60.0</v>
      </c>
      <c r="C61" s="62" t="s">
        <v>162</v>
      </c>
      <c r="D61" s="22">
        <f t="shared" si="2"/>
        <v>5.69375</v>
      </c>
      <c r="E61" s="23">
        <v>0.41458333333333336</v>
      </c>
      <c r="F61" s="23"/>
      <c r="G61" s="23">
        <v>0.4409722222222222</v>
      </c>
      <c r="H61" s="23">
        <v>0.37777777777777777</v>
      </c>
      <c r="I61" s="23">
        <v>0.41041666666666665</v>
      </c>
      <c r="J61" s="23">
        <v>0.4305555555555556</v>
      </c>
      <c r="K61" s="23">
        <v>0.41875</v>
      </c>
      <c r="L61" s="23"/>
      <c r="M61" s="26"/>
      <c r="N61" s="23">
        <v>0.42986111111111114</v>
      </c>
      <c r="O61" s="23">
        <v>0.4576388888888889</v>
      </c>
      <c r="P61" s="117">
        <v>0.3680555555555556</v>
      </c>
      <c r="Q61" s="117">
        <v>0.42083333333333334</v>
      </c>
      <c r="R61" s="117">
        <v>0.44583333333333336</v>
      </c>
      <c r="S61" s="117">
        <v>0.29791666666666666</v>
      </c>
      <c r="T61" s="114"/>
      <c r="U61" s="117"/>
      <c r="V61" s="117"/>
      <c r="W61" s="117"/>
      <c r="X61" s="117"/>
      <c r="Y61" s="116"/>
      <c r="Z61" s="117"/>
      <c r="AA61" s="114"/>
      <c r="AB61" s="117">
        <v>0.41041666666666665</v>
      </c>
      <c r="AC61" s="117"/>
      <c r="AD61" s="117">
        <v>0.3701388888888889</v>
      </c>
      <c r="AE61" s="117"/>
      <c r="AF61" s="117"/>
      <c r="AG61" s="117"/>
      <c r="AH61" s="114"/>
      <c r="AI61" s="26" t="s">
        <v>326</v>
      </c>
    </row>
    <row r="62">
      <c r="A62" s="32"/>
      <c r="B62" s="57">
        <v>61.0</v>
      </c>
      <c r="C62" s="59" t="s">
        <v>38</v>
      </c>
      <c r="D62" s="22">
        <f t="shared" si="2"/>
        <v>2.820833333</v>
      </c>
      <c r="E62" s="23"/>
      <c r="F62" s="23"/>
      <c r="G62" s="23">
        <v>0.24027777777777778</v>
      </c>
      <c r="H62" s="23">
        <v>0.25416666666666665</v>
      </c>
      <c r="I62" s="23">
        <v>0.2673611111111111</v>
      </c>
      <c r="J62" s="23">
        <v>0.2465277777777778</v>
      </c>
      <c r="K62" s="26"/>
      <c r="L62" s="26"/>
      <c r="M62" s="23"/>
      <c r="N62" s="23">
        <v>0.25069444444444444</v>
      </c>
      <c r="O62" s="23">
        <v>0.24861111111111112</v>
      </c>
      <c r="P62" s="117"/>
      <c r="Q62" s="117"/>
      <c r="R62" s="114"/>
      <c r="S62" s="114"/>
      <c r="T62" s="114"/>
      <c r="U62" s="117">
        <v>0.25555555555555554</v>
      </c>
      <c r="V62" s="117">
        <v>0.28055555555555556</v>
      </c>
      <c r="W62" s="117"/>
      <c r="X62" s="117"/>
      <c r="Y62" s="127"/>
      <c r="Z62" s="114"/>
      <c r="AA62" s="114"/>
      <c r="AB62" s="117">
        <v>0.25277777777777777</v>
      </c>
      <c r="AC62" s="114"/>
      <c r="AD62" s="114"/>
      <c r="AE62" s="117">
        <v>0.24583333333333332</v>
      </c>
      <c r="AF62" s="117">
        <v>0.27847222222222223</v>
      </c>
      <c r="AG62" s="114"/>
      <c r="AH62" s="114"/>
      <c r="AI62" s="26" t="s">
        <v>326</v>
      </c>
    </row>
    <row r="63">
      <c r="A63" s="32"/>
      <c r="B63" s="55">
        <v>62.0</v>
      </c>
      <c r="C63" s="63" t="s">
        <v>35</v>
      </c>
      <c r="D63" s="22">
        <f t="shared" si="2"/>
        <v>0</v>
      </c>
      <c r="E63" s="23"/>
      <c r="F63" s="23"/>
      <c r="G63" s="23"/>
      <c r="H63" s="26"/>
      <c r="I63" s="26"/>
      <c r="J63" s="26"/>
      <c r="K63" s="26"/>
      <c r="L63" s="23"/>
      <c r="M63" s="23"/>
      <c r="N63" s="26"/>
      <c r="O63" s="26"/>
      <c r="P63" s="114"/>
      <c r="Q63" s="114"/>
      <c r="R63" s="114"/>
      <c r="S63" s="114"/>
      <c r="T63" s="114"/>
      <c r="U63" s="114"/>
      <c r="V63" s="114"/>
      <c r="W63" s="114"/>
      <c r="X63" s="114"/>
      <c r="Y63" s="127"/>
      <c r="Z63" s="114"/>
      <c r="AA63" s="114"/>
      <c r="AB63" s="114"/>
      <c r="AC63" s="114"/>
      <c r="AD63" s="114"/>
      <c r="AE63" s="114"/>
      <c r="AF63" s="114"/>
      <c r="AG63" s="114"/>
      <c r="AH63" s="114"/>
      <c r="AI63" s="26" t="s">
        <v>326</v>
      </c>
    </row>
    <row r="64">
      <c r="A64" s="32"/>
      <c r="B64" s="57">
        <v>63.0</v>
      </c>
      <c r="C64" s="59" t="s">
        <v>117</v>
      </c>
      <c r="D64" s="22">
        <f t="shared" si="2"/>
        <v>1.508333333</v>
      </c>
      <c r="E64" s="23"/>
      <c r="F64" s="23"/>
      <c r="G64" s="23"/>
      <c r="H64" s="23"/>
      <c r="I64" s="23">
        <v>0.2847222222222222</v>
      </c>
      <c r="J64" s="26"/>
      <c r="K64" s="23"/>
      <c r="L64" s="23"/>
      <c r="M64" s="23"/>
      <c r="N64" s="23">
        <v>0.4076388888888889</v>
      </c>
      <c r="O64" s="23"/>
      <c r="P64" s="117"/>
      <c r="Q64" s="117">
        <v>0.4</v>
      </c>
      <c r="R64" s="114"/>
      <c r="S64" s="114"/>
      <c r="T64" s="114"/>
      <c r="U64" s="117"/>
      <c r="V64" s="117"/>
      <c r="W64" s="117"/>
      <c r="X64" s="117"/>
      <c r="Y64" s="116"/>
      <c r="Z64" s="114"/>
      <c r="AA64" s="114"/>
      <c r="AB64" s="117">
        <v>0.41597222222222224</v>
      </c>
      <c r="AC64" s="117"/>
      <c r="AD64" s="117"/>
      <c r="AE64" s="114"/>
      <c r="AF64" s="117"/>
      <c r="AG64" s="117"/>
      <c r="AH64" s="114"/>
      <c r="AI64" s="26" t="s">
        <v>326</v>
      </c>
    </row>
    <row r="65">
      <c r="A65" s="32"/>
      <c r="B65" s="57">
        <v>64.0</v>
      </c>
      <c r="C65" s="60" t="s">
        <v>237</v>
      </c>
      <c r="D65" s="22">
        <f t="shared" si="2"/>
        <v>3.347222222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117"/>
      <c r="Q65" s="117"/>
      <c r="R65" s="117"/>
      <c r="S65" s="117"/>
      <c r="T65" s="117">
        <v>0.33402777777777776</v>
      </c>
      <c r="U65" s="117">
        <v>0.3402777777777778</v>
      </c>
      <c r="V65" s="117">
        <v>0.3368055555555556</v>
      </c>
      <c r="W65" s="117">
        <v>0.3138888888888889</v>
      </c>
      <c r="X65" s="117">
        <v>0.33541666666666664</v>
      </c>
      <c r="Y65" s="116">
        <v>0.3298611111111111</v>
      </c>
      <c r="Z65" s="117">
        <v>0.3277777777777778</v>
      </c>
      <c r="AA65" s="114"/>
      <c r="AB65" s="117">
        <v>0.33541666666666664</v>
      </c>
      <c r="AC65" s="117">
        <v>0.35208333333333336</v>
      </c>
      <c r="AD65" s="117"/>
      <c r="AE65" s="117">
        <v>0.3416666666666667</v>
      </c>
      <c r="AF65" s="117"/>
      <c r="AG65" s="114"/>
      <c r="AH65" s="114"/>
      <c r="AI65" s="26" t="s">
        <v>326</v>
      </c>
    </row>
    <row r="66">
      <c r="A66" s="15"/>
      <c r="B66" s="55">
        <v>65.0</v>
      </c>
      <c r="C66" s="60" t="s">
        <v>288</v>
      </c>
      <c r="D66" s="22">
        <f t="shared" si="2"/>
        <v>7.140972222</v>
      </c>
      <c r="E66" s="23">
        <v>0.34652777777777777</v>
      </c>
      <c r="F66" s="23">
        <v>0.34444444444444444</v>
      </c>
      <c r="G66" s="23"/>
      <c r="H66" s="26"/>
      <c r="I66" s="23">
        <v>0.34791666666666665</v>
      </c>
      <c r="J66" s="23">
        <v>0.33958333333333335</v>
      </c>
      <c r="K66" s="23">
        <v>0.3402777777777778</v>
      </c>
      <c r="L66" s="23"/>
      <c r="M66" s="23"/>
      <c r="N66" s="23">
        <v>0.34097222222222223</v>
      </c>
      <c r="O66" s="26"/>
      <c r="P66" s="117">
        <v>0.3375</v>
      </c>
      <c r="Q66" s="117">
        <v>0.3368055555555556</v>
      </c>
      <c r="R66" s="117">
        <v>0.36041666666666666</v>
      </c>
      <c r="S66" s="117">
        <v>0.3326388888888889</v>
      </c>
      <c r="T66" s="117">
        <v>0.3347222222222222</v>
      </c>
      <c r="U66" s="117"/>
      <c r="V66" s="114"/>
      <c r="W66" s="117">
        <v>0.33055555555555555</v>
      </c>
      <c r="X66" s="117">
        <v>0.3298611111111111</v>
      </c>
      <c r="Y66" s="127"/>
      <c r="Z66" s="117">
        <v>0.3388888888888889</v>
      </c>
      <c r="AA66" s="117">
        <v>0.3416666666666667</v>
      </c>
      <c r="AB66" s="117">
        <v>0.3368055555555556</v>
      </c>
      <c r="AC66" s="117">
        <v>0.33611111111111114</v>
      </c>
      <c r="AD66" s="117">
        <v>0.3368055555555556</v>
      </c>
      <c r="AE66" s="117">
        <v>0.34791666666666665</v>
      </c>
      <c r="AF66" s="117">
        <v>0.3388888888888889</v>
      </c>
      <c r="AG66" s="117">
        <v>0.3416666666666667</v>
      </c>
      <c r="AH66" s="117"/>
      <c r="AI66" s="26" t="s">
        <v>326</v>
      </c>
    </row>
  </sheetData>
  <mergeCells count="6">
    <mergeCell ref="A1:A2"/>
    <mergeCell ref="B1:B2"/>
    <mergeCell ref="C1:C2"/>
    <mergeCell ref="D1:D2"/>
    <mergeCell ref="A3:A50"/>
    <mergeCell ref="A51:A66"/>
  </mergeCells>
  <conditionalFormatting sqref="M6:AI6">
    <cfRule type="cellIs" dxfId="0" priority="1" operator="lessThan">
      <formula>"09:00:00"</formula>
    </cfRule>
  </conditionalFormatting>
  <conditionalFormatting sqref="D3:D66">
    <cfRule type="cellIs" dxfId="2" priority="2" operator="greaterThanOrEqual">
      <formula>"08:45:00"</formula>
    </cfRule>
  </conditionalFormatting>
  <conditionalFormatting sqref="D3:D66">
    <cfRule type="cellIs" dxfId="3" priority="3" operator="between">
      <formula>"08:44:00"</formula>
      <formula>"08:00:00"</formula>
    </cfRule>
  </conditionalFormatting>
  <conditionalFormatting sqref="D3:D66 M6:AI6">
    <cfRule type="cellIs" dxfId="4" priority="4" operator="between">
      <formula>"08:00:00"</formula>
      <formula>"07:00:00"</formula>
    </cfRule>
  </conditionalFormatting>
  <conditionalFormatting sqref="D3:D66 M6:AI6">
    <cfRule type="cellIs" dxfId="5" priority="5" operator="between">
      <formula>"07:00:00"</formula>
      <formula>"00:00:01"</formula>
    </cfRule>
  </conditionalFormatting>
  <conditionalFormatting sqref="D3:D66 M6:AI6">
    <cfRule type="containsText" dxfId="6" priority="6" operator="containsText" text="Leave">
      <formula>NOT(ISERROR(SEARCH(("Leave"),(D3))))</formula>
    </cfRule>
  </conditionalFormatting>
  <conditionalFormatting sqref="D3:D66 M6:AI6">
    <cfRule type="notContainsBlanks" dxfId="7" priority="7">
      <formula>LEN(TRIM(D3))&gt;0</formula>
    </cfRule>
  </conditionalFormatting>
  <conditionalFormatting sqref="E3:AI66">
    <cfRule type="notContainsText" dxfId="8" priority="8" operator="notContains" text="0">
      <formula>ISERROR(SEARCH(("0"),(E3)))</formula>
    </cfRule>
  </conditionalFormatting>
  <conditionalFormatting sqref="E3:AI66">
    <cfRule type="cellIs" dxfId="2" priority="9" operator="greaterThanOrEqual">
      <formula>"08:45:00"</formula>
    </cfRule>
  </conditionalFormatting>
  <conditionalFormatting sqref="E3:AI66">
    <cfRule type="cellIs" dxfId="3" priority="10" operator="between">
      <formula>"08:44:00"</formula>
      <formula>"08:00:00"</formula>
    </cfRule>
  </conditionalFormatting>
  <conditionalFormatting sqref="E3:AI66">
    <cfRule type="cellIs" dxfId="9" priority="11" operator="between">
      <formula>"07:59:00"</formula>
      <formula>"07:00:00"</formula>
    </cfRule>
  </conditionalFormatting>
  <conditionalFormatting sqref="E3:AI66">
    <cfRule type="cellIs" dxfId="5" priority="12" operator="between">
      <formula>"06:59:00"</formula>
      <formula>"00:00:01"</formula>
    </cfRule>
  </conditionalFormatting>
  <conditionalFormatting sqref="E3:AI66">
    <cfRule type="notContainsBlanks" dxfId="10" priority="13">
      <formula>LEN(TRIM(E3))&gt;0</formula>
    </cfRule>
  </conditionalFormatting>
  <conditionalFormatting sqref="E3:AI66">
    <cfRule type="containsText" dxfId="11" priority="14" operator="containsText" text="Leave">
      <formula>NOT(ISERROR(SEARCH(("Leave"),(E3))))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1.63"/>
  </cols>
  <sheetData>
    <row r="1">
      <c r="A1" s="67"/>
      <c r="B1" s="68"/>
      <c r="C1" s="69" t="s">
        <v>327</v>
      </c>
      <c r="D1" s="68"/>
      <c r="E1" s="68"/>
      <c r="F1" s="68"/>
      <c r="G1" s="68"/>
      <c r="H1" s="68"/>
      <c r="I1" s="68"/>
      <c r="J1" s="68"/>
      <c r="K1" s="70"/>
    </row>
    <row r="2">
      <c r="A2" s="72" t="s">
        <v>290</v>
      </c>
      <c r="B2" s="73" t="s">
        <v>2</v>
      </c>
      <c r="C2" s="73" t="s">
        <v>291</v>
      </c>
      <c r="D2" s="72" t="s">
        <v>292</v>
      </c>
      <c r="E2" s="72" t="s">
        <v>293</v>
      </c>
      <c r="F2" s="72" t="s">
        <v>294</v>
      </c>
      <c r="G2" s="74" t="s">
        <v>322</v>
      </c>
      <c r="H2" s="72" t="s">
        <v>296</v>
      </c>
      <c r="I2" s="75" t="s">
        <v>297</v>
      </c>
      <c r="J2" s="75" t="s">
        <v>298</v>
      </c>
      <c r="K2" s="76" t="s">
        <v>323</v>
      </c>
    </row>
    <row r="3">
      <c r="A3" s="80">
        <v>1.0</v>
      </c>
      <c r="B3" s="78" t="s">
        <v>174</v>
      </c>
      <c r="C3" s="79" t="s">
        <v>300</v>
      </c>
      <c r="D3" s="80"/>
      <c r="E3" s="81"/>
      <c r="F3" s="80"/>
      <c r="G3" s="82"/>
      <c r="H3" s="83"/>
      <c r="I3" s="84"/>
      <c r="J3" s="85"/>
      <c r="K3" s="82"/>
    </row>
    <row r="4">
      <c r="A4" s="79">
        <v>2.0</v>
      </c>
      <c r="B4" s="86" t="s">
        <v>222</v>
      </c>
      <c r="C4" s="79" t="s">
        <v>301</v>
      </c>
      <c r="D4" s="80">
        <v>19.0</v>
      </c>
      <c r="E4" s="82">
        <v>12.0</v>
      </c>
      <c r="F4" s="80">
        <v>4.0</v>
      </c>
      <c r="G4" s="82">
        <v>2.0</v>
      </c>
      <c r="H4" s="89">
        <v>4.25</v>
      </c>
      <c r="I4" s="84">
        <v>4.430555555555555</v>
      </c>
      <c r="J4" s="88">
        <f t="shared" ref="J4:J37" si="1">I4-H4</f>
        <v>0.1805555556</v>
      </c>
      <c r="K4" s="82">
        <v>10.0</v>
      </c>
    </row>
    <row r="5">
      <c r="A5" s="79">
        <v>3.0</v>
      </c>
      <c r="B5" s="86" t="s">
        <v>41</v>
      </c>
      <c r="C5" s="79" t="s">
        <v>301</v>
      </c>
      <c r="D5" s="80">
        <v>19.0</v>
      </c>
      <c r="E5" s="81">
        <f t="shared" ref="E5:E63" si="2">D5-K5</f>
        <v>19</v>
      </c>
      <c r="F5" s="80">
        <v>4.0</v>
      </c>
      <c r="G5" s="82">
        <v>4.0</v>
      </c>
      <c r="H5" s="89">
        <v>6.729166666666667</v>
      </c>
      <c r="I5" s="84">
        <v>6.3395833333333345</v>
      </c>
      <c r="J5" s="88">
        <f t="shared" si="1"/>
        <v>-0.3895833333</v>
      </c>
      <c r="K5" s="97">
        <v>0.0</v>
      </c>
    </row>
    <row r="6">
      <c r="A6" s="80">
        <v>4.0</v>
      </c>
      <c r="B6" s="86" t="s">
        <v>234</v>
      </c>
      <c r="C6" s="79" t="s">
        <v>301</v>
      </c>
      <c r="D6" s="80">
        <v>19.0</v>
      </c>
      <c r="E6" s="81">
        <f t="shared" si="2"/>
        <v>17</v>
      </c>
      <c r="F6" s="80">
        <v>4.0</v>
      </c>
      <c r="G6" s="82">
        <v>3.0</v>
      </c>
      <c r="H6" s="89">
        <v>6.729166666666667</v>
      </c>
      <c r="I6" s="84">
        <v>0.0</v>
      </c>
      <c r="J6" s="85">
        <f t="shared" si="1"/>
        <v>-6.729166667</v>
      </c>
      <c r="K6" s="82">
        <v>2.0</v>
      </c>
    </row>
    <row r="7">
      <c r="A7" s="79">
        <v>5.0</v>
      </c>
      <c r="B7" s="91" t="s">
        <v>201</v>
      </c>
      <c r="C7" s="79" t="s">
        <v>300</v>
      </c>
      <c r="D7" s="80">
        <v>19.0</v>
      </c>
      <c r="E7" s="81">
        <f t="shared" si="2"/>
        <v>18</v>
      </c>
      <c r="F7" s="80">
        <v>4.0</v>
      </c>
      <c r="G7" s="82">
        <v>3.0</v>
      </c>
      <c r="H7" s="89">
        <v>6.375</v>
      </c>
      <c r="I7" s="84">
        <v>6.390277777777778</v>
      </c>
      <c r="J7" s="85">
        <f t="shared" si="1"/>
        <v>0.01527777778</v>
      </c>
      <c r="K7" s="82">
        <v>1.0</v>
      </c>
    </row>
    <row r="8">
      <c r="A8" s="79">
        <v>6.0</v>
      </c>
      <c r="B8" s="93" t="s">
        <v>246</v>
      </c>
      <c r="C8" s="79" t="s">
        <v>300</v>
      </c>
      <c r="D8" s="80">
        <v>19.0</v>
      </c>
      <c r="E8" s="81">
        <f t="shared" si="2"/>
        <v>19</v>
      </c>
      <c r="F8" s="80">
        <v>4.0</v>
      </c>
      <c r="G8" s="82">
        <v>3.0</v>
      </c>
      <c r="H8" s="94">
        <v>6.729166666666667</v>
      </c>
      <c r="I8" s="84">
        <v>6.921527777777779</v>
      </c>
      <c r="J8" s="95">
        <f t="shared" si="1"/>
        <v>0.1923611111</v>
      </c>
      <c r="K8" s="97">
        <v>0.0</v>
      </c>
    </row>
    <row r="9">
      <c r="A9" s="80">
        <v>7.0</v>
      </c>
      <c r="B9" s="91" t="s">
        <v>231</v>
      </c>
      <c r="C9" s="79" t="s">
        <v>302</v>
      </c>
      <c r="D9" s="80">
        <v>19.0</v>
      </c>
      <c r="E9" s="81">
        <f t="shared" si="2"/>
        <v>18</v>
      </c>
      <c r="F9" s="80">
        <v>4.0</v>
      </c>
      <c r="G9" s="82">
        <v>2.0</v>
      </c>
      <c r="H9" s="89">
        <v>6.375</v>
      </c>
      <c r="I9" s="84">
        <v>6.5159722222222225</v>
      </c>
      <c r="J9" s="85">
        <f t="shared" si="1"/>
        <v>0.1409722222</v>
      </c>
      <c r="K9" s="82">
        <v>1.0</v>
      </c>
    </row>
    <row r="10">
      <c r="A10" s="79">
        <v>8.0</v>
      </c>
      <c r="B10" s="96" t="s">
        <v>147</v>
      </c>
      <c r="C10" s="79" t="s">
        <v>302</v>
      </c>
      <c r="D10" s="80">
        <v>19.0</v>
      </c>
      <c r="E10" s="81">
        <f t="shared" si="2"/>
        <v>19</v>
      </c>
      <c r="F10" s="80">
        <v>4.0</v>
      </c>
      <c r="G10" s="82">
        <v>0.0</v>
      </c>
      <c r="H10" s="89">
        <v>6.729166666666667</v>
      </c>
      <c r="I10" s="84">
        <v>7.1944444444444455</v>
      </c>
      <c r="J10" s="85">
        <f t="shared" si="1"/>
        <v>0.4652777778</v>
      </c>
      <c r="K10" s="97">
        <v>0.0</v>
      </c>
    </row>
    <row r="11">
      <c r="A11" s="79">
        <v>9.0</v>
      </c>
      <c r="B11" s="91" t="s">
        <v>177</v>
      </c>
      <c r="C11" s="79" t="s">
        <v>302</v>
      </c>
      <c r="D11" s="80">
        <v>19.0</v>
      </c>
      <c r="E11" s="81">
        <f t="shared" si="2"/>
        <v>19</v>
      </c>
      <c r="F11" s="80">
        <v>4.0</v>
      </c>
      <c r="G11" s="82">
        <v>6.0</v>
      </c>
      <c r="H11" s="89">
        <v>6.729166666666667</v>
      </c>
      <c r="I11" s="84">
        <v>6.888888888888888</v>
      </c>
      <c r="J11" s="88">
        <f t="shared" si="1"/>
        <v>0.1597222222</v>
      </c>
      <c r="K11" s="97">
        <v>0.0</v>
      </c>
    </row>
    <row r="12">
      <c r="A12" s="80">
        <v>10.0</v>
      </c>
      <c r="B12" s="98" t="s">
        <v>216</v>
      </c>
      <c r="C12" s="79" t="s">
        <v>302</v>
      </c>
      <c r="D12" s="80">
        <v>19.0</v>
      </c>
      <c r="E12" s="81">
        <f t="shared" si="2"/>
        <v>18</v>
      </c>
      <c r="F12" s="80">
        <v>4.0</v>
      </c>
      <c r="G12" s="82">
        <v>5.0</v>
      </c>
      <c r="H12" s="89">
        <v>6.375</v>
      </c>
      <c r="I12" s="84">
        <v>7.011805555555556</v>
      </c>
      <c r="J12" s="85">
        <f t="shared" si="1"/>
        <v>0.6368055556</v>
      </c>
      <c r="K12" s="82">
        <v>1.0</v>
      </c>
    </row>
    <row r="13">
      <c r="A13" s="79">
        <v>11.0</v>
      </c>
      <c r="B13" s="99" t="s">
        <v>138</v>
      </c>
      <c r="C13" s="79" t="s">
        <v>302</v>
      </c>
      <c r="D13" s="80">
        <v>19.0</v>
      </c>
      <c r="E13" s="81">
        <f t="shared" si="2"/>
        <v>19</v>
      </c>
      <c r="F13" s="80">
        <v>4.0</v>
      </c>
      <c r="G13" s="82">
        <v>4.0</v>
      </c>
      <c r="H13" s="89">
        <v>6.729166666666667</v>
      </c>
      <c r="I13" s="84">
        <v>6.309027777777778</v>
      </c>
      <c r="J13" s="85">
        <f t="shared" si="1"/>
        <v>-0.4201388889</v>
      </c>
      <c r="K13" s="97">
        <v>0.0</v>
      </c>
    </row>
    <row r="14">
      <c r="A14" s="79">
        <v>12.0</v>
      </c>
      <c r="B14" s="93" t="s">
        <v>228</v>
      </c>
      <c r="C14" s="79" t="s">
        <v>301</v>
      </c>
      <c r="D14" s="80">
        <v>19.0</v>
      </c>
      <c r="E14" s="81">
        <f t="shared" si="2"/>
        <v>16</v>
      </c>
      <c r="F14" s="80">
        <v>4.0</v>
      </c>
      <c r="G14" s="82">
        <v>5.0</v>
      </c>
      <c r="H14" s="89">
        <v>5.666666666666667</v>
      </c>
      <c r="I14" s="84">
        <v>5.557638888888889</v>
      </c>
      <c r="J14" s="85">
        <f t="shared" si="1"/>
        <v>-0.1090277778</v>
      </c>
      <c r="K14" s="82">
        <v>3.0</v>
      </c>
    </row>
    <row r="15">
      <c r="A15" s="80">
        <v>13.0</v>
      </c>
      <c r="B15" s="93" t="s">
        <v>273</v>
      </c>
      <c r="C15" s="79" t="s">
        <v>303</v>
      </c>
      <c r="D15" s="80">
        <v>19.0</v>
      </c>
      <c r="E15" s="81">
        <f t="shared" si="2"/>
        <v>19</v>
      </c>
      <c r="F15" s="80">
        <v>4.0</v>
      </c>
      <c r="G15" s="82">
        <v>4.0</v>
      </c>
      <c r="H15" s="89">
        <v>6.729166666666667</v>
      </c>
      <c r="I15" s="84">
        <v>6.863194444444445</v>
      </c>
      <c r="J15" s="85">
        <f t="shared" si="1"/>
        <v>0.1340277778</v>
      </c>
      <c r="K15" s="97">
        <v>0.0</v>
      </c>
    </row>
    <row r="16">
      <c r="A16" s="79">
        <v>14.0</v>
      </c>
      <c r="B16" s="93" t="s">
        <v>254</v>
      </c>
      <c r="C16" s="80" t="s">
        <v>303</v>
      </c>
      <c r="D16" s="80">
        <v>19.0</v>
      </c>
      <c r="E16" s="81">
        <f t="shared" si="2"/>
        <v>18</v>
      </c>
      <c r="F16" s="80">
        <v>4.0</v>
      </c>
      <c r="G16" s="82">
        <v>5.0</v>
      </c>
      <c r="H16" s="89">
        <v>6.375</v>
      </c>
      <c r="I16" s="84">
        <v>6.263888888888889</v>
      </c>
      <c r="J16" s="85">
        <f t="shared" si="1"/>
        <v>-0.1111111111</v>
      </c>
      <c r="K16" s="82">
        <v>1.0</v>
      </c>
    </row>
    <row r="17">
      <c r="A17" s="79">
        <v>15.0</v>
      </c>
      <c r="B17" s="93" t="s">
        <v>213</v>
      </c>
      <c r="C17" s="79" t="s">
        <v>304</v>
      </c>
      <c r="D17" s="80">
        <v>19.0</v>
      </c>
      <c r="E17" s="81">
        <f t="shared" si="2"/>
        <v>17</v>
      </c>
      <c r="F17" s="80">
        <v>4.0</v>
      </c>
      <c r="G17" s="82">
        <v>5.0</v>
      </c>
      <c r="H17" s="94">
        <v>6.020833333333333</v>
      </c>
      <c r="I17" s="84">
        <v>6.699305555555556</v>
      </c>
      <c r="J17" s="85">
        <f t="shared" si="1"/>
        <v>0.6784722222</v>
      </c>
      <c r="K17" s="82">
        <v>2.0</v>
      </c>
    </row>
    <row r="18">
      <c r="A18" s="80">
        <v>16.0</v>
      </c>
      <c r="B18" s="100" t="s">
        <v>54</v>
      </c>
      <c r="C18" s="79" t="s">
        <v>304</v>
      </c>
      <c r="D18" s="80">
        <v>19.0</v>
      </c>
      <c r="E18" s="81">
        <f t="shared" si="2"/>
        <v>16</v>
      </c>
      <c r="F18" s="80">
        <v>4.0</v>
      </c>
      <c r="G18" s="82">
        <v>9.0</v>
      </c>
      <c r="H18" s="94">
        <v>5.666666666666667</v>
      </c>
      <c r="I18" s="84">
        <v>5.377083333333334</v>
      </c>
      <c r="J18" s="88">
        <f t="shared" si="1"/>
        <v>-0.2895833333</v>
      </c>
      <c r="K18" s="82">
        <v>3.0</v>
      </c>
    </row>
    <row r="19">
      <c r="A19" s="79">
        <v>17.0</v>
      </c>
      <c r="B19" s="100" t="s">
        <v>159</v>
      </c>
      <c r="C19" s="79" t="s">
        <v>301</v>
      </c>
      <c r="D19" s="80">
        <v>19.0</v>
      </c>
      <c r="E19" s="81">
        <f t="shared" si="2"/>
        <v>17</v>
      </c>
      <c r="F19" s="80">
        <v>4.0</v>
      </c>
      <c r="G19" s="82">
        <v>5.0</v>
      </c>
      <c r="H19" s="89">
        <v>6.020833333333333</v>
      </c>
      <c r="I19" s="84">
        <v>6.4222222222222225</v>
      </c>
      <c r="J19" s="85">
        <f t="shared" si="1"/>
        <v>0.4013888889</v>
      </c>
      <c r="K19" s="82">
        <v>2.0</v>
      </c>
    </row>
    <row r="20">
      <c r="A20" s="79">
        <v>18.0</v>
      </c>
      <c r="B20" s="93" t="s">
        <v>156</v>
      </c>
      <c r="C20" s="79" t="s">
        <v>301</v>
      </c>
      <c r="D20" s="80">
        <v>19.0</v>
      </c>
      <c r="E20" s="81">
        <f t="shared" si="2"/>
        <v>19</v>
      </c>
      <c r="F20" s="80">
        <v>4.0</v>
      </c>
      <c r="G20" s="82">
        <v>3.0</v>
      </c>
      <c r="H20" s="94">
        <v>6.729166666666667</v>
      </c>
      <c r="I20" s="84">
        <v>6.954861111111112</v>
      </c>
      <c r="J20" s="88">
        <f t="shared" si="1"/>
        <v>0.2256944444</v>
      </c>
      <c r="K20" s="97">
        <v>0.0</v>
      </c>
    </row>
    <row r="21">
      <c r="A21" s="80">
        <v>19.0</v>
      </c>
      <c r="B21" s="101" t="s">
        <v>275</v>
      </c>
      <c r="C21" s="79" t="s">
        <v>301</v>
      </c>
      <c r="D21" s="80">
        <v>19.0</v>
      </c>
      <c r="E21" s="81">
        <f t="shared" si="2"/>
        <v>18</v>
      </c>
      <c r="F21" s="80">
        <v>4.0</v>
      </c>
      <c r="G21" s="82">
        <v>2.0</v>
      </c>
      <c r="H21" s="94">
        <v>6.375</v>
      </c>
      <c r="I21" s="84">
        <v>6.220833333333334</v>
      </c>
      <c r="J21" s="85">
        <f t="shared" si="1"/>
        <v>-0.1541666667</v>
      </c>
      <c r="K21" s="82">
        <v>1.0</v>
      </c>
    </row>
    <row r="22">
      <c r="A22" s="79">
        <v>20.0</v>
      </c>
      <c r="B22" s="86" t="s">
        <v>57</v>
      </c>
      <c r="C22" s="79" t="s">
        <v>303</v>
      </c>
      <c r="D22" s="80">
        <v>19.0</v>
      </c>
      <c r="E22" s="81">
        <f t="shared" si="2"/>
        <v>19</v>
      </c>
      <c r="F22" s="80">
        <v>4.0</v>
      </c>
      <c r="G22" s="82">
        <v>6.0</v>
      </c>
      <c r="H22" s="89">
        <v>6.729166666666667</v>
      </c>
      <c r="I22" s="84">
        <v>6.242361111111111</v>
      </c>
      <c r="J22" s="88">
        <f t="shared" si="1"/>
        <v>-0.4868055556</v>
      </c>
      <c r="K22" s="97">
        <v>0.0</v>
      </c>
    </row>
    <row r="23">
      <c r="A23" s="79">
        <v>21.0</v>
      </c>
      <c r="B23" s="93" t="s">
        <v>51</v>
      </c>
      <c r="C23" s="79" t="s">
        <v>302</v>
      </c>
      <c r="D23" s="80">
        <v>19.0</v>
      </c>
      <c r="E23" s="81">
        <f t="shared" si="2"/>
        <v>17</v>
      </c>
      <c r="F23" s="80">
        <v>4.0</v>
      </c>
      <c r="G23" s="82">
        <v>6.0</v>
      </c>
      <c r="H23" s="89">
        <v>6.020833333333333</v>
      </c>
      <c r="I23" s="84">
        <v>7.1708333333333325</v>
      </c>
      <c r="J23" s="85">
        <f t="shared" si="1"/>
        <v>1.15</v>
      </c>
      <c r="K23" s="82">
        <v>2.0</v>
      </c>
    </row>
    <row r="24">
      <c r="A24" s="80">
        <v>22.0</v>
      </c>
      <c r="B24" s="91" t="s">
        <v>78</v>
      </c>
      <c r="C24" s="79" t="s">
        <v>303</v>
      </c>
      <c r="D24" s="80">
        <v>19.0</v>
      </c>
      <c r="E24" s="81">
        <f t="shared" si="2"/>
        <v>18</v>
      </c>
      <c r="F24" s="80">
        <v>4.0</v>
      </c>
      <c r="G24" s="82">
        <v>9.0</v>
      </c>
      <c r="H24" s="89">
        <v>6.375</v>
      </c>
      <c r="I24" s="84">
        <v>6.5888888888888895</v>
      </c>
      <c r="J24" s="85">
        <f t="shared" si="1"/>
        <v>0.2138888889</v>
      </c>
      <c r="K24" s="82">
        <v>1.0</v>
      </c>
    </row>
    <row r="25">
      <c r="A25" s="79">
        <v>23.0</v>
      </c>
      <c r="B25" s="100" t="s">
        <v>132</v>
      </c>
      <c r="C25" s="79" t="s">
        <v>303</v>
      </c>
      <c r="D25" s="80">
        <v>19.0</v>
      </c>
      <c r="E25" s="81">
        <f t="shared" si="2"/>
        <v>18</v>
      </c>
      <c r="F25" s="80">
        <v>4.0</v>
      </c>
      <c r="G25" s="82">
        <v>3.0</v>
      </c>
      <c r="H25" s="89">
        <v>6.375</v>
      </c>
      <c r="I25" s="84">
        <v>7.4125</v>
      </c>
      <c r="J25" s="85">
        <f t="shared" si="1"/>
        <v>1.0375</v>
      </c>
      <c r="K25" s="82">
        <v>1.0</v>
      </c>
    </row>
    <row r="26">
      <c r="A26" s="79">
        <v>24.0</v>
      </c>
      <c r="B26" s="86" t="s">
        <v>87</v>
      </c>
      <c r="C26" s="79" t="s">
        <v>303</v>
      </c>
      <c r="D26" s="80">
        <v>19.0</v>
      </c>
      <c r="E26" s="81">
        <f t="shared" si="2"/>
        <v>19</v>
      </c>
      <c r="F26" s="80">
        <v>4.0</v>
      </c>
      <c r="G26" s="82">
        <v>5.0</v>
      </c>
      <c r="H26" s="89">
        <v>6.729166666666667</v>
      </c>
      <c r="I26" s="84">
        <v>6.424305555555554</v>
      </c>
      <c r="J26" s="85">
        <f t="shared" si="1"/>
        <v>-0.3048611111</v>
      </c>
      <c r="K26" s="97">
        <v>0.0</v>
      </c>
    </row>
    <row r="27">
      <c r="A27" s="80">
        <v>25.0</v>
      </c>
      <c r="B27" s="91" t="s">
        <v>99</v>
      </c>
      <c r="C27" s="79" t="s">
        <v>303</v>
      </c>
      <c r="D27" s="80">
        <v>19.0</v>
      </c>
      <c r="E27" s="81">
        <f t="shared" si="2"/>
        <v>18</v>
      </c>
      <c r="F27" s="80">
        <v>4.0</v>
      </c>
      <c r="G27" s="82">
        <v>6.0</v>
      </c>
      <c r="H27" s="89">
        <v>6.375</v>
      </c>
      <c r="I27" s="84">
        <v>5.839583333333333</v>
      </c>
      <c r="J27" s="85">
        <f t="shared" si="1"/>
        <v>-0.5354166667</v>
      </c>
      <c r="K27" s="82">
        <v>1.0</v>
      </c>
    </row>
    <row r="28">
      <c r="A28" s="79">
        <v>26.0</v>
      </c>
      <c r="B28" s="91" t="s">
        <v>93</v>
      </c>
      <c r="C28" s="79" t="s">
        <v>305</v>
      </c>
      <c r="D28" s="80">
        <v>19.0</v>
      </c>
      <c r="E28" s="81">
        <f t="shared" si="2"/>
        <v>19</v>
      </c>
      <c r="F28" s="80">
        <v>4.0</v>
      </c>
      <c r="G28" s="82">
        <v>3.0</v>
      </c>
      <c r="H28" s="89">
        <v>6.729166666666667</v>
      </c>
      <c r="I28" s="84">
        <v>7.931944444444444</v>
      </c>
      <c r="J28" s="85">
        <f t="shared" si="1"/>
        <v>1.202777778</v>
      </c>
      <c r="K28" s="97">
        <v>0.0</v>
      </c>
    </row>
    <row r="29">
      <c r="A29" s="79">
        <v>27.0</v>
      </c>
      <c r="B29" s="100" t="s">
        <v>135</v>
      </c>
      <c r="C29" s="79" t="s">
        <v>303</v>
      </c>
      <c r="D29" s="80">
        <v>19.0</v>
      </c>
      <c r="E29" s="81">
        <f t="shared" si="2"/>
        <v>18</v>
      </c>
      <c r="F29" s="80">
        <v>4.0</v>
      </c>
      <c r="G29" s="82">
        <v>5.0</v>
      </c>
      <c r="H29" s="89">
        <v>6.375</v>
      </c>
      <c r="I29" s="84">
        <v>7.033333333333333</v>
      </c>
      <c r="J29" s="85">
        <f t="shared" si="1"/>
        <v>0.6583333333</v>
      </c>
      <c r="K29" s="82">
        <v>1.0</v>
      </c>
    </row>
    <row r="30">
      <c r="A30" s="80">
        <v>28.0</v>
      </c>
      <c r="B30" s="86" t="s">
        <v>183</v>
      </c>
      <c r="C30" s="79" t="s">
        <v>303</v>
      </c>
      <c r="D30" s="80">
        <v>19.0</v>
      </c>
      <c r="E30" s="81">
        <f t="shared" si="2"/>
        <v>18</v>
      </c>
      <c r="F30" s="80">
        <v>4.0</v>
      </c>
      <c r="G30" s="82">
        <v>4.0</v>
      </c>
      <c r="H30" s="89">
        <v>6.375</v>
      </c>
      <c r="I30" s="84">
        <v>7.355555555555555</v>
      </c>
      <c r="J30" s="85">
        <f t="shared" si="1"/>
        <v>0.9805555556</v>
      </c>
      <c r="K30" s="82">
        <v>1.0</v>
      </c>
    </row>
    <row r="31">
      <c r="A31" s="79">
        <v>29.0</v>
      </c>
      <c r="B31" s="91" t="s">
        <v>186</v>
      </c>
      <c r="C31" s="79" t="s">
        <v>303</v>
      </c>
      <c r="D31" s="80">
        <v>19.0</v>
      </c>
      <c r="E31" s="81">
        <f t="shared" si="2"/>
        <v>17</v>
      </c>
      <c r="F31" s="80">
        <v>4.0</v>
      </c>
      <c r="G31" s="82">
        <v>14.0</v>
      </c>
      <c r="H31" s="89">
        <v>6.020833333333333</v>
      </c>
      <c r="I31" s="84">
        <v>5.877083333333333</v>
      </c>
      <c r="J31" s="85">
        <f t="shared" si="1"/>
        <v>-0.14375</v>
      </c>
      <c r="K31" s="82">
        <v>2.0</v>
      </c>
    </row>
    <row r="32">
      <c r="A32" s="79">
        <v>30.0</v>
      </c>
      <c r="B32" s="86" t="s">
        <v>141</v>
      </c>
      <c r="C32" s="79" t="s">
        <v>303</v>
      </c>
      <c r="D32" s="80">
        <v>19.0</v>
      </c>
      <c r="E32" s="81">
        <f t="shared" si="2"/>
        <v>18</v>
      </c>
      <c r="F32" s="80">
        <v>4.0</v>
      </c>
      <c r="G32" s="82">
        <v>5.0</v>
      </c>
      <c r="H32" s="89">
        <v>6.375</v>
      </c>
      <c r="I32" s="84">
        <v>6.522916666666666</v>
      </c>
      <c r="J32" s="85">
        <f t="shared" si="1"/>
        <v>0.1479166667</v>
      </c>
      <c r="K32" s="82">
        <v>1.0</v>
      </c>
    </row>
    <row r="33">
      <c r="A33" s="80">
        <v>31.0</v>
      </c>
      <c r="B33" s="86" t="s">
        <v>207</v>
      </c>
      <c r="C33" s="79" t="s">
        <v>300</v>
      </c>
      <c r="D33" s="80">
        <v>19.0</v>
      </c>
      <c r="E33" s="81">
        <f t="shared" si="2"/>
        <v>18</v>
      </c>
      <c r="F33" s="80">
        <v>4.0</v>
      </c>
      <c r="G33" s="82">
        <v>5.0</v>
      </c>
      <c r="H33" s="89">
        <v>6.375</v>
      </c>
      <c r="I33" s="84">
        <v>6.35625</v>
      </c>
      <c r="J33" s="85">
        <f t="shared" si="1"/>
        <v>-0.01875</v>
      </c>
      <c r="K33" s="82">
        <v>1.0</v>
      </c>
    </row>
    <row r="34">
      <c r="A34" s="79">
        <v>32.0</v>
      </c>
      <c r="B34" s="86" t="s">
        <v>60</v>
      </c>
      <c r="C34" s="79" t="s">
        <v>303</v>
      </c>
      <c r="D34" s="80">
        <v>19.0</v>
      </c>
      <c r="E34" s="81">
        <f t="shared" si="2"/>
        <v>17</v>
      </c>
      <c r="F34" s="80">
        <v>4.0</v>
      </c>
      <c r="G34" s="82">
        <v>3.0</v>
      </c>
      <c r="H34" s="89">
        <v>6.020833333333333</v>
      </c>
      <c r="I34" s="84">
        <v>6.129166666666666</v>
      </c>
      <c r="J34" s="85">
        <f t="shared" si="1"/>
        <v>0.1083333333</v>
      </c>
      <c r="K34" s="82">
        <v>2.0</v>
      </c>
    </row>
    <row r="35">
      <c r="A35" s="79">
        <v>33.0</v>
      </c>
      <c r="B35" s="86" t="s">
        <v>249</v>
      </c>
      <c r="C35" s="79" t="s">
        <v>302</v>
      </c>
      <c r="D35" s="80">
        <v>19.0</v>
      </c>
      <c r="E35" s="81">
        <f t="shared" si="2"/>
        <v>19</v>
      </c>
      <c r="F35" s="80">
        <v>4.0</v>
      </c>
      <c r="G35" s="82">
        <v>1.0</v>
      </c>
      <c r="H35" s="89">
        <v>6.729166666666667</v>
      </c>
      <c r="I35" s="84">
        <v>6.869444444444444</v>
      </c>
      <c r="J35" s="85">
        <f t="shared" si="1"/>
        <v>0.1402777778</v>
      </c>
      <c r="K35" s="97">
        <v>0.0</v>
      </c>
    </row>
    <row r="36">
      <c r="A36" s="80">
        <v>34.0</v>
      </c>
      <c r="B36" s="86" t="s">
        <v>72</v>
      </c>
      <c r="C36" s="79" t="s">
        <v>300</v>
      </c>
      <c r="D36" s="80">
        <v>19.0</v>
      </c>
      <c r="E36" s="81">
        <f t="shared" si="2"/>
        <v>18</v>
      </c>
      <c r="F36" s="80">
        <v>4.0</v>
      </c>
      <c r="G36" s="82">
        <v>2.0</v>
      </c>
      <c r="H36" s="94">
        <v>6.375</v>
      </c>
      <c r="I36" s="84">
        <v>7.278472222222222</v>
      </c>
      <c r="J36" s="95">
        <f t="shared" si="1"/>
        <v>0.9034722222</v>
      </c>
      <c r="K36" s="82">
        <v>1.0</v>
      </c>
    </row>
    <row r="37">
      <c r="A37" s="79">
        <v>35.0</v>
      </c>
      <c r="B37" s="100" t="s">
        <v>204</v>
      </c>
      <c r="C37" s="79" t="s">
        <v>300</v>
      </c>
      <c r="D37" s="80">
        <v>19.0</v>
      </c>
      <c r="E37" s="81">
        <f t="shared" si="2"/>
        <v>18</v>
      </c>
      <c r="F37" s="80">
        <v>4.0</v>
      </c>
      <c r="G37" s="82">
        <v>5.0</v>
      </c>
      <c r="H37" s="89">
        <v>6.375</v>
      </c>
      <c r="I37" s="84">
        <v>6.448611111111109</v>
      </c>
      <c r="J37" s="85">
        <f t="shared" si="1"/>
        <v>0.07361111111</v>
      </c>
      <c r="K37" s="82">
        <v>1.0</v>
      </c>
    </row>
    <row r="38">
      <c r="A38" s="79">
        <v>36.0</v>
      </c>
      <c r="B38" s="100" t="s">
        <v>48</v>
      </c>
      <c r="C38" s="79" t="s">
        <v>300</v>
      </c>
      <c r="D38" s="80">
        <v>19.0</v>
      </c>
      <c r="E38" s="81">
        <f t="shared" si="2"/>
        <v>19</v>
      </c>
      <c r="F38" s="80">
        <v>4.0</v>
      </c>
      <c r="G38" s="82"/>
      <c r="H38" s="89">
        <v>6.729166666666667</v>
      </c>
      <c r="I38" s="84">
        <v>1.797222222222222</v>
      </c>
      <c r="J38" s="88"/>
      <c r="K38" s="97"/>
    </row>
    <row r="39">
      <c r="A39" s="80">
        <v>37.0</v>
      </c>
      <c r="B39" s="91" t="s">
        <v>279</v>
      </c>
      <c r="C39" s="79" t="s">
        <v>300</v>
      </c>
      <c r="D39" s="80">
        <v>19.0</v>
      </c>
      <c r="E39" s="81">
        <f t="shared" si="2"/>
        <v>18</v>
      </c>
      <c r="F39" s="80">
        <v>4.0</v>
      </c>
      <c r="G39" s="82">
        <v>5.0</v>
      </c>
      <c r="H39" s="89">
        <v>6.375</v>
      </c>
      <c r="I39" s="84">
        <v>6.097222222222222</v>
      </c>
      <c r="J39" s="85">
        <f t="shared" ref="J39:J63" si="3">I39-H39</f>
        <v>-0.2777777778</v>
      </c>
      <c r="K39" s="97">
        <v>1.0</v>
      </c>
    </row>
    <row r="40">
      <c r="A40" s="79">
        <v>38.0</v>
      </c>
      <c r="B40" s="86" t="s">
        <v>14</v>
      </c>
      <c r="C40" s="79" t="s">
        <v>300</v>
      </c>
      <c r="D40" s="80">
        <v>19.0</v>
      </c>
      <c r="E40" s="81">
        <f t="shared" si="2"/>
        <v>16</v>
      </c>
      <c r="F40" s="80">
        <v>4.0</v>
      </c>
      <c r="G40" s="82">
        <v>7.0</v>
      </c>
      <c r="H40" s="89">
        <v>5.666666666666667</v>
      </c>
      <c r="I40" s="84">
        <v>5.943749999999999</v>
      </c>
      <c r="J40" s="85">
        <f t="shared" si="3"/>
        <v>0.2770833333</v>
      </c>
      <c r="K40" s="82">
        <v>3.0</v>
      </c>
    </row>
    <row r="41">
      <c r="A41" s="79">
        <v>39.0</v>
      </c>
      <c r="B41" s="107" t="s">
        <v>81</v>
      </c>
      <c r="C41" s="79" t="s">
        <v>300</v>
      </c>
      <c r="D41" s="80">
        <v>19.0</v>
      </c>
      <c r="E41" s="81">
        <f t="shared" si="2"/>
        <v>19</v>
      </c>
      <c r="F41" s="80">
        <v>4.0</v>
      </c>
      <c r="G41" s="82">
        <v>3.0</v>
      </c>
      <c r="H41" s="89">
        <v>6.729166666666667</v>
      </c>
      <c r="I41" s="84">
        <v>7.4534722222222225</v>
      </c>
      <c r="J41" s="85">
        <f t="shared" si="3"/>
        <v>0.7243055556</v>
      </c>
      <c r="K41" s="97">
        <v>0.0</v>
      </c>
    </row>
    <row r="42">
      <c r="A42" s="80">
        <v>40.0</v>
      </c>
      <c r="B42" s="100" t="s">
        <v>153</v>
      </c>
      <c r="C42" s="79" t="s">
        <v>300</v>
      </c>
      <c r="D42" s="80">
        <v>19.0</v>
      </c>
      <c r="E42" s="81">
        <f t="shared" si="2"/>
        <v>17</v>
      </c>
      <c r="F42" s="80">
        <v>4.0</v>
      </c>
      <c r="G42" s="82">
        <v>5.0</v>
      </c>
      <c r="H42" s="89">
        <v>6.020833333333333</v>
      </c>
      <c r="I42" s="84">
        <v>6.247916666666667</v>
      </c>
      <c r="J42" s="85">
        <f t="shared" si="3"/>
        <v>0.2270833333</v>
      </c>
      <c r="K42" s="82">
        <v>2.0</v>
      </c>
    </row>
    <row r="43">
      <c r="A43" s="79">
        <v>41.0</v>
      </c>
      <c r="B43" s="91" t="s">
        <v>198</v>
      </c>
      <c r="C43" s="79" t="s">
        <v>301</v>
      </c>
      <c r="D43" s="80">
        <v>19.0</v>
      </c>
      <c r="E43" s="81">
        <f t="shared" si="2"/>
        <v>18</v>
      </c>
      <c r="F43" s="80">
        <v>4.0</v>
      </c>
      <c r="G43" s="82">
        <v>7.0</v>
      </c>
      <c r="H43" s="89">
        <v>6.375</v>
      </c>
      <c r="I43" s="84">
        <v>6.482638888888889</v>
      </c>
      <c r="J43" s="85">
        <f t="shared" si="3"/>
        <v>0.1076388889</v>
      </c>
      <c r="K43" s="82">
        <v>1.0</v>
      </c>
    </row>
    <row r="44">
      <c r="A44" s="79">
        <v>42.0</v>
      </c>
      <c r="B44" s="86" t="s">
        <v>105</v>
      </c>
      <c r="C44" s="79" t="s">
        <v>301</v>
      </c>
      <c r="D44" s="80">
        <v>19.0</v>
      </c>
      <c r="E44" s="81">
        <f t="shared" si="2"/>
        <v>18</v>
      </c>
      <c r="F44" s="80">
        <v>4.0</v>
      </c>
      <c r="G44" s="82">
        <v>4.0</v>
      </c>
      <c r="H44" s="89">
        <v>6.375</v>
      </c>
      <c r="I44" s="84">
        <v>5.852083333333334</v>
      </c>
      <c r="J44" s="85">
        <f t="shared" si="3"/>
        <v>-0.5229166667</v>
      </c>
      <c r="K44" s="82">
        <v>1.0</v>
      </c>
    </row>
    <row r="45">
      <c r="A45" s="80">
        <v>43.0</v>
      </c>
      <c r="B45" s="93" t="s">
        <v>29</v>
      </c>
      <c r="C45" s="79" t="s">
        <v>301</v>
      </c>
      <c r="D45" s="80">
        <v>19.0</v>
      </c>
      <c r="E45" s="81">
        <f t="shared" si="2"/>
        <v>19</v>
      </c>
      <c r="F45" s="80">
        <v>4.0</v>
      </c>
      <c r="G45" s="82">
        <v>14.0</v>
      </c>
      <c r="H45" s="89">
        <v>6.729166666666667</v>
      </c>
      <c r="I45" s="84">
        <v>6.152777777777777</v>
      </c>
      <c r="J45" s="85">
        <f t="shared" si="3"/>
        <v>-0.5763888889</v>
      </c>
      <c r="K45" s="97">
        <v>0.0</v>
      </c>
    </row>
    <row r="46">
      <c r="A46" s="79">
        <v>44.0</v>
      </c>
      <c r="B46" s="93" t="s">
        <v>324</v>
      </c>
      <c r="C46" s="80" t="s">
        <v>301</v>
      </c>
      <c r="D46" s="80">
        <v>15.0</v>
      </c>
      <c r="E46" s="81">
        <f t="shared" si="2"/>
        <v>14</v>
      </c>
      <c r="F46" s="80">
        <v>3.0</v>
      </c>
      <c r="G46" s="82">
        <v>2.0</v>
      </c>
      <c r="H46" s="89">
        <v>4.958333333333333</v>
      </c>
      <c r="I46" s="84">
        <v>4.607638888888889</v>
      </c>
      <c r="J46" s="85">
        <f t="shared" si="3"/>
        <v>-0.3506944444</v>
      </c>
      <c r="K46" s="82">
        <v>1.0</v>
      </c>
    </row>
    <row r="47">
      <c r="A47" s="79">
        <v>45.0</v>
      </c>
      <c r="B47" s="86" t="s">
        <v>26</v>
      </c>
      <c r="C47" s="79" t="s">
        <v>305</v>
      </c>
      <c r="D47" s="80">
        <v>19.0</v>
      </c>
      <c r="E47" s="81">
        <f t="shared" si="2"/>
        <v>18</v>
      </c>
      <c r="F47" s="80">
        <v>4.0</v>
      </c>
      <c r="G47" s="82">
        <v>4.0</v>
      </c>
      <c r="H47" s="89">
        <v>6.375</v>
      </c>
      <c r="I47" s="84">
        <v>9.005555555555556</v>
      </c>
      <c r="J47" s="85">
        <f t="shared" si="3"/>
        <v>2.630555556</v>
      </c>
      <c r="K47" s="82">
        <v>1.0</v>
      </c>
    </row>
    <row r="48">
      <c r="A48" s="80">
        <v>46.0</v>
      </c>
      <c r="B48" s="86" t="s">
        <v>23</v>
      </c>
      <c r="C48" s="79" t="s">
        <v>301</v>
      </c>
      <c r="D48" s="80">
        <v>19.0</v>
      </c>
      <c r="E48" s="81">
        <f t="shared" si="2"/>
        <v>17</v>
      </c>
      <c r="F48" s="80">
        <v>4.0</v>
      </c>
      <c r="G48" s="82">
        <v>2.0</v>
      </c>
      <c r="H48" s="89">
        <v>6.020833333333333</v>
      </c>
      <c r="I48" s="84">
        <v>4.801388888888888</v>
      </c>
      <c r="J48" s="85">
        <f t="shared" si="3"/>
        <v>-1.219444444</v>
      </c>
      <c r="K48" s="82">
        <v>2.0</v>
      </c>
    </row>
    <row r="49">
      <c r="A49" s="79">
        <v>47.0</v>
      </c>
      <c r="B49" s="107" t="s">
        <v>17</v>
      </c>
      <c r="C49" s="79" t="s">
        <v>300</v>
      </c>
      <c r="D49" s="80">
        <v>19.0</v>
      </c>
      <c r="E49" s="81">
        <f t="shared" si="2"/>
        <v>17</v>
      </c>
      <c r="F49" s="80">
        <v>4.0</v>
      </c>
      <c r="G49" s="82">
        <v>5.0</v>
      </c>
      <c r="H49" s="89">
        <v>6.020833333333333</v>
      </c>
      <c r="I49" s="84">
        <v>6.356944444444443</v>
      </c>
      <c r="J49" s="85">
        <f t="shared" si="3"/>
        <v>0.3361111111</v>
      </c>
      <c r="K49" s="82">
        <v>2.0</v>
      </c>
    </row>
    <row r="50">
      <c r="A50" s="79">
        <v>48.0</v>
      </c>
      <c r="B50" s="100" t="s">
        <v>150</v>
      </c>
      <c r="C50" s="79" t="s">
        <v>300</v>
      </c>
      <c r="D50" s="80">
        <v>19.0</v>
      </c>
      <c r="E50" s="81">
        <f t="shared" si="2"/>
        <v>19</v>
      </c>
      <c r="F50" s="80">
        <v>4.0</v>
      </c>
      <c r="G50" s="82">
        <v>4.0</v>
      </c>
      <c r="H50" s="89">
        <v>6.729166666666667</v>
      </c>
      <c r="I50" s="84">
        <v>7.457638888888887</v>
      </c>
      <c r="J50" s="88">
        <f t="shared" si="3"/>
        <v>0.7284722222</v>
      </c>
      <c r="K50" s="97">
        <v>0.0</v>
      </c>
    </row>
    <row r="51">
      <c r="A51" s="80">
        <v>49.0</v>
      </c>
      <c r="B51" s="86" t="s">
        <v>32</v>
      </c>
      <c r="C51" s="79" t="s">
        <v>300</v>
      </c>
      <c r="D51" s="80">
        <v>19.0</v>
      </c>
      <c r="E51" s="81">
        <f t="shared" si="2"/>
        <v>19</v>
      </c>
      <c r="F51" s="80">
        <v>4.0</v>
      </c>
      <c r="G51" s="82">
        <v>7.0</v>
      </c>
      <c r="H51" s="89">
        <v>6.729166666666667</v>
      </c>
      <c r="I51" s="84">
        <v>6.149999999999999</v>
      </c>
      <c r="J51" s="85">
        <f t="shared" si="3"/>
        <v>-0.5791666667</v>
      </c>
      <c r="K51" s="97">
        <v>0.0</v>
      </c>
    </row>
    <row r="52">
      <c r="A52" s="79">
        <v>50.0</v>
      </c>
      <c r="B52" s="86" t="s">
        <v>10</v>
      </c>
      <c r="C52" s="79" t="s">
        <v>300</v>
      </c>
      <c r="D52" s="80">
        <v>19.0</v>
      </c>
      <c r="E52" s="81">
        <f t="shared" si="2"/>
        <v>18</v>
      </c>
      <c r="F52" s="80">
        <v>4.0</v>
      </c>
      <c r="G52" s="82">
        <v>4.0</v>
      </c>
      <c r="H52" s="89">
        <v>6.375</v>
      </c>
      <c r="I52" s="84">
        <v>7.029861111111112</v>
      </c>
      <c r="J52" s="85">
        <f t="shared" si="3"/>
        <v>0.6548611111</v>
      </c>
      <c r="K52" s="82">
        <v>1.0</v>
      </c>
    </row>
    <row r="53">
      <c r="A53" s="79">
        <v>51.0</v>
      </c>
      <c r="B53" s="91" t="s">
        <v>6</v>
      </c>
      <c r="C53" s="79" t="s">
        <v>300</v>
      </c>
      <c r="D53" s="80">
        <v>19.0</v>
      </c>
      <c r="E53" s="81">
        <f t="shared" si="2"/>
        <v>19</v>
      </c>
      <c r="F53" s="80">
        <v>4.0</v>
      </c>
      <c r="G53" s="82">
        <v>0.0</v>
      </c>
      <c r="H53" s="89">
        <v>6.729166666666667</v>
      </c>
      <c r="I53" s="84">
        <v>9.30138888888889</v>
      </c>
      <c r="J53" s="85">
        <f t="shared" si="3"/>
        <v>2.572222222</v>
      </c>
      <c r="K53" s="97">
        <v>0.0</v>
      </c>
    </row>
    <row r="54">
      <c r="A54" s="80">
        <v>52.0</v>
      </c>
      <c r="B54" s="108" t="s">
        <v>75</v>
      </c>
      <c r="C54" s="79" t="s">
        <v>305</v>
      </c>
      <c r="D54" s="80">
        <v>19.0</v>
      </c>
      <c r="E54" s="81">
        <f t="shared" si="2"/>
        <v>18</v>
      </c>
      <c r="F54" s="80">
        <v>4.0</v>
      </c>
      <c r="G54" s="82">
        <v>3.0</v>
      </c>
      <c r="H54" s="89">
        <v>6.375</v>
      </c>
      <c r="I54" s="84">
        <v>5.672916666666667</v>
      </c>
      <c r="J54" s="85">
        <f t="shared" si="3"/>
        <v>-0.7020833333</v>
      </c>
      <c r="K54" s="82">
        <v>1.0</v>
      </c>
    </row>
    <row r="55">
      <c r="A55" s="79">
        <v>53.0</v>
      </c>
      <c r="B55" s="78" t="s">
        <v>120</v>
      </c>
      <c r="C55" s="79" t="s">
        <v>301</v>
      </c>
      <c r="D55" s="80">
        <v>19.0</v>
      </c>
      <c r="E55" s="81">
        <f t="shared" si="2"/>
        <v>19</v>
      </c>
      <c r="F55" s="80">
        <v>4.0</v>
      </c>
      <c r="G55" s="82">
        <v>0.0</v>
      </c>
      <c r="H55" s="89">
        <v>6.729166666666667</v>
      </c>
      <c r="I55" s="84">
        <v>7.394444444444446</v>
      </c>
      <c r="J55" s="85">
        <f t="shared" si="3"/>
        <v>0.6652777778</v>
      </c>
      <c r="K55" s="97">
        <v>0.0</v>
      </c>
    </row>
    <row r="56">
      <c r="A56" s="79">
        <v>54.0</v>
      </c>
      <c r="B56" s="109" t="s">
        <v>123</v>
      </c>
      <c r="C56" s="79" t="s">
        <v>303</v>
      </c>
      <c r="D56" s="80">
        <v>19.0</v>
      </c>
      <c r="E56" s="81">
        <f t="shared" si="2"/>
        <v>19</v>
      </c>
      <c r="F56" s="80">
        <v>4.0</v>
      </c>
      <c r="G56" s="82">
        <v>0.0</v>
      </c>
      <c r="H56" s="89">
        <v>6.729166666666667</v>
      </c>
      <c r="I56" s="84">
        <v>7.163194444444445</v>
      </c>
      <c r="J56" s="88">
        <f t="shared" si="3"/>
        <v>0.4340277778</v>
      </c>
      <c r="K56" s="97">
        <v>0.0</v>
      </c>
    </row>
    <row r="57">
      <c r="A57" s="80">
        <v>55.0</v>
      </c>
      <c r="B57" s="108" t="s">
        <v>111</v>
      </c>
      <c r="C57" s="79" t="s">
        <v>303</v>
      </c>
      <c r="D57" s="80">
        <v>24.0</v>
      </c>
      <c r="E57" s="81">
        <f t="shared" si="2"/>
        <v>19</v>
      </c>
      <c r="F57" s="79">
        <v>0.0</v>
      </c>
      <c r="G57" s="82">
        <v>0.0</v>
      </c>
      <c r="H57" s="89">
        <v>6.729166666666667</v>
      </c>
      <c r="I57" s="84">
        <v>5.986805555555556</v>
      </c>
      <c r="J57" s="85">
        <f t="shared" si="3"/>
        <v>-0.7423611111</v>
      </c>
      <c r="K57" s="82">
        <v>5.0</v>
      </c>
    </row>
    <row r="58">
      <c r="A58" s="79">
        <v>56.0</v>
      </c>
      <c r="B58" s="109" t="s">
        <v>114</v>
      </c>
      <c r="C58" s="79" t="s">
        <v>303</v>
      </c>
      <c r="D58" s="80">
        <v>24.0</v>
      </c>
      <c r="E58" s="81">
        <f t="shared" si="2"/>
        <v>21</v>
      </c>
      <c r="F58" s="79">
        <v>0.0</v>
      </c>
      <c r="G58" s="82">
        <v>0.0</v>
      </c>
      <c r="H58" s="89">
        <v>7.4375</v>
      </c>
      <c r="I58" s="84">
        <v>7.75763888888889</v>
      </c>
      <c r="J58" s="85">
        <f t="shared" si="3"/>
        <v>0.3201388889</v>
      </c>
      <c r="K58" s="82">
        <v>3.0</v>
      </c>
    </row>
    <row r="59">
      <c r="A59" s="79">
        <v>57.0</v>
      </c>
      <c r="B59" s="109" t="s">
        <v>129</v>
      </c>
      <c r="C59" s="79" t="s">
        <v>303</v>
      </c>
      <c r="D59" s="80">
        <v>24.0</v>
      </c>
      <c r="E59" s="81">
        <f t="shared" si="2"/>
        <v>19</v>
      </c>
      <c r="F59" s="79">
        <v>0.0</v>
      </c>
      <c r="G59" s="82">
        <v>0.0</v>
      </c>
      <c r="H59" s="89">
        <v>6.729166666666667</v>
      </c>
      <c r="I59" s="84">
        <v>7.191666666666666</v>
      </c>
      <c r="J59" s="85">
        <f t="shared" si="3"/>
        <v>0.4625</v>
      </c>
      <c r="K59" s="82">
        <v>5.0</v>
      </c>
    </row>
    <row r="60">
      <c r="A60" s="80">
        <v>58.0</v>
      </c>
      <c r="B60" s="78" t="s">
        <v>126</v>
      </c>
      <c r="C60" s="79" t="s">
        <v>303</v>
      </c>
      <c r="D60" s="80">
        <v>24.0</v>
      </c>
      <c r="E60" s="81">
        <f t="shared" si="2"/>
        <v>11</v>
      </c>
      <c r="F60" s="79">
        <v>0.0</v>
      </c>
      <c r="G60" s="82">
        <v>0.0</v>
      </c>
      <c r="H60" s="89">
        <v>3.8958333333333335</v>
      </c>
      <c r="I60" s="84">
        <v>4.022916666666667</v>
      </c>
      <c r="J60" s="85">
        <f t="shared" si="3"/>
        <v>0.1270833333</v>
      </c>
      <c r="K60" s="82">
        <v>13.0</v>
      </c>
    </row>
    <row r="61">
      <c r="A61" s="79">
        <v>59.0</v>
      </c>
      <c r="B61" s="78" t="s">
        <v>287</v>
      </c>
      <c r="C61" s="79" t="s">
        <v>303</v>
      </c>
      <c r="D61" s="80">
        <v>24.0</v>
      </c>
      <c r="E61" s="81">
        <f t="shared" si="2"/>
        <v>21</v>
      </c>
      <c r="F61" s="79">
        <v>0.0</v>
      </c>
      <c r="G61" s="82">
        <v>0.0</v>
      </c>
      <c r="H61" s="89">
        <v>7.4375</v>
      </c>
      <c r="I61" s="84">
        <v>7.69722222222222</v>
      </c>
      <c r="J61" s="85">
        <f t="shared" si="3"/>
        <v>0.2597222222</v>
      </c>
      <c r="K61" s="82">
        <v>3.0</v>
      </c>
    </row>
    <row r="62">
      <c r="A62" s="79">
        <v>60.0</v>
      </c>
      <c r="B62" s="98" t="s">
        <v>162</v>
      </c>
      <c r="C62" s="79" t="s">
        <v>303</v>
      </c>
      <c r="D62" s="80">
        <v>24.0</v>
      </c>
      <c r="E62" s="81">
        <f t="shared" si="2"/>
        <v>19</v>
      </c>
      <c r="F62" s="79">
        <v>0.0</v>
      </c>
      <c r="G62" s="82">
        <v>0.0</v>
      </c>
      <c r="H62" s="89">
        <v>6.729166666666667</v>
      </c>
      <c r="I62" s="84">
        <v>8.38611111111111</v>
      </c>
      <c r="J62" s="85">
        <f t="shared" si="3"/>
        <v>1.656944444</v>
      </c>
      <c r="K62" s="82">
        <v>5.0</v>
      </c>
    </row>
    <row r="63">
      <c r="A63" s="80">
        <v>61.0</v>
      </c>
      <c r="B63" s="108" t="s">
        <v>38</v>
      </c>
      <c r="C63" s="79" t="s">
        <v>303</v>
      </c>
      <c r="D63" s="80">
        <v>19.0</v>
      </c>
      <c r="E63" s="81">
        <f t="shared" si="2"/>
        <v>14</v>
      </c>
      <c r="F63" s="79">
        <v>0.0</v>
      </c>
      <c r="G63" s="82">
        <v>2.0</v>
      </c>
      <c r="H63" s="89">
        <v>4.958333333333333</v>
      </c>
      <c r="I63" s="84">
        <v>5.523611111111111</v>
      </c>
      <c r="J63" s="85">
        <f t="shared" si="3"/>
        <v>0.5652777778</v>
      </c>
      <c r="K63" s="82">
        <v>5.0</v>
      </c>
    </row>
    <row r="64">
      <c r="A64" s="79">
        <v>62.0</v>
      </c>
      <c r="B64" s="110" t="s">
        <v>35</v>
      </c>
      <c r="C64" s="79" t="s">
        <v>303</v>
      </c>
      <c r="D64" s="80"/>
      <c r="E64" s="81"/>
      <c r="F64" s="79"/>
      <c r="G64" s="82"/>
      <c r="H64" s="89"/>
      <c r="I64" s="84">
        <v>0.0</v>
      </c>
      <c r="J64" s="85"/>
      <c r="K64" s="97"/>
    </row>
    <row r="65">
      <c r="A65" s="79">
        <v>63.0</v>
      </c>
      <c r="B65" s="108" t="s">
        <v>117</v>
      </c>
      <c r="C65" s="79" t="s">
        <v>303</v>
      </c>
      <c r="D65" s="80">
        <v>19.0</v>
      </c>
      <c r="E65" s="81">
        <f t="shared" ref="E65:E67" si="4">D65-K65</f>
        <v>18</v>
      </c>
      <c r="F65" s="80">
        <v>4.0</v>
      </c>
      <c r="G65" s="82">
        <v>0.0</v>
      </c>
      <c r="H65" s="89">
        <v>6.375</v>
      </c>
      <c r="I65" s="84">
        <v>8.886111111111111</v>
      </c>
      <c r="J65" s="85">
        <f t="shared" ref="J65:J67" si="5">I65-H65</f>
        <v>2.511111111</v>
      </c>
      <c r="K65" s="82">
        <v>1.0</v>
      </c>
    </row>
    <row r="66">
      <c r="A66" s="80">
        <v>64.0</v>
      </c>
      <c r="B66" s="78" t="s">
        <v>237</v>
      </c>
      <c r="C66" s="79" t="s">
        <v>303</v>
      </c>
      <c r="D66" s="80">
        <v>24.0</v>
      </c>
      <c r="E66" s="81">
        <f t="shared" si="4"/>
        <v>21</v>
      </c>
      <c r="F66" s="79">
        <v>0.0</v>
      </c>
      <c r="G66" s="82">
        <v>0.0</v>
      </c>
      <c r="H66" s="89">
        <v>7.4375</v>
      </c>
      <c r="I66" s="84">
        <v>7.949305555555554</v>
      </c>
      <c r="J66" s="111">
        <f t="shared" si="5"/>
        <v>0.5118055556</v>
      </c>
      <c r="K66" s="82">
        <v>3.0</v>
      </c>
    </row>
    <row r="67">
      <c r="A67" s="79">
        <v>65.0</v>
      </c>
      <c r="B67" s="78" t="s">
        <v>288</v>
      </c>
      <c r="C67" s="79" t="s">
        <v>303</v>
      </c>
      <c r="D67" s="80">
        <v>24.0</v>
      </c>
      <c r="E67" s="81">
        <f t="shared" si="4"/>
        <v>20</v>
      </c>
      <c r="F67" s="79">
        <v>0.0</v>
      </c>
      <c r="G67" s="82">
        <v>0.0</v>
      </c>
      <c r="H67" s="89">
        <v>7.083333333333333</v>
      </c>
      <c r="I67" s="84">
        <v>7.48263888888889</v>
      </c>
      <c r="J67" s="85">
        <f t="shared" si="5"/>
        <v>0.3993055556</v>
      </c>
      <c r="K67" s="82">
        <v>4.0</v>
      </c>
    </row>
  </sheetData>
  <mergeCells count="2">
    <mergeCell ref="A1:B1"/>
    <mergeCell ref="C1:K1"/>
  </mergeCells>
  <conditionalFormatting sqref="J3:J67">
    <cfRule type="cellIs" dxfId="12" priority="1" operator="lessThan">
      <formula>"00:00:00"</formula>
    </cfRule>
  </conditionalFormatting>
  <conditionalFormatting sqref="J3:J67">
    <cfRule type="cellIs" dxfId="7" priority="2" operator="greaterThan">
      <formula>"00:00:00"</formula>
    </cfRule>
  </conditionalFormatting>
  <dataValidations>
    <dataValidation type="list" allowBlank="1" showErrorMessage="1" sqref="C3:C67">
      <formula1>"JetClass,FAMS,DevOps,Voltro,SS,Special Projects"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13"/>
    <col customWidth="1" min="2" max="2" width="3.63"/>
    <col customWidth="1" min="3" max="3" width="21.63"/>
  </cols>
  <sheetData>
    <row r="1">
      <c r="A1" s="8" t="s">
        <v>265</v>
      </c>
      <c r="B1" s="9" t="s">
        <v>1</v>
      </c>
      <c r="C1" s="10" t="s">
        <v>266</v>
      </c>
      <c r="D1" s="11" t="s">
        <v>267</v>
      </c>
      <c r="E1" s="12" t="str">
        <f t="shared" ref="E1:AH1" si="1">text(E2, "ddd")</f>
        <v>Tue</v>
      </c>
      <c r="F1" s="12" t="str">
        <f t="shared" si="1"/>
        <v>Wed</v>
      </c>
      <c r="G1" s="12" t="str">
        <f t="shared" si="1"/>
        <v>Thu</v>
      </c>
      <c r="H1" s="12" t="str">
        <f t="shared" si="1"/>
        <v>Fri</v>
      </c>
      <c r="I1" s="14" t="str">
        <f t="shared" si="1"/>
        <v>Sat</v>
      </c>
      <c r="J1" s="14" t="str">
        <f t="shared" si="1"/>
        <v>Sun</v>
      </c>
      <c r="K1" s="12" t="str">
        <f t="shared" si="1"/>
        <v>Mon</v>
      </c>
      <c r="L1" s="12" t="str">
        <f t="shared" si="1"/>
        <v>Tue</v>
      </c>
      <c r="M1" s="12" t="str">
        <f t="shared" si="1"/>
        <v>Wed</v>
      </c>
      <c r="N1" s="12" t="str">
        <f t="shared" si="1"/>
        <v>Thu</v>
      </c>
      <c r="O1" s="12" t="str">
        <f t="shared" si="1"/>
        <v>Fri</v>
      </c>
      <c r="P1" s="14" t="str">
        <f t="shared" si="1"/>
        <v>Sat</v>
      </c>
      <c r="Q1" s="14" t="str">
        <f t="shared" si="1"/>
        <v>Sun</v>
      </c>
      <c r="R1" s="12" t="str">
        <f t="shared" si="1"/>
        <v>Mon</v>
      </c>
      <c r="S1" s="12" t="str">
        <f t="shared" si="1"/>
        <v>Tue</v>
      </c>
      <c r="T1" s="12" t="str">
        <f t="shared" si="1"/>
        <v>Wed</v>
      </c>
      <c r="U1" s="12" t="str">
        <f t="shared" si="1"/>
        <v>Thu</v>
      </c>
      <c r="V1" s="12" t="str">
        <f t="shared" si="1"/>
        <v>Fri</v>
      </c>
      <c r="W1" s="14" t="str">
        <f t="shared" si="1"/>
        <v>Sat</v>
      </c>
      <c r="X1" s="14" t="str">
        <f t="shared" si="1"/>
        <v>Sun</v>
      </c>
      <c r="Y1" s="12" t="str">
        <f t="shared" si="1"/>
        <v>Mon</v>
      </c>
      <c r="Z1" s="12" t="str">
        <f t="shared" si="1"/>
        <v>Tue</v>
      </c>
      <c r="AA1" s="12" t="str">
        <f t="shared" si="1"/>
        <v>Wed</v>
      </c>
      <c r="AB1" s="12" t="str">
        <f t="shared" si="1"/>
        <v>Thu</v>
      </c>
      <c r="AC1" s="12" t="str">
        <f t="shared" si="1"/>
        <v>Fri</v>
      </c>
      <c r="AD1" s="14" t="str">
        <f t="shared" si="1"/>
        <v>Sat</v>
      </c>
      <c r="AE1" s="14" t="str">
        <f t="shared" si="1"/>
        <v>Sun</v>
      </c>
      <c r="AF1" s="12" t="str">
        <f t="shared" si="1"/>
        <v>Mon</v>
      </c>
      <c r="AG1" s="12" t="str">
        <f t="shared" si="1"/>
        <v>Tue</v>
      </c>
      <c r="AH1" s="12" t="str">
        <f t="shared" si="1"/>
        <v>Wed</v>
      </c>
    </row>
    <row r="2">
      <c r="C2" s="15"/>
      <c r="D2" s="15"/>
      <c r="E2" s="16">
        <v>45748.0</v>
      </c>
      <c r="F2" s="16">
        <v>45749.0</v>
      </c>
      <c r="G2" s="16">
        <v>45750.0</v>
      </c>
      <c r="H2" s="16">
        <v>45751.0</v>
      </c>
      <c r="I2" s="18">
        <v>45752.0</v>
      </c>
      <c r="J2" s="18">
        <v>45753.0</v>
      </c>
      <c r="K2" s="16">
        <v>45754.0</v>
      </c>
      <c r="L2" s="16">
        <v>45755.0</v>
      </c>
      <c r="M2" s="16">
        <v>45756.0</v>
      </c>
      <c r="N2" s="16">
        <v>45757.0</v>
      </c>
      <c r="O2" s="16">
        <v>45758.0</v>
      </c>
      <c r="P2" s="18">
        <v>45759.0</v>
      </c>
      <c r="Q2" s="18">
        <v>45760.0</v>
      </c>
      <c r="R2" s="16">
        <v>45761.0</v>
      </c>
      <c r="S2" s="16">
        <v>45762.0</v>
      </c>
      <c r="T2" s="16">
        <v>45763.0</v>
      </c>
      <c r="U2" s="16">
        <v>45764.0</v>
      </c>
      <c r="V2" s="16">
        <v>45765.0</v>
      </c>
      <c r="W2" s="18">
        <v>45766.0</v>
      </c>
      <c r="X2" s="18">
        <v>45767.0</v>
      </c>
      <c r="Y2" s="16">
        <v>45768.0</v>
      </c>
      <c r="Z2" s="16">
        <v>45769.0</v>
      </c>
      <c r="AA2" s="16">
        <v>45770.0</v>
      </c>
      <c r="AB2" s="16">
        <v>45771.0</v>
      </c>
      <c r="AC2" s="16">
        <v>45772.0</v>
      </c>
      <c r="AD2" s="18">
        <v>45773.0</v>
      </c>
      <c r="AE2" s="18">
        <v>45774.0</v>
      </c>
      <c r="AF2" s="16">
        <v>45775.0</v>
      </c>
      <c r="AG2" s="16">
        <v>45776.0</v>
      </c>
      <c r="AH2" s="16">
        <v>45777.0</v>
      </c>
    </row>
    <row r="3">
      <c r="A3" s="27">
        <v>45452.0</v>
      </c>
      <c r="B3" s="28">
        <v>1.0</v>
      </c>
      <c r="C3" s="29" t="s">
        <v>222</v>
      </c>
      <c r="D3" s="22">
        <f t="shared" ref="D3:D67" si="2">SUM(E3:AK3)</f>
        <v>6.359722222</v>
      </c>
      <c r="E3" s="26" t="s">
        <v>284</v>
      </c>
      <c r="F3" s="26" t="s">
        <v>284</v>
      </c>
      <c r="G3" s="26" t="s">
        <v>271</v>
      </c>
      <c r="H3" s="26" t="s">
        <v>271</v>
      </c>
      <c r="I3" s="23"/>
      <c r="J3" s="23"/>
      <c r="K3" s="25">
        <v>0.44305555555555554</v>
      </c>
      <c r="L3" s="25">
        <v>0.3736111111111111</v>
      </c>
      <c r="M3" s="23">
        <v>0.45694444444444443</v>
      </c>
      <c r="N3" s="23">
        <v>0.3541666666666667</v>
      </c>
      <c r="O3" s="117">
        <v>0.3541666666666667</v>
      </c>
      <c r="P3" s="23"/>
      <c r="Q3" s="114"/>
      <c r="R3" s="117">
        <v>0.3541666666666667</v>
      </c>
      <c r="S3" s="117">
        <v>0.3541666666666667</v>
      </c>
      <c r="T3" s="117">
        <v>0.17152777777777778</v>
      </c>
      <c r="U3" s="117">
        <v>0.3173611111111111</v>
      </c>
      <c r="V3" s="117">
        <v>0.3541666666666667</v>
      </c>
      <c r="W3" s="114"/>
      <c r="X3" s="114"/>
      <c r="Y3" s="117">
        <v>0.38125</v>
      </c>
      <c r="Z3" s="117">
        <v>0.36041666666666666</v>
      </c>
      <c r="AA3" s="117">
        <v>0.38680555555555557</v>
      </c>
      <c r="AB3" s="117">
        <v>0.20902777777777778</v>
      </c>
      <c r="AC3" s="117">
        <v>0.3541666666666667</v>
      </c>
      <c r="AD3" s="114"/>
      <c r="AE3" s="114"/>
      <c r="AF3" s="117">
        <v>0.38472222222222224</v>
      </c>
      <c r="AG3" s="117">
        <v>0.3729166666666667</v>
      </c>
      <c r="AH3" s="117">
        <v>0.3770833333333333</v>
      </c>
    </row>
    <row r="4">
      <c r="A4" s="15"/>
      <c r="B4" s="28">
        <v>2.0</v>
      </c>
      <c r="C4" s="29" t="s">
        <v>41</v>
      </c>
      <c r="D4" s="22">
        <f t="shared" si="2"/>
        <v>6.775694444</v>
      </c>
      <c r="E4" s="26" t="s">
        <v>284</v>
      </c>
      <c r="F4" s="26" t="s">
        <v>284</v>
      </c>
      <c r="G4" s="23">
        <v>0.3541666666666667</v>
      </c>
      <c r="H4" s="23">
        <v>0.3541666666666667</v>
      </c>
      <c r="I4" s="23"/>
      <c r="J4" s="23"/>
      <c r="K4" s="25">
        <v>0.39305555555555555</v>
      </c>
      <c r="L4" s="23">
        <v>0.3541666666666667</v>
      </c>
      <c r="M4" s="26" t="s">
        <v>271</v>
      </c>
      <c r="N4" s="23">
        <v>0.3541666666666667</v>
      </c>
      <c r="O4" s="23">
        <v>0.3541666666666667</v>
      </c>
      <c r="P4" s="23"/>
      <c r="Q4" s="114"/>
      <c r="R4" s="117">
        <v>0.4048611111111111</v>
      </c>
      <c r="S4" s="23">
        <v>0.3541666666666667</v>
      </c>
      <c r="T4" s="23">
        <v>0.3541666666666667</v>
      </c>
      <c r="U4" s="117">
        <v>0.3659722222222222</v>
      </c>
      <c r="V4" s="23">
        <v>0.3541666666666667</v>
      </c>
      <c r="W4" s="114"/>
      <c r="X4" s="114"/>
      <c r="Y4" s="117">
        <v>0.16666666666666666</v>
      </c>
      <c r="Z4" s="23">
        <v>0.3541666666666667</v>
      </c>
      <c r="AA4" s="117">
        <v>0.4125</v>
      </c>
      <c r="AB4" s="23">
        <v>0.3541666666666667</v>
      </c>
      <c r="AC4" s="23">
        <v>0.3541666666666667</v>
      </c>
      <c r="AD4" s="114"/>
      <c r="AE4" s="114"/>
      <c r="AF4" s="117">
        <v>0.3763888888888889</v>
      </c>
      <c r="AG4" s="117">
        <v>0.3763888888888889</v>
      </c>
      <c r="AH4" s="117">
        <v>0.3840277777777778</v>
      </c>
    </row>
    <row r="5">
      <c r="A5" s="30">
        <v>45483.0</v>
      </c>
      <c r="B5" s="33">
        <v>3.0</v>
      </c>
      <c r="C5" s="31" t="s">
        <v>234</v>
      </c>
      <c r="D5" s="22">
        <f t="shared" si="2"/>
        <v>0.3541666667</v>
      </c>
      <c r="E5" s="26" t="s">
        <v>284</v>
      </c>
      <c r="F5" s="26" t="s">
        <v>284</v>
      </c>
      <c r="G5" s="23"/>
      <c r="H5" s="23">
        <v>0.3541666666666667</v>
      </c>
      <c r="I5" s="23"/>
      <c r="J5" s="23"/>
      <c r="K5" s="25"/>
      <c r="L5" s="25"/>
      <c r="M5" s="23"/>
      <c r="N5" s="23"/>
      <c r="O5" s="23"/>
      <c r="P5" s="23"/>
      <c r="Q5" s="114"/>
      <c r="R5" s="114"/>
      <c r="S5" s="114"/>
      <c r="T5" s="114"/>
      <c r="U5" s="117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>
      <c r="A6" s="32"/>
      <c r="B6" s="33">
        <v>4.0</v>
      </c>
      <c r="C6" s="34" t="s">
        <v>201</v>
      </c>
      <c r="D6" s="22">
        <f t="shared" si="2"/>
        <v>7.0125</v>
      </c>
      <c r="E6" s="26" t="s">
        <v>284</v>
      </c>
      <c r="F6" s="26" t="s">
        <v>284</v>
      </c>
      <c r="G6" s="23">
        <v>0.3576388888888889</v>
      </c>
      <c r="H6" s="23"/>
      <c r="I6" s="23"/>
      <c r="J6" s="23"/>
      <c r="K6" s="25">
        <v>0.4097222222222222</v>
      </c>
      <c r="L6" s="25">
        <v>0.3625</v>
      </c>
      <c r="M6" s="23">
        <v>0.3375</v>
      </c>
      <c r="N6" s="23">
        <v>0.3388888888888889</v>
      </c>
      <c r="O6" s="117">
        <v>0.3541666666666667</v>
      </c>
      <c r="P6" s="23"/>
      <c r="Q6" s="114"/>
      <c r="R6" s="117">
        <v>0.3590277777777778</v>
      </c>
      <c r="S6" s="117">
        <v>0.36041666666666666</v>
      </c>
      <c r="T6" s="117">
        <v>0.3541666666666667</v>
      </c>
      <c r="U6" s="117">
        <v>0.3548611111111111</v>
      </c>
      <c r="V6" s="117">
        <v>0.3541666666666667</v>
      </c>
      <c r="W6" s="114"/>
      <c r="X6" s="114"/>
      <c r="Y6" s="117">
        <v>0.36180555555555555</v>
      </c>
      <c r="Z6" s="117">
        <v>0.36875</v>
      </c>
      <c r="AA6" s="117">
        <v>0.36180555555555555</v>
      </c>
      <c r="AB6" s="117">
        <v>0.3638888888888889</v>
      </c>
      <c r="AC6" s="117">
        <v>0.3451388888888889</v>
      </c>
      <c r="AD6" s="114"/>
      <c r="AE6" s="114"/>
      <c r="AF6" s="117">
        <v>0.5527777777777778</v>
      </c>
      <c r="AG6" s="117">
        <v>0.35347222222222224</v>
      </c>
      <c r="AH6" s="117">
        <v>0.36180555555555555</v>
      </c>
    </row>
    <row r="7">
      <c r="A7" s="32"/>
      <c r="B7" s="33">
        <v>5.0</v>
      </c>
      <c r="C7" s="35" t="s">
        <v>246</v>
      </c>
      <c r="D7" s="22">
        <f t="shared" si="2"/>
        <v>7.03125</v>
      </c>
      <c r="E7" s="26" t="s">
        <v>284</v>
      </c>
      <c r="F7" s="26" t="s">
        <v>284</v>
      </c>
      <c r="G7" s="23">
        <v>0.3770833333333333</v>
      </c>
      <c r="H7" s="23"/>
      <c r="I7" s="23"/>
      <c r="J7" s="23"/>
      <c r="K7" s="25">
        <v>0.4152777777777778</v>
      </c>
      <c r="L7" s="25">
        <v>0.36666666666666664</v>
      </c>
      <c r="M7" s="23">
        <v>0.3701388888888889</v>
      </c>
      <c r="N7" s="23">
        <v>0.3680555555555556</v>
      </c>
      <c r="O7" s="23">
        <v>0.3736111111111111</v>
      </c>
      <c r="P7" s="23"/>
      <c r="Q7" s="114"/>
      <c r="R7" s="117">
        <v>0.3597222222222222</v>
      </c>
      <c r="S7" s="117">
        <v>0.36736111111111114</v>
      </c>
      <c r="T7" s="117">
        <v>0.36944444444444446</v>
      </c>
      <c r="U7" s="117">
        <v>0.36736111111111114</v>
      </c>
      <c r="V7" s="117">
        <v>0.3416666666666667</v>
      </c>
      <c r="W7" s="114"/>
      <c r="X7" s="114"/>
      <c r="Y7" s="117">
        <v>0.3680555555555556</v>
      </c>
      <c r="Z7" s="117">
        <v>0.3659722222222222</v>
      </c>
      <c r="AA7" s="117">
        <v>0.36736111111111114</v>
      </c>
      <c r="AB7" s="117">
        <v>0.36875</v>
      </c>
      <c r="AC7" s="117">
        <v>0.36736111111111114</v>
      </c>
      <c r="AD7" s="114"/>
      <c r="AE7" s="114"/>
      <c r="AF7" s="117">
        <v>0.3854166666666667</v>
      </c>
      <c r="AG7" s="117">
        <v>0.3645833333333333</v>
      </c>
      <c r="AH7" s="117">
        <v>0.36736111111111114</v>
      </c>
    </row>
    <row r="8">
      <c r="A8" s="32"/>
      <c r="B8" s="33">
        <v>6.0</v>
      </c>
      <c r="C8" s="34" t="s">
        <v>231</v>
      </c>
      <c r="D8" s="22">
        <f t="shared" si="2"/>
        <v>8.124305556</v>
      </c>
      <c r="E8" s="26" t="s">
        <v>284</v>
      </c>
      <c r="F8" s="26" t="s">
        <v>284</v>
      </c>
      <c r="G8" s="23">
        <v>0.4270833333333333</v>
      </c>
      <c r="H8" s="117">
        <v>0.3541666666666667</v>
      </c>
      <c r="I8" s="23"/>
      <c r="J8" s="23"/>
      <c r="K8" s="25">
        <v>0.4534722222222222</v>
      </c>
      <c r="L8" s="25">
        <v>0.4576388888888889</v>
      </c>
      <c r="M8" s="23">
        <v>0.38472222222222224</v>
      </c>
      <c r="N8" s="23">
        <v>0.3402777777777778</v>
      </c>
      <c r="O8" s="117">
        <v>0.3541666666666667</v>
      </c>
      <c r="P8" s="23"/>
      <c r="Q8" s="114"/>
      <c r="R8" s="117">
        <v>0.4111111111111111</v>
      </c>
      <c r="S8" s="117">
        <v>0.3541666666666667</v>
      </c>
      <c r="T8" s="117">
        <v>0.39444444444444443</v>
      </c>
      <c r="U8" s="117">
        <v>0.3111111111111111</v>
      </c>
      <c r="V8" s="117">
        <v>0.39861111111111114</v>
      </c>
      <c r="W8" s="114"/>
      <c r="X8" s="114"/>
      <c r="Y8" s="117">
        <v>0.42777777777777776</v>
      </c>
      <c r="Z8" s="117">
        <v>0.5638888888888889</v>
      </c>
      <c r="AA8" s="117">
        <v>0.4548611111111111</v>
      </c>
      <c r="AB8" s="117">
        <v>0.5041666666666667</v>
      </c>
      <c r="AC8" s="117">
        <v>0.3763888888888889</v>
      </c>
      <c r="AD8" s="114"/>
      <c r="AE8" s="114"/>
      <c r="AF8" s="117">
        <v>0.37916666666666665</v>
      </c>
      <c r="AG8" s="117">
        <v>0.3451388888888889</v>
      </c>
      <c r="AH8" s="117">
        <v>0.43194444444444446</v>
      </c>
    </row>
    <row r="9">
      <c r="A9" s="32"/>
      <c r="B9" s="33">
        <v>7.0</v>
      </c>
      <c r="C9" s="36" t="s">
        <v>147</v>
      </c>
      <c r="D9" s="22">
        <f t="shared" si="2"/>
        <v>6.315972222</v>
      </c>
      <c r="E9" s="26" t="s">
        <v>284</v>
      </c>
      <c r="F9" s="26" t="s">
        <v>284</v>
      </c>
      <c r="G9" s="23">
        <v>0.33819444444444446</v>
      </c>
      <c r="H9" s="23">
        <v>0.3576388888888889</v>
      </c>
      <c r="I9" s="23"/>
      <c r="J9" s="23"/>
      <c r="K9" s="25">
        <v>0.42083333333333334</v>
      </c>
      <c r="L9" s="25">
        <v>0.3597222222222222</v>
      </c>
      <c r="M9" s="23">
        <v>0.35555555555555557</v>
      </c>
      <c r="N9" s="23">
        <v>0.35555555555555557</v>
      </c>
      <c r="O9" s="26" t="s">
        <v>328</v>
      </c>
      <c r="P9" s="23"/>
      <c r="Q9" s="114"/>
      <c r="R9" s="117">
        <v>0.3736111111111111</v>
      </c>
      <c r="S9" s="117">
        <v>0.3541666666666667</v>
      </c>
      <c r="T9" s="117">
        <v>0.3715277777777778</v>
      </c>
      <c r="U9" s="114" t="s">
        <v>271</v>
      </c>
      <c r="V9" s="117">
        <v>0.36527777777777776</v>
      </c>
      <c r="W9" s="114"/>
      <c r="X9" s="114"/>
      <c r="Y9" s="117">
        <v>0.38333333333333336</v>
      </c>
      <c r="Z9" s="117">
        <v>0.3888888888888889</v>
      </c>
      <c r="AA9" s="117">
        <v>0.37916666666666665</v>
      </c>
      <c r="AB9" s="114" t="s">
        <v>328</v>
      </c>
      <c r="AC9" s="117">
        <v>0.3597222222222222</v>
      </c>
      <c r="AD9" s="114"/>
      <c r="AE9" s="114"/>
      <c r="AF9" s="117">
        <v>0.38055555555555554</v>
      </c>
      <c r="AG9" s="117">
        <v>0.37430555555555556</v>
      </c>
      <c r="AH9" s="117">
        <v>0.39791666666666664</v>
      </c>
    </row>
    <row r="10">
      <c r="A10" s="32"/>
      <c r="B10" s="33">
        <v>8.0</v>
      </c>
      <c r="C10" s="34" t="s">
        <v>177</v>
      </c>
      <c r="D10" s="22">
        <f t="shared" si="2"/>
        <v>7.395833333</v>
      </c>
      <c r="E10" s="26" t="s">
        <v>284</v>
      </c>
      <c r="F10" s="26" t="s">
        <v>284</v>
      </c>
      <c r="G10" s="117">
        <v>0.3541666666666667</v>
      </c>
      <c r="H10" s="117">
        <v>0.3541666666666667</v>
      </c>
      <c r="I10" s="23"/>
      <c r="J10" s="23"/>
      <c r="K10" s="25">
        <v>0.4173611111111111</v>
      </c>
      <c r="L10" s="25">
        <v>0.3701388888888889</v>
      </c>
      <c r="M10" s="23">
        <v>0.36041666666666666</v>
      </c>
      <c r="N10" s="23">
        <v>0.38263888888888886</v>
      </c>
      <c r="O10" s="117">
        <v>0.3541666666666667</v>
      </c>
      <c r="P10" s="23"/>
      <c r="Q10" s="114"/>
      <c r="R10" s="117">
        <v>0.3840277777777778</v>
      </c>
      <c r="S10" s="117">
        <v>0.37430555555555556</v>
      </c>
      <c r="T10" s="117">
        <v>0.38819444444444445</v>
      </c>
      <c r="U10" s="117">
        <v>0.3875</v>
      </c>
      <c r="V10" s="117">
        <v>0.3541666666666667</v>
      </c>
      <c r="W10" s="114"/>
      <c r="X10" s="114"/>
      <c r="Y10" s="117">
        <v>0.35625</v>
      </c>
      <c r="Z10" s="117">
        <v>0.3625</v>
      </c>
      <c r="AA10" s="117">
        <v>0.3770833333333333</v>
      </c>
      <c r="AB10" s="117">
        <v>0.36944444444444446</v>
      </c>
      <c r="AC10" s="117">
        <v>0.3541666666666667</v>
      </c>
      <c r="AD10" s="114"/>
      <c r="AE10" s="114"/>
      <c r="AF10" s="117">
        <v>0.37222222222222223</v>
      </c>
      <c r="AG10" s="117">
        <v>0.35694444444444445</v>
      </c>
      <c r="AH10" s="117">
        <v>0.3659722222222222</v>
      </c>
    </row>
    <row r="11">
      <c r="A11" s="32"/>
      <c r="B11" s="33">
        <v>9.0</v>
      </c>
      <c r="C11" s="37" t="s">
        <v>216</v>
      </c>
      <c r="D11" s="22">
        <f t="shared" si="2"/>
        <v>7.045833333</v>
      </c>
      <c r="E11" s="26" t="s">
        <v>284</v>
      </c>
      <c r="F11" s="26" t="s">
        <v>284</v>
      </c>
      <c r="G11" s="26" t="s">
        <v>269</v>
      </c>
      <c r="H11" s="23">
        <v>0.2986111111111111</v>
      </c>
      <c r="I11" s="23"/>
      <c r="J11" s="23"/>
      <c r="K11" s="25">
        <v>0.41041666666666665</v>
      </c>
      <c r="L11" s="25">
        <v>0.44166666666666665</v>
      </c>
      <c r="M11" s="23">
        <v>0.38472222222222224</v>
      </c>
      <c r="N11" s="23">
        <v>0.4076388888888889</v>
      </c>
      <c r="O11" s="23">
        <v>0.3909722222222222</v>
      </c>
      <c r="P11" s="23"/>
      <c r="Q11" s="114"/>
      <c r="R11" s="117">
        <v>0.3541666666666667</v>
      </c>
      <c r="S11" s="117">
        <v>0.41388888888888886</v>
      </c>
      <c r="T11" s="117">
        <v>0.6180555555555556</v>
      </c>
      <c r="U11" s="117">
        <v>0.3076388888888889</v>
      </c>
      <c r="V11" s="117">
        <v>0.2548611111111111</v>
      </c>
      <c r="W11" s="114"/>
      <c r="X11" s="114"/>
      <c r="Y11" s="117">
        <v>0.4131944444444444</v>
      </c>
      <c r="Z11" s="117">
        <v>0.38958333333333334</v>
      </c>
      <c r="AA11" s="117">
        <v>0.4361111111111111</v>
      </c>
      <c r="AB11" s="114" t="s">
        <v>329</v>
      </c>
      <c r="AC11" s="117">
        <v>0.3541666666666667</v>
      </c>
      <c r="AD11" s="114"/>
      <c r="AE11" s="114"/>
      <c r="AF11" s="117">
        <v>0.4125</v>
      </c>
      <c r="AG11" s="117">
        <v>0.38819444444444445</v>
      </c>
      <c r="AH11" s="117">
        <v>0.36944444444444446</v>
      </c>
    </row>
    <row r="12">
      <c r="A12" s="32"/>
      <c r="B12" s="38">
        <v>10.0</v>
      </c>
      <c r="C12" s="39" t="s">
        <v>138</v>
      </c>
      <c r="D12" s="22">
        <f t="shared" si="2"/>
        <v>3.280555556</v>
      </c>
      <c r="E12" s="26" t="s">
        <v>284</v>
      </c>
      <c r="F12" s="26" t="s">
        <v>284</v>
      </c>
      <c r="G12" s="23">
        <v>0.38263888888888886</v>
      </c>
      <c r="H12" s="23">
        <v>0.3541666666666667</v>
      </c>
      <c r="I12" s="23"/>
      <c r="J12" s="23"/>
      <c r="K12" s="25">
        <v>0.40625</v>
      </c>
      <c r="L12" s="25">
        <v>0.3215277777777778</v>
      </c>
      <c r="M12" s="23">
        <v>0.34375</v>
      </c>
      <c r="N12" s="23">
        <v>0.36736111111111114</v>
      </c>
      <c r="O12" s="23">
        <v>0.3541666666666667</v>
      </c>
      <c r="P12" s="23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7">
        <v>0.4</v>
      </c>
      <c r="AG12" s="114" t="s">
        <v>329</v>
      </c>
      <c r="AH12" s="117">
        <v>0.3506944444444444</v>
      </c>
    </row>
    <row r="13">
      <c r="A13" s="32"/>
      <c r="B13" s="38">
        <v>11.0</v>
      </c>
      <c r="C13" s="40" t="s">
        <v>228</v>
      </c>
      <c r="D13" s="22">
        <f t="shared" si="2"/>
        <v>6.655555556</v>
      </c>
      <c r="E13" s="26" t="s">
        <v>284</v>
      </c>
      <c r="F13" s="26" t="s">
        <v>284</v>
      </c>
      <c r="G13" s="23">
        <v>0.3541666666666667</v>
      </c>
      <c r="H13" s="23">
        <v>0.3541666666666667</v>
      </c>
      <c r="I13" s="23"/>
      <c r="J13" s="23"/>
      <c r="K13" s="25">
        <v>0.38958333333333334</v>
      </c>
      <c r="L13" s="25">
        <v>0.3388888888888889</v>
      </c>
      <c r="M13" s="23">
        <v>0.35</v>
      </c>
      <c r="N13" s="26" t="s">
        <v>329</v>
      </c>
      <c r="O13" s="23">
        <v>0.3541666666666667</v>
      </c>
      <c r="P13" s="23"/>
      <c r="Q13" s="114"/>
      <c r="R13" s="117">
        <v>0.3597222222222222</v>
      </c>
      <c r="S13" s="117">
        <v>0.33402777777777776</v>
      </c>
      <c r="T13" s="117">
        <v>0.34444444444444444</v>
      </c>
      <c r="U13" s="117">
        <v>0.33541666666666664</v>
      </c>
      <c r="V13" s="117">
        <v>0.3541666666666667</v>
      </c>
      <c r="W13" s="114"/>
      <c r="X13" s="114"/>
      <c r="Y13" s="117">
        <v>0.3472222222222222</v>
      </c>
      <c r="Z13" s="117">
        <v>0.34444444444444444</v>
      </c>
      <c r="AA13" s="117">
        <v>0.33611111111111114</v>
      </c>
      <c r="AB13" s="117">
        <v>0.3625</v>
      </c>
      <c r="AC13" s="117">
        <v>0.3541666666666667</v>
      </c>
      <c r="AD13" s="114"/>
      <c r="AE13" s="114"/>
      <c r="AF13" s="117">
        <v>0.3486111111111111</v>
      </c>
      <c r="AG13" s="117">
        <v>0.33958333333333335</v>
      </c>
      <c r="AH13" s="117">
        <v>0.3541666666666667</v>
      </c>
    </row>
    <row r="14">
      <c r="A14" s="32"/>
      <c r="B14" s="38">
        <v>12.0</v>
      </c>
      <c r="C14" s="40" t="s">
        <v>273</v>
      </c>
      <c r="D14" s="22">
        <f t="shared" si="2"/>
        <v>7.334722222</v>
      </c>
      <c r="E14" s="26" t="s">
        <v>284</v>
      </c>
      <c r="F14" s="26" t="s">
        <v>284</v>
      </c>
      <c r="G14" s="23">
        <v>0.3854166666666667</v>
      </c>
      <c r="H14" s="23">
        <v>0.3541666666666667</v>
      </c>
      <c r="I14" s="23"/>
      <c r="J14" s="23"/>
      <c r="K14" s="25">
        <v>0.3909722222222222</v>
      </c>
      <c r="L14" s="25">
        <v>0.37777777777777777</v>
      </c>
      <c r="M14" s="23">
        <v>0.4083333333333333</v>
      </c>
      <c r="N14" s="23">
        <v>0.4048611111111111</v>
      </c>
      <c r="O14" s="23">
        <v>0.3541666666666667</v>
      </c>
      <c r="P14" s="23"/>
      <c r="Q14" s="114"/>
      <c r="R14" s="117">
        <v>0.34305555555555556</v>
      </c>
      <c r="S14" s="117">
        <v>0.3388888888888889</v>
      </c>
      <c r="T14" s="117">
        <v>0.33402777777777776</v>
      </c>
      <c r="U14" s="117">
        <v>0.3680555555555556</v>
      </c>
      <c r="V14" s="23">
        <v>0.3541666666666667</v>
      </c>
      <c r="W14" s="114"/>
      <c r="X14" s="114"/>
      <c r="Y14" s="117">
        <v>0.41944444444444445</v>
      </c>
      <c r="Z14" s="117">
        <v>0.37916666666666665</v>
      </c>
      <c r="AA14" s="117">
        <v>0.39652777777777776</v>
      </c>
      <c r="AB14" s="117">
        <v>0.34375</v>
      </c>
      <c r="AC14" s="23">
        <v>0.3541666666666667</v>
      </c>
      <c r="AD14" s="114"/>
      <c r="AE14" s="114"/>
      <c r="AF14" s="117">
        <v>0.36319444444444443</v>
      </c>
      <c r="AG14" s="117">
        <v>0.33125</v>
      </c>
      <c r="AH14" s="117">
        <v>0.3333333333333333</v>
      </c>
    </row>
    <row r="15">
      <c r="A15" s="32"/>
      <c r="B15" s="33">
        <v>13.0</v>
      </c>
      <c r="C15" s="35" t="s">
        <v>254</v>
      </c>
      <c r="D15" s="22">
        <f t="shared" si="2"/>
        <v>5.452777778</v>
      </c>
      <c r="E15" s="26" t="s">
        <v>284</v>
      </c>
      <c r="F15" s="26" t="s">
        <v>284</v>
      </c>
      <c r="G15" s="23">
        <v>0.16666666666666666</v>
      </c>
      <c r="H15" s="117">
        <v>0.3541666666666667</v>
      </c>
      <c r="I15" s="23"/>
      <c r="J15" s="23"/>
      <c r="K15" s="25">
        <v>0.3909722222222222</v>
      </c>
      <c r="L15" s="26" t="s">
        <v>330</v>
      </c>
      <c r="M15" s="23">
        <v>0.35625</v>
      </c>
      <c r="N15" s="23">
        <v>0.32708333333333334</v>
      </c>
      <c r="O15" s="26" t="s">
        <v>328</v>
      </c>
      <c r="P15" s="23"/>
      <c r="Q15" s="114"/>
      <c r="R15" s="114" t="s">
        <v>328</v>
      </c>
      <c r="S15" s="117">
        <v>0.3541666666666667</v>
      </c>
      <c r="T15" s="117">
        <v>0.3506944444444444</v>
      </c>
      <c r="U15" s="117">
        <v>0.3590277777777778</v>
      </c>
      <c r="V15" s="117">
        <v>0.3263888888888889</v>
      </c>
      <c r="W15" s="114"/>
      <c r="X15" s="114"/>
      <c r="Y15" s="117">
        <v>0.35833333333333334</v>
      </c>
      <c r="Z15" s="117">
        <v>0.3576388888888889</v>
      </c>
      <c r="AA15" s="117">
        <v>0.3576388888888889</v>
      </c>
      <c r="AB15" s="117">
        <v>0.3527777777777778</v>
      </c>
      <c r="AC15" s="117">
        <v>0.3486111111111111</v>
      </c>
      <c r="AD15" s="114"/>
      <c r="AE15" s="114"/>
      <c r="AF15" s="117">
        <v>0.3590277777777778</v>
      </c>
      <c r="AG15" s="117">
        <v>0.16666666666666666</v>
      </c>
      <c r="AH15" s="117">
        <v>0.16666666666666666</v>
      </c>
    </row>
    <row r="16">
      <c r="A16" s="42" t="s">
        <v>274</v>
      </c>
      <c r="B16" s="28">
        <v>14.0</v>
      </c>
      <c r="C16" s="129" t="s">
        <v>213</v>
      </c>
      <c r="D16" s="22">
        <f t="shared" si="2"/>
        <v>6.102777778</v>
      </c>
      <c r="E16" s="26" t="s">
        <v>284</v>
      </c>
      <c r="F16" s="26" t="s">
        <v>284</v>
      </c>
      <c r="G16" s="26" t="s">
        <v>328</v>
      </c>
      <c r="H16" s="117">
        <v>0.3541666666666667</v>
      </c>
      <c r="I16" s="23"/>
      <c r="J16" s="23"/>
      <c r="K16" s="25">
        <v>0.39305555555555555</v>
      </c>
      <c r="L16" s="25">
        <v>0.3861111111111111</v>
      </c>
      <c r="M16" s="23">
        <v>0.3951388888888889</v>
      </c>
      <c r="N16" s="23">
        <v>0.28402777777777777</v>
      </c>
      <c r="O16" s="117">
        <v>0.3541666666666667</v>
      </c>
      <c r="P16" s="23"/>
      <c r="Q16" s="114"/>
      <c r="R16" s="117">
        <v>0.3541666666666667</v>
      </c>
      <c r="S16" s="117">
        <v>0.3638888888888889</v>
      </c>
      <c r="T16" s="117">
        <v>0.3923611111111111</v>
      </c>
      <c r="U16" s="117">
        <v>0.3090277777777778</v>
      </c>
      <c r="V16" s="117">
        <v>0.3541666666666667</v>
      </c>
      <c r="W16" s="114"/>
      <c r="X16" s="114"/>
      <c r="Y16" s="117">
        <v>0.3763888888888889</v>
      </c>
      <c r="Z16" s="117">
        <v>0.3819444444444444</v>
      </c>
      <c r="AA16" s="117">
        <v>0.39166666666666666</v>
      </c>
      <c r="AB16" s="117">
        <v>0.30416666666666664</v>
      </c>
      <c r="AC16" s="117">
        <v>0.3541666666666667</v>
      </c>
      <c r="AD16" s="114"/>
      <c r="AE16" s="114"/>
      <c r="AF16" s="117">
        <v>0.3541666666666667</v>
      </c>
      <c r="AG16" s="114" t="s">
        <v>276</v>
      </c>
      <c r="AH16" s="114" t="s">
        <v>276</v>
      </c>
    </row>
    <row r="17">
      <c r="A17" s="32"/>
      <c r="B17" s="28">
        <v>15.0</v>
      </c>
      <c r="C17" s="130" t="s">
        <v>54</v>
      </c>
      <c r="D17" s="22">
        <f t="shared" si="2"/>
        <v>7.795138889</v>
      </c>
      <c r="E17" s="26" t="s">
        <v>284</v>
      </c>
      <c r="F17" s="26" t="s">
        <v>284</v>
      </c>
      <c r="G17" s="117">
        <v>0.3541666666666667</v>
      </c>
      <c r="H17" s="117">
        <v>0.3541666666666667</v>
      </c>
      <c r="I17" s="23"/>
      <c r="J17" s="23"/>
      <c r="K17" s="25">
        <v>0.4284722222222222</v>
      </c>
      <c r="L17" s="25">
        <v>0.3416666666666667</v>
      </c>
      <c r="M17" s="23">
        <v>0.3875</v>
      </c>
      <c r="N17" s="23">
        <v>0.4131944444444444</v>
      </c>
      <c r="O17" s="117">
        <v>0.3541666666666667</v>
      </c>
      <c r="P17" s="23"/>
      <c r="Q17" s="114"/>
      <c r="R17" s="117">
        <v>0.37083333333333335</v>
      </c>
      <c r="S17" s="117">
        <v>0.33611111111111114</v>
      </c>
      <c r="T17" s="117">
        <v>0.5111111111111111</v>
      </c>
      <c r="U17" s="117">
        <v>0.47430555555555554</v>
      </c>
      <c r="V17" s="117">
        <v>0.3541666666666667</v>
      </c>
      <c r="W17" s="114"/>
      <c r="X17" s="114"/>
      <c r="Y17" s="117">
        <v>0.48125</v>
      </c>
      <c r="Z17" s="117">
        <v>0.38125</v>
      </c>
      <c r="AA17" s="117">
        <v>0.4354166666666667</v>
      </c>
      <c r="AB17" s="117">
        <v>0.28680555555555554</v>
      </c>
      <c r="AC17" s="117">
        <v>0.3541666666666667</v>
      </c>
      <c r="AD17" s="114"/>
      <c r="AE17" s="114"/>
      <c r="AF17" s="117">
        <v>0.4083333333333333</v>
      </c>
      <c r="AG17" s="117">
        <v>0.36736111111111114</v>
      </c>
      <c r="AH17" s="117">
        <v>0.40069444444444446</v>
      </c>
    </row>
    <row r="18">
      <c r="A18" s="32"/>
      <c r="B18" s="28">
        <v>16.0</v>
      </c>
      <c r="C18" s="130" t="s">
        <v>159</v>
      </c>
      <c r="D18" s="22">
        <f t="shared" si="2"/>
        <v>6.746527778</v>
      </c>
      <c r="E18" s="26" t="s">
        <v>284</v>
      </c>
      <c r="F18" s="26" t="s">
        <v>284</v>
      </c>
      <c r="G18" s="117">
        <v>0.3541666666666667</v>
      </c>
      <c r="H18" s="117">
        <v>0.3541666666666667</v>
      </c>
      <c r="I18" s="23"/>
      <c r="J18" s="23"/>
      <c r="K18" s="26" t="s">
        <v>269</v>
      </c>
      <c r="L18" s="25">
        <v>0.3784722222222222</v>
      </c>
      <c r="M18" s="23">
        <v>0.41388888888888886</v>
      </c>
      <c r="N18" s="23">
        <v>0.36875</v>
      </c>
      <c r="O18" s="117">
        <v>0.3541666666666667</v>
      </c>
      <c r="P18" s="23"/>
      <c r="Q18" s="114"/>
      <c r="R18" s="117">
        <v>0.3729166666666667</v>
      </c>
      <c r="S18" s="117">
        <v>0.3902777777777778</v>
      </c>
      <c r="T18" s="117">
        <v>0.40694444444444444</v>
      </c>
      <c r="U18" s="117">
        <v>0.36875</v>
      </c>
      <c r="V18" s="117">
        <v>0.3541666666666667</v>
      </c>
      <c r="W18" s="114"/>
      <c r="X18" s="114"/>
      <c r="Y18" s="117">
        <v>0.4701388888888889</v>
      </c>
      <c r="Z18" s="117">
        <v>0.3458333333333333</v>
      </c>
      <c r="AA18" s="117">
        <v>0.3993055555555556</v>
      </c>
      <c r="AB18" s="117">
        <v>0.38333333333333336</v>
      </c>
      <c r="AC18" s="117">
        <v>0.27708333333333335</v>
      </c>
      <c r="AD18" s="114"/>
      <c r="AE18" s="114"/>
      <c r="AF18" s="117">
        <v>0.3819444444444444</v>
      </c>
      <c r="AG18" s="114" t="s">
        <v>269</v>
      </c>
      <c r="AH18" s="117">
        <v>0.37222222222222223</v>
      </c>
    </row>
    <row r="19">
      <c r="A19" s="32"/>
      <c r="B19" s="28">
        <v>17.0</v>
      </c>
      <c r="C19" s="129" t="s">
        <v>156</v>
      </c>
      <c r="D19" s="22">
        <f t="shared" si="2"/>
        <v>7.127777778</v>
      </c>
      <c r="E19" s="26" t="s">
        <v>284</v>
      </c>
      <c r="F19" s="26" t="s">
        <v>284</v>
      </c>
      <c r="G19" s="117">
        <v>0.3541666666666667</v>
      </c>
      <c r="H19" s="117">
        <v>0.3541666666666667</v>
      </c>
      <c r="I19" s="23"/>
      <c r="J19" s="23"/>
      <c r="K19" s="25">
        <v>0.43194444444444446</v>
      </c>
      <c r="L19" s="25">
        <v>0.3486111111111111</v>
      </c>
      <c r="M19" s="23">
        <v>0.4236111111111111</v>
      </c>
      <c r="N19" s="23">
        <v>0.3993055555555556</v>
      </c>
      <c r="O19" s="117">
        <v>0.3541666666666667</v>
      </c>
      <c r="P19" s="23"/>
      <c r="Q19" s="114"/>
      <c r="R19" s="117">
        <v>0.37777777777777777</v>
      </c>
      <c r="S19" s="117">
        <v>0.425</v>
      </c>
      <c r="T19" s="117">
        <v>0.39444444444444443</v>
      </c>
      <c r="U19" s="117">
        <v>0.34097222222222223</v>
      </c>
      <c r="V19" s="117">
        <v>0.3541666666666667</v>
      </c>
      <c r="W19" s="114"/>
      <c r="X19" s="114"/>
      <c r="Y19" s="114" t="s">
        <v>269</v>
      </c>
      <c r="Z19" s="117">
        <v>0.38333333333333336</v>
      </c>
      <c r="AA19" s="117">
        <v>0.3972222222222222</v>
      </c>
      <c r="AB19" s="117">
        <v>0.3875</v>
      </c>
      <c r="AC19" s="117">
        <v>0.24722222222222223</v>
      </c>
      <c r="AD19" s="114"/>
      <c r="AE19" s="114"/>
      <c r="AF19" s="117">
        <v>0.36041666666666666</v>
      </c>
      <c r="AG19" s="117">
        <v>0.4111111111111111</v>
      </c>
      <c r="AH19" s="117">
        <v>0.38263888888888886</v>
      </c>
    </row>
    <row r="20">
      <c r="A20" s="32"/>
      <c r="B20" s="38">
        <v>18.0</v>
      </c>
      <c r="C20" s="44" t="s">
        <v>275</v>
      </c>
      <c r="D20" s="22">
        <f t="shared" si="2"/>
        <v>6.810416667</v>
      </c>
      <c r="E20" s="26" t="s">
        <v>284</v>
      </c>
      <c r="F20" s="26" t="s">
        <v>284</v>
      </c>
      <c r="G20" s="117">
        <v>0.3541666666666667</v>
      </c>
      <c r="H20" s="117">
        <v>0.3541666666666667</v>
      </c>
      <c r="I20" s="23"/>
      <c r="J20" s="23"/>
      <c r="K20" s="25">
        <v>0.43125</v>
      </c>
      <c r="L20" s="25">
        <v>0.41388888888888886</v>
      </c>
      <c r="M20" s="23">
        <v>0.4652777777777778</v>
      </c>
      <c r="N20" s="26" t="s">
        <v>329</v>
      </c>
      <c r="O20" s="23">
        <v>0.28958333333333336</v>
      </c>
      <c r="P20" s="23"/>
      <c r="Q20" s="114"/>
      <c r="R20" s="117">
        <v>0.29791666666666666</v>
      </c>
      <c r="S20" s="117">
        <v>0.41805555555555557</v>
      </c>
      <c r="T20" s="117">
        <v>0.28055555555555556</v>
      </c>
      <c r="U20" s="117">
        <v>0.42986111111111114</v>
      </c>
      <c r="V20" s="117">
        <v>0.3840277777777778</v>
      </c>
      <c r="W20" s="114"/>
      <c r="X20" s="114"/>
      <c r="Y20" s="117">
        <v>0.3861111111111111</v>
      </c>
      <c r="Z20" s="117">
        <v>0.39791666666666664</v>
      </c>
      <c r="AA20" s="117">
        <v>0.34652777777777777</v>
      </c>
      <c r="AB20" s="117">
        <v>0.42569444444444443</v>
      </c>
      <c r="AC20" s="117">
        <v>0.34791666666666665</v>
      </c>
      <c r="AD20" s="114"/>
      <c r="AE20" s="114"/>
      <c r="AF20" s="114" t="s">
        <v>330</v>
      </c>
      <c r="AG20" s="117">
        <v>0.40694444444444444</v>
      </c>
      <c r="AH20" s="117">
        <v>0.38055555555555554</v>
      </c>
    </row>
    <row r="21">
      <c r="A21" s="32"/>
      <c r="B21" s="28">
        <v>19.0</v>
      </c>
      <c r="C21" s="29" t="s">
        <v>57</v>
      </c>
      <c r="D21" s="22">
        <f t="shared" si="2"/>
        <v>6.311111111</v>
      </c>
      <c r="E21" s="26" t="s">
        <v>284</v>
      </c>
      <c r="F21" s="26" t="s">
        <v>284</v>
      </c>
      <c r="G21" s="117">
        <v>0.3541666666666667</v>
      </c>
      <c r="H21" s="117">
        <v>0.3541666666666667</v>
      </c>
      <c r="I21" s="23"/>
      <c r="J21" s="23"/>
      <c r="K21" s="25">
        <v>0.4097222222222222</v>
      </c>
      <c r="L21" s="25">
        <v>0.3159722222222222</v>
      </c>
      <c r="M21" s="23">
        <v>0.3875</v>
      </c>
      <c r="N21" s="23">
        <v>0.32013888888888886</v>
      </c>
      <c r="O21" s="117">
        <v>0.3541666666666667</v>
      </c>
      <c r="P21" s="23"/>
      <c r="Q21" s="114"/>
      <c r="R21" s="114" t="s">
        <v>269</v>
      </c>
      <c r="S21" s="117">
        <v>0.39166666666666666</v>
      </c>
      <c r="T21" s="117">
        <v>0.36875</v>
      </c>
      <c r="U21" s="117">
        <v>0.36944444444444446</v>
      </c>
      <c r="V21" s="117">
        <v>0.3541666666666667</v>
      </c>
      <c r="W21" s="114"/>
      <c r="X21" s="114"/>
      <c r="Y21" s="117">
        <v>0.23402777777777778</v>
      </c>
      <c r="Z21" s="117">
        <v>0.35208333333333336</v>
      </c>
      <c r="AA21" s="117">
        <v>0.3458333333333333</v>
      </c>
      <c r="AB21" s="117">
        <v>0.36319444444444443</v>
      </c>
      <c r="AC21" s="114" t="s">
        <v>329</v>
      </c>
      <c r="AD21" s="114"/>
      <c r="AE21" s="114"/>
      <c r="AF21" s="117">
        <v>0.2791666666666667</v>
      </c>
      <c r="AG21" s="117">
        <v>0.36319444444444443</v>
      </c>
      <c r="AH21" s="117">
        <v>0.39375</v>
      </c>
    </row>
    <row r="22">
      <c r="A22" s="32"/>
      <c r="B22" s="38">
        <v>20.0</v>
      </c>
      <c r="C22" s="45" t="s">
        <v>78</v>
      </c>
      <c r="D22" s="22">
        <f t="shared" si="2"/>
        <v>7.144444444</v>
      </c>
      <c r="E22" s="26" t="s">
        <v>284</v>
      </c>
      <c r="F22" s="26" t="s">
        <v>284</v>
      </c>
      <c r="G22" s="23">
        <v>0.32013888888888886</v>
      </c>
      <c r="H22" s="23">
        <v>0.31180555555555556</v>
      </c>
      <c r="I22" s="23"/>
      <c r="J22" s="23"/>
      <c r="K22" s="25">
        <v>0.40625</v>
      </c>
      <c r="L22" s="25">
        <v>0.29444444444444445</v>
      </c>
      <c r="M22" s="23">
        <v>0.3590277777777778</v>
      </c>
      <c r="N22" s="23">
        <v>0.3638888888888889</v>
      </c>
      <c r="O22" s="117">
        <v>0.3541666666666667</v>
      </c>
      <c r="P22" s="23"/>
      <c r="Q22" s="114"/>
      <c r="R22" s="117">
        <v>0.35138888888888886</v>
      </c>
      <c r="S22" s="117">
        <v>0.38472222222222224</v>
      </c>
      <c r="T22" s="117">
        <v>0.3840277777777778</v>
      </c>
      <c r="U22" s="117">
        <v>0.38819444444444445</v>
      </c>
      <c r="V22" s="117">
        <v>0.3854166666666667</v>
      </c>
      <c r="W22" s="114"/>
      <c r="X22" s="114"/>
      <c r="Y22" s="117">
        <v>0.3375</v>
      </c>
      <c r="Z22" s="117">
        <v>0.3625</v>
      </c>
      <c r="AA22" s="117">
        <v>0.36944444444444446</v>
      </c>
      <c r="AB22" s="117">
        <v>0.3701388888888889</v>
      </c>
      <c r="AC22" s="117">
        <v>0.3298611111111111</v>
      </c>
      <c r="AD22" s="114"/>
      <c r="AE22" s="114"/>
      <c r="AF22" s="117">
        <v>0.35555555555555557</v>
      </c>
      <c r="AG22" s="117">
        <v>0.3347222222222222</v>
      </c>
      <c r="AH22" s="117">
        <v>0.38125</v>
      </c>
    </row>
    <row r="23">
      <c r="A23" s="32"/>
      <c r="B23" s="38">
        <v>21.0</v>
      </c>
      <c r="C23" s="46" t="s">
        <v>132</v>
      </c>
      <c r="D23" s="22">
        <f t="shared" si="2"/>
        <v>5.442361111</v>
      </c>
      <c r="E23" s="26" t="s">
        <v>284</v>
      </c>
      <c r="F23" s="26" t="s">
        <v>284</v>
      </c>
      <c r="G23" s="117">
        <v>0.3541666666666667</v>
      </c>
      <c r="H23" s="117">
        <v>0.3541666666666667</v>
      </c>
      <c r="I23" s="23"/>
      <c r="J23" s="23"/>
      <c r="K23" s="25">
        <v>0.4479166666666667</v>
      </c>
      <c r="L23" s="26" t="s">
        <v>331</v>
      </c>
      <c r="M23" s="23">
        <v>0.47638888888888886</v>
      </c>
      <c r="N23" s="26" t="s">
        <v>271</v>
      </c>
      <c r="O23" s="117">
        <v>0.3541666666666667</v>
      </c>
      <c r="P23" s="23"/>
      <c r="Q23" s="114"/>
      <c r="R23" s="114" t="s">
        <v>271</v>
      </c>
      <c r="S23" s="117">
        <v>0.40208333333333335</v>
      </c>
      <c r="T23" s="117">
        <v>0.3888888888888889</v>
      </c>
      <c r="U23" s="114" t="s">
        <v>330</v>
      </c>
      <c r="V23" s="114" t="s">
        <v>329</v>
      </c>
      <c r="W23" s="117"/>
      <c r="X23" s="114"/>
      <c r="Y23" s="117">
        <v>0.3861111111111111</v>
      </c>
      <c r="Z23" s="117">
        <v>0.32430555555555557</v>
      </c>
      <c r="AA23" s="114" t="s">
        <v>269</v>
      </c>
      <c r="AB23" s="117">
        <v>0.3590277777777778</v>
      </c>
      <c r="AC23" s="117">
        <v>0.45694444444444443</v>
      </c>
      <c r="AD23" s="114"/>
      <c r="AE23" s="114"/>
      <c r="AF23" s="117">
        <v>0.375</v>
      </c>
      <c r="AG23" s="117">
        <v>0.35</v>
      </c>
      <c r="AH23" s="117">
        <v>0.4131944444444444</v>
      </c>
    </row>
    <row r="24">
      <c r="A24" s="32"/>
      <c r="B24" s="38">
        <v>22.0</v>
      </c>
      <c r="C24" s="45" t="s">
        <v>99</v>
      </c>
      <c r="D24" s="22">
        <f t="shared" si="2"/>
        <v>6.651388889</v>
      </c>
      <c r="E24" s="26" t="s">
        <v>284</v>
      </c>
      <c r="F24" s="26" t="s">
        <v>284</v>
      </c>
      <c r="G24" s="23">
        <v>0.3541666666666667</v>
      </c>
      <c r="H24" s="117">
        <v>0.3541666666666667</v>
      </c>
      <c r="I24" s="23"/>
      <c r="J24" s="23"/>
      <c r="K24" s="25">
        <v>0.38819444444444445</v>
      </c>
      <c r="L24" s="25">
        <v>0.3770833333333333</v>
      </c>
      <c r="M24" s="23">
        <v>0.36180555555555555</v>
      </c>
      <c r="N24" s="26" t="s">
        <v>331</v>
      </c>
      <c r="O24" s="117">
        <v>0.3541666666666667</v>
      </c>
      <c r="P24" s="23"/>
      <c r="Q24" s="114"/>
      <c r="R24" s="117">
        <v>0.30069444444444443</v>
      </c>
      <c r="S24" s="114" t="s">
        <v>331</v>
      </c>
      <c r="T24" s="117">
        <v>0.38263888888888886</v>
      </c>
      <c r="U24" s="117">
        <v>0.3993055555555556</v>
      </c>
      <c r="V24" s="117">
        <v>0.3541666666666667</v>
      </c>
      <c r="W24" s="114"/>
      <c r="X24" s="114"/>
      <c r="Y24" s="117">
        <v>0.4152777777777778</v>
      </c>
      <c r="Z24" s="117">
        <v>0.3611111111111111</v>
      </c>
      <c r="AA24" s="117">
        <v>0.3541666666666667</v>
      </c>
      <c r="AB24" s="117">
        <v>0.2701388888888889</v>
      </c>
      <c r="AC24" s="117">
        <v>0.4548611111111111</v>
      </c>
      <c r="AD24" s="114"/>
      <c r="AE24" s="114"/>
      <c r="AF24" s="117">
        <v>0.4388888888888889</v>
      </c>
      <c r="AG24" s="117">
        <v>0.3576388888888889</v>
      </c>
      <c r="AH24" s="117">
        <v>0.3729166666666667</v>
      </c>
    </row>
    <row r="25">
      <c r="A25" s="32"/>
      <c r="B25" s="28">
        <v>23.0</v>
      </c>
      <c r="C25" s="29" t="s">
        <v>263</v>
      </c>
      <c r="D25" s="22">
        <f t="shared" si="2"/>
        <v>5.150694444</v>
      </c>
      <c r="E25" s="26" t="s">
        <v>284</v>
      </c>
      <c r="F25" s="26" t="s">
        <v>284</v>
      </c>
      <c r="G25" s="117">
        <v>0.3541666666666667</v>
      </c>
      <c r="H25" s="117">
        <v>0.3541666666666667</v>
      </c>
      <c r="I25" s="23"/>
      <c r="J25" s="23"/>
      <c r="K25" s="25">
        <v>0.4076388888888889</v>
      </c>
      <c r="L25" s="26" t="s">
        <v>329</v>
      </c>
      <c r="M25" s="26" t="s">
        <v>329</v>
      </c>
      <c r="N25" s="23">
        <v>0.37430555555555556</v>
      </c>
      <c r="O25" s="117">
        <v>0.3541666666666667</v>
      </c>
      <c r="P25" s="23"/>
      <c r="Q25" s="114"/>
      <c r="R25" s="114" t="s">
        <v>329</v>
      </c>
      <c r="S25" s="117">
        <v>0.38333333333333336</v>
      </c>
      <c r="T25" s="114" t="s">
        <v>329</v>
      </c>
      <c r="U25" s="117">
        <v>0.35833333333333334</v>
      </c>
      <c r="V25" s="117">
        <v>0.37777777777777777</v>
      </c>
      <c r="W25" s="114"/>
      <c r="X25" s="114"/>
      <c r="Y25" s="114" t="s">
        <v>329</v>
      </c>
      <c r="Z25" s="114" t="s">
        <v>329</v>
      </c>
      <c r="AA25" s="117">
        <v>0.37430555555555556</v>
      </c>
      <c r="AB25" s="117">
        <v>0.3541666666666667</v>
      </c>
      <c r="AC25" s="117">
        <v>0.3541666666666667</v>
      </c>
      <c r="AD25" s="114"/>
      <c r="AE25" s="114"/>
      <c r="AF25" s="117">
        <v>0.38125</v>
      </c>
      <c r="AG25" s="117">
        <v>0.35694444444444445</v>
      </c>
      <c r="AH25" s="117">
        <v>0.3659722222222222</v>
      </c>
    </row>
    <row r="26">
      <c r="A26" s="32"/>
      <c r="B26" s="28">
        <v>24.0</v>
      </c>
      <c r="C26" s="29" t="s">
        <v>332</v>
      </c>
      <c r="D26" s="22">
        <f t="shared" si="2"/>
        <v>0</v>
      </c>
      <c r="E26" s="26" t="s">
        <v>284</v>
      </c>
      <c r="F26" s="26" t="s">
        <v>284</v>
      </c>
      <c r="G26" s="23"/>
      <c r="H26" s="23"/>
      <c r="I26" s="23"/>
      <c r="J26" s="23"/>
      <c r="K26" s="25"/>
      <c r="L26" s="25"/>
      <c r="M26" s="23"/>
      <c r="N26" s="23"/>
      <c r="O26" s="23"/>
      <c r="P26" s="23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</row>
    <row r="27">
      <c r="A27" s="32"/>
      <c r="B27" s="38">
        <v>25.0</v>
      </c>
      <c r="C27" s="45" t="s">
        <v>93</v>
      </c>
      <c r="D27" s="22">
        <f t="shared" si="2"/>
        <v>6.970138889</v>
      </c>
      <c r="E27" s="26" t="s">
        <v>284</v>
      </c>
      <c r="F27" s="26" t="s">
        <v>284</v>
      </c>
      <c r="G27" s="117">
        <v>0.3541666666666667</v>
      </c>
      <c r="H27" s="117">
        <v>0.3541666666666667</v>
      </c>
      <c r="I27" s="23"/>
      <c r="J27" s="23"/>
      <c r="K27" s="25">
        <v>0.4625</v>
      </c>
      <c r="L27" s="26" t="s">
        <v>329</v>
      </c>
      <c r="M27" s="23">
        <v>0.4548611111111111</v>
      </c>
      <c r="N27" s="23">
        <v>0.5090277777777777</v>
      </c>
      <c r="O27" s="26" t="s">
        <v>329</v>
      </c>
      <c r="P27" s="23"/>
      <c r="Q27" s="114"/>
      <c r="R27" s="117">
        <v>0.3951388888888889</v>
      </c>
      <c r="S27" s="117">
        <v>0.4583333333333333</v>
      </c>
      <c r="T27" s="117">
        <v>0.44722222222222224</v>
      </c>
      <c r="U27" s="117">
        <v>0.4583333333333333</v>
      </c>
      <c r="V27" s="117">
        <v>0.5090277777777777</v>
      </c>
      <c r="W27" s="114"/>
      <c r="X27" s="114"/>
      <c r="Y27" s="117">
        <v>0.4465277777777778</v>
      </c>
      <c r="Z27" s="117">
        <v>0.4527777777777778</v>
      </c>
      <c r="AA27" s="114" t="s">
        <v>269</v>
      </c>
      <c r="AB27" s="117">
        <v>0.44305555555555554</v>
      </c>
      <c r="AC27" s="114" t="s">
        <v>329</v>
      </c>
      <c r="AD27" s="114"/>
      <c r="AE27" s="114"/>
      <c r="AF27" s="117">
        <v>0.39861111111111114</v>
      </c>
      <c r="AG27" s="117">
        <v>0.41388888888888886</v>
      </c>
      <c r="AH27" s="117">
        <v>0.4125</v>
      </c>
    </row>
    <row r="28">
      <c r="A28" s="32"/>
      <c r="B28" s="38">
        <v>26.0</v>
      </c>
      <c r="C28" s="46" t="s">
        <v>135</v>
      </c>
      <c r="D28" s="22">
        <f t="shared" si="2"/>
        <v>6.140972222</v>
      </c>
      <c r="E28" s="26" t="s">
        <v>284</v>
      </c>
      <c r="F28" s="26" t="s">
        <v>284</v>
      </c>
      <c r="G28" s="117">
        <v>0.3541666666666667</v>
      </c>
      <c r="H28" s="117">
        <v>0.3541666666666667</v>
      </c>
      <c r="I28" s="23"/>
      <c r="J28" s="23"/>
      <c r="K28" s="26" t="s">
        <v>329</v>
      </c>
      <c r="L28" s="26" t="s">
        <v>329</v>
      </c>
      <c r="M28" s="23">
        <v>0.4305555555555556</v>
      </c>
      <c r="N28" s="26" t="s">
        <v>329</v>
      </c>
      <c r="O28" s="117">
        <v>0.3541666666666667</v>
      </c>
      <c r="P28" s="23"/>
      <c r="Q28" s="114"/>
      <c r="R28" s="117">
        <v>0.3645833333333333</v>
      </c>
      <c r="S28" s="117">
        <v>0.41180555555555554</v>
      </c>
      <c r="T28" s="117">
        <v>0.4444444444444444</v>
      </c>
      <c r="U28" s="117">
        <v>0.40555555555555556</v>
      </c>
      <c r="V28" s="117">
        <v>0.3541666666666667</v>
      </c>
      <c r="W28" s="114"/>
      <c r="X28" s="114"/>
      <c r="Y28" s="117">
        <v>0.425</v>
      </c>
      <c r="Z28" s="117">
        <v>0.43194444444444446</v>
      </c>
      <c r="AA28" s="117">
        <v>0.2263888888888889</v>
      </c>
      <c r="AB28" s="117">
        <v>0.41458333333333336</v>
      </c>
      <c r="AC28" s="117">
        <v>0.38958333333333334</v>
      </c>
      <c r="AD28" s="114"/>
      <c r="AE28" s="114"/>
      <c r="AF28" s="114" t="s">
        <v>271</v>
      </c>
      <c r="AG28" s="117">
        <v>0.39166666666666666</v>
      </c>
      <c r="AH28" s="117">
        <v>0.38819444444444445</v>
      </c>
    </row>
    <row r="29">
      <c r="A29" s="32"/>
      <c r="B29" s="38">
        <v>27.0</v>
      </c>
      <c r="C29" s="47" t="s">
        <v>183</v>
      </c>
      <c r="D29" s="22">
        <f t="shared" si="2"/>
        <v>6.613194444</v>
      </c>
      <c r="E29" s="26" t="s">
        <v>284</v>
      </c>
      <c r="F29" s="26" t="s">
        <v>284</v>
      </c>
      <c r="G29" s="117">
        <v>0.3541666666666667</v>
      </c>
      <c r="H29" s="117">
        <v>0.3541666666666667</v>
      </c>
      <c r="I29" s="23"/>
      <c r="J29" s="23"/>
      <c r="K29" s="25">
        <v>0.4479166666666667</v>
      </c>
      <c r="L29" s="25">
        <v>0.38680555555555557</v>
      </c>
      <c r="M29" s="23">
        <v>0.38055555555555554</v>
      </c>
      <c r="N29" s="23">
        <v>0.36319444444444443</v>
      </c>
      <c r="O29" s="117">
        <v>0.3541666666666667</v>
      </c>
      <c r="P29" s="23"/>
      <c r="Q29" s="114"/>
      <c r="R29" s="114" t="s">
        <v>269</v>
      </c>
      <c r="S29" s="117">
        <v>0.41597222222222224</v>
      </c>
      <c r="T29" s="117">
        <v>0.3951388888888889</v>
      </c>
      <c r="U29" s="117">
        <v>0.4409722222222222</v>
      </c>
      <c r="V29" s="114" t="s">
        <v>271</v>
      </c>
      <c r="W29" s="114"/>
      <c r="X29" s="114"/>
      <c r="Y29" s="117">
        <v>0.4125</v>
      </c>
      <c r="Z29" s="114" t="s">
        <v>271</v>
      </c>
      <c r="AA29" s="117">
        <v>0.38680555555555557</v>
      </c>
      <c r="AB29" s="117">
        <v>0.4576388888888889</v>
      </c>
      <c r="AC29" s="117">
        <v>0.3541666666666667</v>
      </c>
      <c r="AD29" s="114"/>
      <c r="AE29" s="114"/>
      <c r="AF29" s="117">
        <v>0.33125</v>
      </c>
      <c r="AG29" s="117">
        <v>0.3951388888888889</v>
      </c>
      <c r="AH29" s="117">
        <v>0.38263888888888886</v>
      </c>
    </row>
    <row r="30">
      <c r="A30" s="32"/>
      <c r="B30" s="38">
        <v>28.0</v>
      </c>
      <c r="C30" s="45" t="s">
        <v>186</v>
      </c>
      <c r="D30" s="22">
        <f t="shared" si="2"/>
        <v>6.260416667</v>
      </c>
      <c r="E30" s="26" t="s">
        <v>284</v>
      </c>
      <c r="F30" s="26" t="s">
        <v>284</v>
      </c>
      <c r="G30" s="117">
        <v>0.3541666666666667</v>
      </c>
      <c r="H30" s="117">
        <v>0.3541666666666667</v>
      </c>
      <c r="I30" s="23"/>
      <c r="J30" s="23"/>
      <c r="K30" s="25">
        <v>0.38472222222222224</v>
      </c>
      <c r="L30" s="23">
        <v>0.16666666666666666</v>
      </c>
      <c r="M30" s="117">
        <v>0.3541666666666667</v>
      </c>
      <c r="N30" s="23">
        <v>0.38958333333333334</v>
      </c>
      <c r="O30" s="117">
        <v>0.3541666666666667</v>
      </c>
      <c r="P30" s="23"/>
      <c r="Q30" s="114"/>
      <c r="R30" s="114" t="s">
        <v>271</v>
      </c>
      <c r="S30" s="117">
        <v>0.3541666666666667</v>
      </c>
      <c r="T30" s="117">
        <v>0.41944444444444445</v>
      </c>
      <c r="U30" s="117">
        <v>0.41458333333333336</v>
      </c>
      <c r="V30" s="117">
        <v>0.3541666666666667</v>
      </c>
      <c r="W30" s="114"/>
      <c r="X30" s="114"/>
      <c r="Y30" s="114" t="s">
        <v>333</v>
      </c>
      <c r="Z30" s="117">
        <v>0.4395833333333333</v>
      </c>
      <c r="AA30" s="117">
        <v>0.3541666666666667</v>
      </c>
      <c r="AB30" s="117">
        <v>0.4236111111111111</v>
      </c>
      <c r="AC30" s="117">
        <v>0.3541666666666667</v>
      </c>
      <c r="AD30" s="114"/>
      <c r="AE30" s="114"/>
      <c r="AF30" s="114" t="s">
        <v>329</v>
      </c>
      <c r="AG30" s="117">
        <v>0.3902777777777778</v>
      </c>
      <c r="AH30" s="117">
        <v>0.39861111111111114</v>
      </c>
    </row>
    <row r="31">
      <c r="A31" s="32"/>
      <c r="B31" s="38">
        <v>29.0</v>
      </c>
      <c r="C31" s="47" t="s">
        <v>141</v>
      </c>
      <c r="D31" s="22">
        <f t="shared" si="2"/>
        <v>6.147222222</v>
      </c>
      <c r="E31" s="26" t="s">
        <v>284</v>
      </c>
      <c r="F31" s="26" t="s">
        <v>284</v>
      </c>
      <c r="G31" s="117">
        <v>0.3541666666666667</v>
      </c>
      <c r="H31" s="117">
        <v>0.3541666666666667</v>
      </c>
      <c r="I31" s="23"/>
      <c r="J31" s="23"/>
      <c r="K31" s="25">
        <v>0.34097222222222223</v>
      </c>
      <c r="L31" s="25">
        <v>0.38819444444444445</v>
      </c>
      <c r="M31" s="23">
        <v>0.37777777777777777</v>
      </c>
      <c r="N31" s="26" t="s">
        <v>329</v>
      </c>
      <c r="O31" s="117">
        <v>0.3541666666666667</v>
      </c>
      <c r="P31" s="23"/>
      <c r="Q31" s="114"/>
      <c r="R31" s="114" t="s">
        <v>271</v>
      </c>
      <c r="S31" s="117">
        <v>0.3854166666666667</v>
      </c>
      <c r="T31" s="117">
        <v>0.3659722222222222</v>
      </c>
      <c r="U31" s="117">
        <v>0.3680555555555556</v>
      </c>
      <c r="V31" s="117">
        <v>0.3541666666666667</v>
      </c>
      <c r="W31" s="114"/>
      <c r="X31" s="114"/>
      <c r="Y31" s="114" t="s">
        <v>269</v>
      </c>
      <c r="Z31" s="117">
        <v>0.3277777777777778</v>
      </c>
      <c r="AA31" s="117">
        <v>0.3770833333333333</v>
      </c>
      <c r="AB31" s="117">
        <v>0.3611111111111111</v>
      </c>
      <c r="AC31" s="117">
        <v>0.3541666666666667</v>
      </c>
      <c r="AD31" s="114"/>
      <c r="AE31" s="114"/>
      <c r="AF31" s="117">
        <v>0.3145833333333333</v>
      </c>
      <c r="AG31" s="117">
        <v>0.3784722222222222</v>
      </c>
      <c r="AH31" s="117">
        <v>0.3909722222222222</v>
      </c>
    </row>
    <row r="32">
      <c r="A32" s="15"/>
      <c r="B32" s="38">
        <v>30.0</v>
      </c>
      <c r="C32" s="47" t="s">
        <v>207</v>
      </c>
      <c r="D32" s="22">
        <f t="shared" si="2"/>
        <v>5.56875</v>
      </c>
      <c r="E32" s="26" t="s">
        <v>284</v>
      </c>
      <c r="F32" s="26" t="s">
        <v>284</v>
      </c>
      <c r="G32" s="23">
        <v>0.3</v>
      </c>
      <c r="H32" s="26" t="s">
        <v>329</v>
      </c>
      <c r="I32" s="23"/>
      <c r="J32" s="23"/>
      <c r="K32" s="25">
        <v>0.30625</v>
      </c>
      <c r="L32" s="25">
        <v>0.37430555555555556</v>
      </c>
      <c r="M32" s="23">
        <v>0.38333333333333336</v>
      </c>
      <c r="N32" s="23">
        <v>0.30416666666666664</v>
      </c>
      <c r="O32" s="117">
        <v>0.3541666666666667</v>
      </c>
      <c r="P32" s="23"/>
      <c r="Q32" s="114"/>
      <c r="R32" s="114" t="s">
        <v>329</v>
      </c>
      <c r="S32" s="117">
        <v>0.3611111111111111</v>
      </c>
      <c r="T32" s="117">
        <v>0.46875</v>
      </c>
      <c r="U32" s="117">
        <v>0.37777777777777777</v>
      </c>
      <c r="V32" s="117">
        <v>0.3541666666666667</v>
      </c>
      <c r="W32" s="114"/>
      <c r="X32" s="114"/>
      <c r="Y32" s="117">
        <v>0.3784722222222222</v>
      </c>
      <c r="Z32" s="117">
        <v>0.2625</v>
      </c>
      <c r="AA32" s="117">
        <v>0.28194444444444444</v>
      </c>
      <c r="AB32" s="117">
        <v>0.3875</v>
      </c>
      <c r="AC32" s="114" t="s">
        <v>329</v>
      </c>
      <c r="AD32" s="114"/>
      <c r="AE32" s="114"/>
      <c r="AF32" s="117">
        <v>0.38819444444444445</v>
      </c>
      <c r="AG32" s="117">
        <v>0.2861111111111111</v>
      </c>
      <c r="AH32" s="114" t="s">
        <v>329</v>
      </c>
    </row>
    <row r="33">
      <c r="A33" s="48" t="s">
        <v>278</v>
      </c>
      <c r="B33" s="33">
        <v>31.0</v>
      </c>
      <c r="C33" s="31" t="s">
        <v>60</v>
      </c>
      <c r="D33" s="22">
        <f t="shared" si="2"/>
        <v>4.234722222</v>
      </c>
      <c r="E33" s="26" t="s">
        <v>284</v>
      </c>
      <c r="F33" s="26" t="s">
        <v>284</v>
      </c>
      <c r="G33" s="23"/>
      <c r="H33" s="23"/>
      <c r="I33" s="23"/>
      <c r="J33" s="23"/>
      <c r="K33" s="25">
        <v>0.3951388888888889</v>
      </c>
      <c r="L33" s="25">
        <v>0.3423611111111111</v>
      </c>
      <c r="M33" s="23"/>
      <c r="N33" s="23"/>
      <c r="O33" s="23">
        <v>0.2916666666666667</v>
      </c>
      <c r="P33" s="23"/>
      <c r="Q33" s="114"/>
      <c r="R33" s="117">
        <v>0.3368055555555556</v>
      </c>
      <c r="S33" s="117">
        <v>0.26458333333333334</v>
      </c>
      <c r="T33" s="117">
        <v>0.3597222222222222</v>
      </c>
      <c r="U33" s="117">
        <v>0.3277777777777778</v>
      </c>
      <c r="V33" s="117">
        <v>0.2881944444444444</v>
      </c>
      <c r="W33" s="114"/>
      <c r="X33" s="114"/>
      <c r="Y33" s="117"/>
      <c r="Z33" s="117">
        <v>0.3638888888888889</v>
      </c>
      <c r="AA33" s="117">
        <v>0.33819444444444446</v>
      </c>
      <c r="AB33" s="117">
        <v>0.21944444444444444</v>
      </c>
      <c r="AC33" s="114"/>
      <c r="AD33" s="114"/>
      <c r="AE33" s="114"/>
      <c r="AF33" s="117">
        <v>0.35555555555555557</v>
      </c>
      <c r="AG33" s="117"/>
      <c r="AH33" s="117">
        <v>0.35138888888888886</v>
      </c>
    </row>
    <row r="34">
      <c r="A34" s="32"/>
      <c r="B34" s="33">
        <v>32.0</v>
      </c>
      <c r="C34" s="31" t="s">
        <v>249</v>
      </c>
      <c r="D34" s="22">
        <f t="shared" si="2"/>
        <v>6.174305556</v>
      </c>
      <c r="E34" s="26" t="s">
        <v>284</v>
      </c>
      <c r="F34" s="26" t="s">
        <v>284</v>
      </c>
      <c r="G34" s="117">
        <v>0.3541666666666667</v>
      </c>
      <c r="H34" s="117">
        <v>0.3541666666666667</v>
      </c>
      <c r="I34" s="23"/>
      <c r="J34" s="23"/>
      <c r="K34" s="25">
        <v>0.41458333333333336</v>
      </c>
      <c r="L34" s="25">
        <v>0.37222222222222223</v>
      </c>
      <c r="M34" s="23">
        <v>0.37916666666666665</v>
      </c>
      <c r="N34" s="23">
        <v>0.35833333333333334</v>
      </c>
      <c r="O34" s="26" t="s">
        <v>329</v>
      </c>
      <c r="P34" s="23"/>
      <c r="Q34" s="114"/>
      <c r="R34" s="117">
        <v>0.35138888888888886</v>
      </c>
      <c r="S34" s="117">
        <v>0.36666666666666664</v>
      </c>
      <c r="T34" s="117">
        <v>0.35694444444444445</v>
      </c>
      <c r="U34" s="117">
        <v>0.34930555555555554</v>
      </c>
      <c r="V34" s="117">
        <v>0.3541666666666667</v>
      </c>
      <c r="W34" s="114"/>
      <c r="X34" s="114"/>
      <c r="Y34" s="114" t="s">
        <v>269</v>
      </c>
      <c r="Z34" s="117">
        <v>0.37430555555555556</v>
      </c>
      <c r="AA34" s="117">
        <v>0.36319444444444443</v>
      </c>
      <c r="AB34" s="117">
        <v>0.36041666666666666</v>
      </c>
      <c r="AC34" s="117">
        <v>0.3541666666666667</v>
      </c>
      <c r="AD34" s="114"/>
      <c r="AE34" s="114"/>
      <c r="AF34" s="114" t="s">
        <v>271</v>
      </c>
      <c r="AG34" s="117">
        <v>0.3576388888888889</v>
      </c>
      <c r="AH34" s="117">
        <v>0.35347222222222224</v>
      </c>
    </row>
    <row r="35">
      <c r="A35" s="32"/>
      <c r="B35" s="33">
        <v>33.0</v>
      </c>
      <c r="C35" s="31" t="s">
        <v>72</v>
      </c>
      <c r="D35" s="22">
        <f t="shared" si="2"/>
        <v>7.377777778</v>
      </c>
      <c r="E35" s="26" t="s">
        <v>284</v>
      </c>
      <c r="F35" s="26" t="s">
        <v>284</v>
      </c>
      <c r="G35" s="23">
        <v>0.36527777777777776</v>
      </c>
      <c r="H35" s="117">
        <v>0.3541666666666667</v>
      </c>
      <c r="I35" s="23"/>
      <c r="J35" s="23"/>
      <c r="K35" s="25">
        <v>0.43333333333333335</v>
      </c>
      <c r="L35" s="25">
        <v>0.4125</v>
      </c>
      <c r="M35" s="23">
        <v>0.3958333333333333</v>
      </c>
      <c r="N35" s="26" t="s">
        <v>329</v>
      </c>
      <c r="O35" s="26" t="s">
        <v>329</v>
      </c>
      <c r="P35" s="23"/>
      <c r="Q35" s="114"/>
      <c r="R35" s="117">
        <v>0.49722222222222223</v>
      </c>
      <c r="S35" s="117">
        <v>0.38958333333333334</v>
      </c>
      <c r="T35" s="117">
        <v>0.43333333333333335</v>
      </c>
      <c r="U35" s="117">
        <v>0.44166666666666665</v>
      </c>
      <c r="V35" s="117">
        <v>0.3541666666666667</v>
      </c>
      <c r="W35" s="114"/>
      <c r="X35" s="114"/>
      <c r="Y35" s="117">
        <v>0.40902777777777777</v>
      </c>
      <c r="Z35" s="117">
        <v>0.4666666666666667</v>
      </c>
      <c r="AA35" s="117">
        <v>0.48055555555555557</v>
      </c>
      <c r="AB35" s="117">
        <v>0.4284722222222222</v>
      </c>
      <c r="AC35" s="117">
        <v>0.3541666666666667</v>
      </c>
      <c r="AD35" s="114"/>
      <c r="AE35" s="114"/>
      <c r="AF35" s="117">
        <v>0.3798611111111111</v>
      </c>
      <c r="AG35" s="117">
        <v>0.39444444444444443</v>
      </c>
      <c r="AH35" s="117">
        <v>0.3875</v>
      </c>
    </row>
    <row r="36">
      <c r="A36" s="32"/>
      <c r="B36" s="33">
        <v>34.0</v>
      </c>
      <c r="C36" s="43" t="s">
        <v>204</v>
      </c>
      <c r="D36" s="22">
        <f t="shared" si="2"/>
        <v>6.86875</v>
      </c>
      <c r="E36" s="26" t="s">
        <v>284</v>
      </c>
      <c r="F36" s="26" t="s">
        <v>284</v>
      </c>
      <c r="G36" s="26" t="s">
        <v>328</v>
      </c>
      <c r="H36" s="117">
        <v>0.3541666666666667</v>
      </c>
      <c r="I36" s="23"/>
      <c r="J36" s="23"/>
      <c r="K36" s="25">
        <v>0.4041666666666667</v>
      </c>
      <c r="L36" s="25">
        <v>0.36041666666666666</v>
      </c>
      <c r="M36" s="23">
        <v>0.3416666666666667</v>
      </c>
      <c r="N36" s="23">
        <v>0.3590277777777778</v>
      </c>
      <c r="O36" s="117">
        <v>0.3541666666666667</v>
      </c>
      <c r="P36" s="23"/>
      <c r="Q36" s="114"/>
      <c r="R36" s="117">
        <v>0.3770833333333333</v>
      </c>
      <c r="S36" s="117">
        <v>0.35833333333333334</v>
      </c>
      <c r="T36" s="117">
        <v>0.3680555555555556</v>
      </c>
      <c r="U36" s="117">
        <v>0.3284722222222222</v>
      </c>
      <c r="V36" s="117">
        <v>0.3541666666666667</v>
      </c>
      <c r="W36" s="114"/>
      <c r="X36" s="114"/>
      <c r="Y36" s="117">
        <v>0.3548611111111111</v>
      </c>
      <c r="Z36" s="117">
        <v>0.35694444444444445</v>
      </c>
      <c r="AA36" s="117">
        <v>0.3506944444444444</v>
      </c>
      <c r="AB36" s="117">
        <v>0.40694444444444444</v>
      </c>
      <c r="AC36" s="117">
        <v>0.3541666666666667</v>
      </c>
      <c r="AD36" s="114"/>
      <c r="AE36" s="114"/>
      <c r="AF36" s="117">
        <v>0.3576388888888889</v>
      </c>
      <c r="AG36" s="117">
        <v>0.36666666666666664</v>
      </c>
      <c r="AH36" s="117">
        <v>0.3611111111111111</v>
      </c>
    </row>
    <row r="37">
      <c r="A37" s="32"/>
      <c r="B37" s="33">
        <v>35.0</v>
      </c>
      <c r="C37" s="34" t="s">
        <v>279</v>
      </c>
      <c r="D37" s="22">
        <f t="shared" si="2"/>
        <v>5.819444444</v>
      </c>
      <c r="E37" s="26" t="s">
        <v>284</v>
      </c>
      <c r="F37" s="26" t="s">
        <v>284</v>
      </c>
      <c r="G37" s="23">
        <v>0.34930555555555554</v>
      </c>
      <c r="H37" s="117">
        <v>0.3541666666666667</v>
      </c>
      <c r="I37" s="23"/>
      <c r="J37" s="23"/>
      <c r="K37" s="26" t="s">
        <v>271</v>
      </c>
      <c r="L37" s="25">
        <v>0.3625</v>
      </c>
      <c r="M37" s="23">
        <v>0.36527777777777776</v>
      </c>
      <c r="N37" s="23">
        <v>0.38333333333333336</v>
      </c>
      <c r="O37" s="26" t="s">
        <v>329</v>
      </c>
      <c r="P37" s="23"/>
      <c r="Q37" s="114"/>
      <c r="R37" s="117">
        <v>0.36041666666666666</v>
      </c>
      <c r="S37" s="117">
        <v>0.3888888888888889</v>
      </c>
      <c r="T37" s="117">
        <v>0.3701388888888889</v>
      </c>
      <c r="U37" s="117">
        <v>0.36319444444444443</v>
      </c>
      <c r="V37" s="114" t="s">
        <v>329</v>
      </c>
      <c r="W37" s="114"/>
      <c r="X37" s="114"/>
      <c r="Y37" s="117">
        <v>0.3645833333333333</v>
      </c>
      <c r="Z37" s="117">
        <v>0.3548611111111111</v>
      </c>
      <c r="AA37" s="117">
        <v>0.3506944444444444</v>
      </c>
      <c r="AB37" s="114" t="s">
        <v>329</v>
      </c>
      <c r="AC37" s="117">
        <v>0.3541666666666667</v>
      </c>
      <c r="AD37" s="114"/>
      <c r="AE37" s="114"/>
      <c r="AF37" s="117">
        <v>0.3541666666666667</v>
      </c>
      <c r="AG37" s="117">
        <v>0.3819444444444444</v>
      </c>
      <c r="AH37" s="117">
        <v>0.36180555555555555</v>
      </c>
    </row>
    <row r="38">
      <c r="A38" s="32"/>
      <c r="B38" s="38">
        <v>36.0</v>
      </c>
      <c r="C38" s="47" t="s">
        <v>14</v>
      </c>
      <c r="D38" s="22">
        <f t="shared" si="2"/>
        <v>6.872916667</v>
      </c>
      <c r="E38" s="26" t="s">
        <v>284</v>
      </c>
      <c r="F38" s="26" t="s">
        <v>284</v>
      </c>
      <c r="G38" s="23">
        <v>0.35833333333333334</v>
      </c>
      <c r="H38" s="117">
        <v>0.3541666666666667</v>
      </c>
      <c r="I38" s="23"/>
      <c r="J38" s="23"/>
      <c r="K38" s="25">
        <v>0.4284722222222222</v>
      </c>
      <c r="L38" s="25">
        <v>0.35</v>
      </c>
      <c r="M38" s="23">
        <v>0.3972222222222222</v>
      </c>
      <c r="N38" s="23">
        <v>0.35555555555555557</v>
      </c>
      <c r="O38" s="117">
        <v>0.3541666666666667</v>
      </c>
      <c r="P38" s="23"/>
      <c r="Q38" s="114"/>
      <c r="R38" s="117">
        <v>0.3229166666666667</v>
      </c>
      <c r="S38" s="117">
        <v>0.37777777777777777</v>
      </c>
      <c r="T38" s="117">
        <v>0.4215277777777778</v>
      </c>
      <c r="U38" s="117">
        <v>0.3333333333333333</v>
      </c>
      <c r="V38" s="117">
        <v>0.3541666666666667</v>
      </c>
      <c r="W38" s="114"/>
      <c r="X38" s="114"/>
      <c r="Y38" s="117">
        <v>0.37777777777777777</v>
      </c>
      <c r="Z38" s="117">
        <v>0.46041666666666664</v>
      </c>
      <c r="AA38" s="117">
        <v>0.4465277777777778</v>
      </c>
      <c r="AB38" s="114" t="s">
        <v>329</v>
      </c>
      <c r="AC38" s="117">
        <v>0.3541666666666667</v>
      </c>
      <c r="AD38" s="114"/>
      <c r="AE38" s="114"/>
      <c r="AF38" s="117">
        <v>0.3451388888888889</v>
      </c>
      <c r="AG38" s="114" t="s">
        <v>329</v>
      </c>
      <c r="AH38" s="117">
        <v>0.48125</v>
      </c>
    </row>
    <row r="39">
      <c r="A39" s="32"/>
      <c r="B39" s="33">
        <v>37.0</v>
      </c>
      <c r="C39" s="50" t="s">
        <v>81</v>
      </c>
      <c r="D39" s="22">
        <f t="shared" si="2"/>
        <v>7.288888889</v>
      </c>
      <c r="E39" s="26" t="s">
        <v>284</v>
      </c>
      <c r="F39" s="26" t="s">
        <v>284</v>
      </c>
      <c r="G39" s="23">
        <v>0.3506944444444444</v>
      </c>
      <c r="H39" s="26" t="s">
        <v>329</v>
      </c>
      <c r="I39" s="23"/>
      <c r="J39" s="23"/>
      <c r="K39" s="23">
        <v>0.16666666666666666</v>
      </c>
      <c r="L39" s="117">
        <v>0.3541666666666667</v>
      </c>
      <c r="M39" s="23">
        <v>0.42986111111111114</v>
      </c>
      <c r="N39" s="23">
        <v>0.32083333333333336</v>
      </c>
      <c r="O39" s="23">
        <v>0.4895833333333333</v>
      </c>
      <c r="P39" s="23"/>
      <c r="Q39" s="114"/>
      <c r="R39" s="114" t="s">
        <v>331</v>
      </c>
      <c r="S39" s="117">
        <v>0.41875</v>
      </c>
      <c r="T39" s="117">
        <v>0.42083333333333334</v>
      </c>
      <c r="U39" s="117">
        <v>0.5555555555555556</v>
      </c>
      <c r="V39" s="117">
        <v>0.5222222222222223</v>
      </c>
      <c r="W39" s="114"/>
      <c r="X39" s="114"/>
      <c r="Y39" s="117">
        <v>0.40625</v>
      </c>
      <c r="Z39" s="117">
        <v>0.4847222222222222</v>
      </c>
      <c r="AA39" s="117">
        <v>0.37569444444444444</v>
      </c>
      <c r="AB39" s="117">
        <v>0.47638888888888886</v>
      </c>
      <c r="AC39" s="117">
        <v>0.5305555555555556</v>
      </c>
      <c r="AD39" s="114"/>
      <c r="AE39" s="114"/>
      <c r="AF39" s="117">
        <v>0.45</v>
      </c>
      <c r="AG39" s="117">
        <v>0.5361111111111111</v>
      </c>
      <c r="AH39" s="114" t="s">
        <v>329</v>
      </c>
    </row>
    <row r="40">
      <c r="A40" s="32"/>
      <c r="B40" s="33">
        <v>38.0</v>
      </c>
      <c r="C40" s="43" t="s">
        <v>153</v>
      </c>
      <c r="D40" s="22">
        <f t="shared" si="2"/>
        <v>6.444444444</v>
      </c>
      <c r="E40" s="26" t="s">
        <v>284</v>
      </c>
      <c r="F40" s="26" t="s">
        <v>284</v>
      </c>
      <c r="G40" s="26" t="s">
        <v>271</v>
      </c>
      <c r="H40" s="117">
        <v>0.3541666666666667</v>
      </c>
      <c r="I40" s="23"/>
      <c r="J40" s="23"/>
      <c r="K40" s="26" t="s">
        <v>269</v>
      </c>
      <c r="L40" s="25">
        <v>0.4305555555555556</v>
      </c>
      <c r="M40" s="23">
        <v>0.4097222222222222</v>
      </c>
      <c r="N40" s="23">
        <v>0.4013888888888889</v>
      </c>
      <c r="O40" s="117">
        <v>0.3541666666666667</v>
      </c>
      <c r="P40" s="23"/>
      <c r="Q40" s="114"/>
      <c r="R40" s="114" t="s">
        <v>329</v>
      </c>
      <c r="S40" s="117">
        <v>0.43194444444444446</v>
      </c>
      <c r="T40" s="117">
        <v>0.43680555555555556</v>
      </c>
      <c r="U40" s="117">
        <v>0.41041666666666665</v>
      </c>
      <c r="V40" s="117">
        <v>0.3541666666666667</v>
      </c>
      <c r="W40" s="114"/>
      <c r="X40" s="114"/>
      <c r="Y40" s="117">
        <v>0.3333333333333333</v>
      </c>
      <c r="Z40" s="117">
        <v>0.36875</v>
      </c>
      <c r="AA40" s="117">
        <v>0.3576388888888889</v>
      </c>
      <c r="AB40" s="117">
        <v>0.36944444444444446</v>
      </c>
      <c r="AC40" s="117">
        <v>0.3541666666666667</v>
      </c>
      <c r="AD40" s="114"/>
      <c r="AE40" s="114"/>
      <c r="AF40" s="117">
        <v>0.37777777777777777</v>
      </c>
      <c r="AG40" s="117">
        <v>0.3736111111111111</v>
      </c>
      <c r="AH40" s="117">
        <v>0.3263888888888889</v>
      </c>
    </row>
    <row r="41">
      <c r="A41" s="32"/>
      <c r="B41" s="33">
        <v>39.0</v>
      </c>
      <c r="C41" s="34" t="s">
        <v>198</v>
      </c>
      <c r="D41" s="22">
        <f t="shared" si="2"/>
        <v>7.125</v>
      </c>
      <c r="E41" s="26" t="s">
        <v>284</v>
      </c>
      <c r="F41" s="26" t="s">
        <v>284</v>
      </c>
      <c r="G41" s="23">
        <v>0.3784722222222222</v>
      </c>
      <c r="H41" s="117">
        <v>0.3541666666666667</v>
      </c>
      <c r="I41" s="23"/>
      <c r="J41" s="23"/>
      <c r="K41" s="25">
        <v>0.42986111111111114</v>
      </c>
      <c r="L41" s="25">
        <v>0.38680555555555557</v>
      </c>
      <c r="M41" s="23">
        <v>0.38125</v>
      </c>
      <c r="N41" s="23">
        <v>0.3909722222222222</v>
      </c>
      <c r="O41" s="117">
        <v>0.3541666666666667</v>
      </c>
      <c r="P41" s="23"/>
      <c r="Q41" s="114"/>
      <c r="R41" s="117">
        <v>0.3701388888888889</v>
      </c>
      <c r="S41" s="117">
        <v>0.38958333333333334</v>
      </c>
      <c r="T41" s="117">
        <v>0.39861111111111114</v>
      </c>
      <c r="U41" s="117">
        <v>0.3854166666666667</v>
      </c>
      <c r="V41" s="117">
        <v>0.30833333333333335</v>
      </c>
      <c r="W41" s="114"/>
      <c r="X41" s="114"/>
      <c r="Y41" s="117">
        <v>0.3784722222222222</v>
      </c>
      <c r="Z41" s="117">
        <v>0.3784722222222222</v>
      </c>
      <c r="AA41" s="114" t="s">
        <v>269</v>
      </c>
      <c r="AB41" s="117">
        <v>0.3326388888888889</v>
      </c>
      <c r="AC41" s="117">
        <v>0.3541666666666667</v>
      </c>
      <c r="AD41" s="114"/>
      <c r="AE41" s="114"/>
      <c r="AF41" s="117">
        <v>0.3854166666666667</v>
      </c>
      <c r="AG41" s="117">
        <v>0.38263888888888886</v>
      </c>
      <c r="AH41" s="117">
        <v>0.3854166666666667</v>
      </c>
    </row>
    <row r="42">
      <c r="A42" s="32"/>
      <c r="B42" s="38">
        <v>40.0</v>
      </c>
      <c r="C42" s="47" t="s">
        <v>105</v>
      </c>
      <c r="D42" s="22">
        <f t="shared" si="2"/>
        <v>6.640277778</v>
      </c>
      <c r="E42" s="26" t="s">
        <v>284</v>
      </c>
      <c r="F42" s="26" t="s">
        <v>284</v>
      </c>
      <c r="G42" s="117">
        <v>0.3541666666666667</v>
      </c>
      <c r="H42" s="117">
        <v>0.3541666666666667</v>
      </c>
      <c r="I42" s="23"/>
      <c r="J42" s="23"/>
      <c r="K42" s="25">
        <v>0.4340277777777778</v>
      </c>
      <c r="L42" s="25">
        <v>0.40069444444444446</v>
      </c>
      <c r="M42" s="23">
        <v>0.43333333333333335</v>
      </c>
      <c r="N42" s="23">
        <v>0.37083333333333335</v>
      </c>
      <c r="O42" s="117">
        <v>0.3541666666666667</v>
      </c>
      <c r="P42" s="23"/>
      <c r="Q42" s="114"/>
      <c r="R42" s="114" t="s">
        <v>271</v>
      </c>
      <c r="S42" s="117">
        <v>0.39652777777777776</v>
      </c>
      <c r="T42" s="117">
        <v>0.38263888888888886</v>
      </c>
      <c r="U42" s="117">
        <v>0.42986111111111114</v>
      </c>
      <c r="V42" s="117">
        <v>0.3541666666666667</v>
      </c>
      <c r="W42" s="114"/>
      <c r="X42" s="114"/>
      <c r="Y42" s="114" t="s">
        <v>329</v>
      </c>
      <c r="Z42" s="117">
        <v>0.38125</v>
      </c>
      <c r="AA42" s="117">
        <v>0.41597222222222224</v>
      </c>
      <c r="AB42" s="117">
        <v>0.44027777777777777</v>
      </c>
      <c r="AC42" s="117">
        <v>0.3541666666666667</v>
      </c>
      <c r="AD42" s="114"/>
      <c r="AE42" s="114"/>
      <c r="AF42" s="114" t="s">
        <v>329</v>
      </c>
      <c r="AG42" s="117">
        <v>0.3909722222222222</v>
      </c>
      <c r="AH42" s="117">
        <v>0.39305555555555555</v>
      </c>
    </row>
    <row r="43">
      <c r="A43" s="32"/>
      <c r="B43" s="38">
        <v>41.0</v>
      </c>
      <c r="C43" s="40" t="s">
        <v>29</v>
      </c>
      <c r="D43" s="22">
        <f t="shared" si="2"/>
        <v>6.966666667</v>
      </c>
      <c r="E43" s="26" t="s">
        <v>284</v>
      </c>
      <c r="F43" s="26" t="s">
        <v>284</v>
      </c>
      <c r="G43" s="117">
        <v>0.3541666666666667</v>
      </c>
      <c r="H43" s="117">
        <v>0.3541666666666667</v>
      </c>
      <c r="I43" s="23"/>
      <c r="J43" s="23"/>
      <c r="K43" s="117">
        <v>0.3541666666666667</v>
      </c>
      <c r="L43" s="25">
        <v>0.3375</v>
      </c>
      <c r="M43" s="23">
        <v>0.3416666666666667</v>
      </c>
      <c r="N43" s="117">
        <v>0.3541666666666667</v>
      </c>
      <c r="O43" s="117">
        <v>0.3541666666666667</v>
      </c>
      <c r="P43" s="23"/>
      <c r="Q43" s="114"/>
      <c r="R43" s="117">
        <v>0.3541666666666667</v>
      </c>
      <c r="S43" s="117">
        <v>0.3541666666666667</v>
      </c>
      <c r="T43" s="117">
        <v>0.33125</v>
      </c>
      <c r="U43" s="117">
        <v>0.34097222222222223</v>
      </c>
      <c r="V43" s="117">
        <v>0.3541666666666667</v>
      </c>
      <c r="W43" s="114"/>
      <c r="X43" s="114"/>
      <c r="Y43" s="117">
        <v>0.3541666666666667</v>
      </c>
      <c r="Z43" s="117">
        <v>0.3541666666666667</v>
      </c>
      <c r="AA43" s="117">
        <v>0.3347222222222222</v>
      </c>
      <c r="AB43" s="117">
        <v>0.3423611111111111</v>
      </c>
      <c r="AC43" s="117">
        <v>0.3541666666666667</v>
      </c>
      <c r="AD43" s="114"/>
      <c r="AE43" s="114"/>
      <c r="AF43" s="117">
        <v>0.3541666666666667</v>
      </c>
      <c r="AG43" s="117">
        <v>0.3541666666666667</v>
      </c>
      <c r="AH43" s="117">
        <v>0.33402777777777776</v>
      </c>
    </row>
    <row r="44">
      <c r="A44" s="15"/>
      <c r="B44" s="33">
        <v>42.0</v>
      </c>
      <c r="C44" s="35" t="s">
        <v>257</v>
      </c>
      <c r="D44" s="22">
        <f t="shared" si="2"/>
        <v>6.335416667</v>
      </c>
      <c r="E44" s="26" t="s">
        <v>284</v>
      </c>
      <c r="F44" s="26" t="s">
        <v>284</v>
      </c>
      <c r="G44" s="117">
        <v>0.3541666666666667</v>
      </c>
      <c r="H44" s="117">
        <v>0.3541666666666667</v>
      </c>
      <c r="I44" s="23"/>
      <c r="J44" s="23"/>
      <c r="K44" s="25">
        <v>0.39375</v>
      </c>
      <c r="L44" s="25">
        <v>0.35208333333333336</v>
      </c>
      <c r="M44" s="23">
        <v>0.34305555555555556</v>
      </c>
      <c r="N44" s="23">
        <v>0.3284722222222222</v>
      </c>
      <c r="O44" s="26" t="s">
        <v>271</v>
      </c>
      <c r="P44" s="23"/>
      <c r="Q44" s="114"/>
      <c r="R44" s="114" t="s">
        <v>329</v>
      </c>
      <c r="S44" s="117">
        <v>0.3638888888888889</v>
      </c>
      <c r="T44" s="117">
        <v>0.35</v>
      </c>
      <c r="U44" s="117">
        <v>0.32430555555555557</v>
      </c>
      <c r="V44" s="117">
        <v>0.3541666666666667</v>
      </c>
      <c r="W44" s="114"/>
      <c r="X44" s="114"/>
      <c r="Y44" s="117">
        <v>0.35625</v>
      </c>
      <c r="Z44" s="117">
        <v>0.3527777777777778</v>
      </c>
      <c r="AA44" s="117">
        <v>0.3506944444444444</v>
      </c>
      <c r="AB44" s="117">
        <v>0.3645833333333333</v>
      </c>
      <c r="AC44" s="117">
        <v>0.31319444444444444</v>
      </c>
      <c r="AD44" s="114"/>
      <c r="AE44" s="114"/>
      <c r="AF44" s="117">
        <v>0.36944444444444446</v>
      </c>
      <c r="AG44" s="117">
        <v>0.36041666666666666</v>
      </c>
      <c r="AH44" s="117">
        <v>0.35</v>
      </c>
    </row>
    <row r="45">
      <c r="A45" s="52">
        <v>45547.0</v>
      </c>
      <c r="B45" s="28">
        <v>43.0</v>
      </c>
      <c r="C45" s="29" t="s">
        <v>26</v>
      </c>
      <c r="D45" s="22">
        <f t="shared" si="2"/>
        <v>5.005555556</v>
      </c>
      <c r="E45" s="26" t="s">
        <v>284</v>
      </c>
      <c r="F45" s="26" t="s">
        <v>284</v>
      </c>
      <c r="G45" s="23">
        <v>0.3541666666666667</v>
      </c>
      <c r="H45" s="23">
        <v>0.3541666666666667</v>
      </c>
      <c r="I45" s="23"/>
      <c r="J45" s="23"/>
      <c r="K45" s="26" t="s">
        <v>329</v>
      </c>
      <c r="L45" s="26" t="s">
        <v>331</v>
      </c>
      <c r="M45" s="23">
        <v>0.34097222222222223</v>
      </c>
      <c r="N45" s="26" t="s">
        <v>333</v>
      </c>
      <c r="O45" s="117">
        <v>0.3541666666666667</v>
      </c>
      <c r="P45" s="23"/>
      <c r="Q45" s="114"/>
      <c r="R45" s="114" t="s">
        <v>334</v>
      </c>
      <c r="S45" s="117">
        <v>0.3902777777777778</v>
      </c>
      <c r="T45" s="114" t="s">
        <v>331</v>
      </c>
      <c r="U45" s="117">
        <v>0.4270833333333333</v>
      </c>
      <c r="V45" s="117">
        <v>0.3541666666666667</v>
      </c>
      <c r="W45" s="114"/>
      <c r="X45" s="114"/>
      <c r="Y45" s="117">
        <v>0.4597222222222222</v>
      </c>
      <c r="Z45" s="117">
        <v>0.3958333333333333</v>
      </c>
      <c r="AA45" s="117">
        <v>0.37777777777777777</v>
      </c>
      <c r="AB45" s="114" t="s">
        <v>331</v>
      </c>
      <c r="AC45" s="117">
        <v>0.3541666666666667</v>
      </c>
      <c r="AD45" s="114"/>
      <c r="AE45" s="114"/>
      <c r="AF45" s="117">
        <v>0.33055555555555555</v>
      </c>
      <c r="AG45" s="114" t="s">
        <v>329</v>
      </c>
      <c r="AH45" s="117">
        <v>0.5125</v>
      </c>
    </row>
    <row r="46">
      <c r="A46" s="32"/>
      <c r="B46" s="28">
        <v>44.0</v>
      </c>
      <c r="C46" s="129" t="s">
        <v>51</v>
      </c>
      <c r="D46" s="22">
        <f t="shared" si="2"/>
        <v>3.874305556</v>
      </c>
      <c r="E46" s="26" t="s">
        <v>284</v>
      </c>
      <c r="F46" s="26" t="s">
        <v>284</v>
      </c>
      <c r="G46" s="23">
        <v>0.3541666666666667</v>
      </c>
      <c r="H46" s="23">
        <v>0.3541666666666667</v>
      </c>
      <c r="I46" s="23"/>
      <c r="J46" s="23"/>
      <c r="K46" s="25"/>
      <c r="L46" s="25"/>
      <c r="M46" s="23"/>
      <c r="N46" s="23"/>
      <c r="O46" s="23"/>
      <c r="P46" s="23"/>
      <c r="Q46" s="114"/>
      <c r="R46" s="114"/>
      <c r="S46" s="114"/>
      <c r="T46" s="114"/>
      <c r="U46" s="117">
        <v>0.3541666666666667</v>
      </c>
      <c r="V46" s="117">
        <v>0.3541666666666667</v>
      </c>
      <c r="W46" s="114"/>
      <c r="X46" s="114"/>
      <c r="Y46" s="117">
        <v>0.3541666666666667</v>
      </c>
      <c r="Z46" s="117">
        <v>0.3541666666666667</v>
      </c>
      <c r="AA46" s="117">
        <v>0.3541666666666667</v>
      </c>
      <c r="AB46" s="117">
        <v>0.3541666666666667</v>
      </c>
      <c r="AC46" s="117">
        <v>0.3541666666666667</v>
      </c>
      <c r="AD46" s="114"/>
      <c r="AE46" s="114"/>
      <c r="AF46" s="117">
        <v>0.36319444444444443</v>
      </c>
      <c r="AG46" s="114" t="s">
        <v>331</v>
      </c>
      <c r="AH46" s="117">
        <v>0.3236111111111111</v>
      </c>
    </row>
    <row r="47">
      <c r="A47" s="32"/>
      <c r="B47" s="38">
        <v>45.0</v>
      </c>
      <c r="C47" s="47" t="s">
        <v>23</v>
      </c>
      <c r="D47" s="22">
        <f t="shared" si="2"/>
        <v>4.782638889</v>
      </c>
      <c r="E47" s="26" t="s">
        <v>284</v>
      </c>
      <c r="F47" s="26" t="s">
        <v>284</v>
      </c>
      <c r="G47" s="23">
        <v>0.38055555555555554</v>
      </c>
      <c r="H47" s="117">
        <v>0.3541666666666667</v>
      </c>
      <c r="I47" s="23"/>
      <c r="J47" s="23"/>
      <c r="K47" s="26" t="s">
        <v>329</v>
      </c>
      <c r="L47" s="25">
        <v>0.31875</v>
      </c>
      <c r="M47" s="23">
        <v>0.16666666666666666</v>
      </c>
      <c r="N47" s="117">
        <v>0.3541666666666667</v>
      </c>
      <c r="O47" s="117">
        <v>0.16666666666666666</v>
      </c>
      <c r="P47" s="23"/>
      <c r="Q47" s="114"/>
      <c r="R47" s="117">
        <v>0.38263888888888886</v>
      </c>
      <c r="S47" s="117">
        <v>0.16666666666666666</v>
      </c>
      <c r="T47" s="114" t="s">
        <v>271</v>
      </c>
      <c r="U47" s="117">
        <v>0.3888888888888889</v>
      </c>
      <c r="V47" s="117">
        <v>0.3541666666666667</v>
      </c>
      <c r="W47" s="114"/>
      <c r="X47" s="114"/>
      <c r="Y47" s="117">
        <v>0.16666666666666666</v>
      </c>
      <c r="Z47" s="117">
        <v>0.16666666666666666</v>
      </c>
      <c r="AA47" s="117">
        <v>0.004166666666666667</v>
      </c>
      <c r="AB47" s="117">
        <v>0.4048611111111111</v>
      </c>
      <c r="AC47" s="117">
        <v>0.3541666666666667</v>
      </c>
      <c r="AD47" s="114"/>
      <c r="AE47" s="114"/>
      <c r="AF47" s="117">
        <v>0.35833333333333334</v>
      </c>
      <c r="AG47" s="117">
        <v>0.29444444444444445</v>
      </c>
      <c r="AH47" s="114" t="s">
        <v>331</v>
      </c>
    </row>
    <row r="48">
      <c r="A48" s="32"/>
      <c r="B48" s="38">
        <v>46.0</v>
      </c>
      <c r="C48" s="51" t="s">
        <v>17</v>
      </c>
      <c r="D48" s="22">
        <f t="shared" si="2"/>
        <v>3.611805556</v>
      </c>
      <c r="E48" s="26" t="s">
        <v>284</v>
      </c>
      <c r="F48" s="26" t="s">
        <v>284</v>
      </c>
      <c r="G48" s="23">
        <v>0.3736111111111111</v>
      </c>
      <c r="H48" s="117">
        <v>0.3541666666666667</v>
      </c>
      <c r="I48" s="23"/>
      <c r="J48" s="23"/>
      <c r="K48" s="25">
        <v>0.38263888888888886</v>
      </c>
      <c r="L48" s="117">
        <v>0.3541666666666667</v>
      </c>
      <c r="M48" s="117">
        <v>0.3541666666666667</v>
      </c>
      <c r="N48" s="117">
        <v>0.3541666666666667</v>
      </c>
      <c r="O48" s="117">
        <v>0.3541666666666667</v>
      </c>
      <c r="P48" s="23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7">
        <v>0.36666666666666664</v>
      </c>
      <c r="AG48" s="117">
        <v>0.3638888888888889</v>
      </c>
      <c r="AH48" s="117">
        <v>0.3541666666666667</v>
      </c>
    </row>
    <row r="49">
      <c r="A49" s="32"/>
      <c r="B49" s="38">
        <v>47.0</v>
      </c>
      <c r="C49" s="46" t="s">
        <v>150</v>
      </c>
      <c r="D49" s="22">
        <f t="shared" si="2"/>
        <v>3.682638889</v>
      </c>
      <c r="E49" s="26" t="s">
        <v>284</v>
      </c>
      <c r="F49" s="26" t="s">
        <v>284</v>
      </c>
      <c r="G49" s="117">
        <v>0.3541666666666667</v>
      </c>
      <c r="H49" s="117">
        <v>0.3541666666666667</v>
      </c>
      <c r="I49" s="23"/>
      <c r="J49" s="23"/>
      <c r="K49" s="25">
        <v>0.4979166666666667</v>
      </c>
      <c r="L49" s="25">
        <v>0.46597222222222223</v>
      </c>
      <c r="M49" s="26" t="s">
        <v>329</v>
      </c>
      <c r="N49" s="26" t="s">
        <v>329</v>
      </c>
      <c r="O49" s="26" t="s">
        <v>331</v>
      </c>
      <c r="P49" s="23"/>
      <c r="Q49" s="114"/>
      <c r="R49" s="117">
        <v>0.47708333333333336</v>
      </c>
      <c r="S49" s="117">
        <v>0.3701388888888889</v>
      </c>
      <c r="T49" s="117">
        <v>0.40694444444444444</v>
      </c>
      <c r="U49" s="117">
        <v>0.40208333333333335</v>
      </c>
      <c r="V49" s="117">
        <v>0.3541666666666667</v>
      </c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</row>
    <row r="50">
      <c r="A50" s="32"/>
      <c r="B50" s="28">
        <v>48.0</v>
      </c>
      <c r="C50" s="29" t="s">
        <v>260</v>
      </c>
      <c r="D50" s="22">
        <f t="shared" si="2"/>
        <v>4.86875</v>
      </c>
      <c r="E50" s="26"/>
      <c r="F50" s="26"/>
      <c r="G50" s="117">
        <v>0.3541666666666667</v>
      </c>
      <c r="H50" s="117">
        <v>0.3541666666666667</v>
      </c>
      <c r="I50" s="23"/>
      <c r="J50" s="23"/>
      <c r="K50" s="26" t="s">
        <v>329</v>
      </c>
      <c r="L50" s="26" t="s">
        <v>329</v>
      </c>
      <c r="M50" s="26" t="s">
        <v>329</v>
      </c>
      <c r="N50" s="26" t="s">
        <v>329</v>
      </c>
      <c r="O50" s="117">
        <v>0.3541666666666667</v>
      </c>
      <c r="P50" s="23"/>
      <c r="Q50" s="114"/>
      <c r="R50" s="117">
        <v>0.2625</v>
      </c>
      <c r="S50" s="114" t="s">
        <v>329</v>
      </c>
      <c r="T50" s="114" t="s">
        <v>331</v>
      </c>
      <c r="U50" s="117">
        <v>0.40208333333333335</v>
      </c>
      <c r="V50" s="117">
        <v>0.3541666666666667</v>
      </c>
      <c r="W50" s="114"/>
      <c r="X50" s="114"/>
      <c r="Y50" s="117">
        <v>0.4409722222222222</v>
      </c>
      <c r="Z50" s="117">
        <v>0.34375</v>
      </c>
      <c r="AA50" s="117">
        <v>0.3229166666666667</v>
      </c>
      <c r="AB50" s="117">
        <v>0.3541666666666667</v>
      </c>
      <c r="AC50" s="117">
        <v>0.3541666666666667</v>
      </c>
      <c r="AD50" s="114"/>
      <c r="AE50" s="114"/>
      <c r="AF50" s="117">
        <v>0.29305555555555557</v>
      </c>
      <c r="AG50" s="117">
        <v>0.35625</v>
      </c>
      <c r="AH50" s="117">
        <v>0.32222222222222224</v>
      </c>
    </row>
    <row r="51">
      <c r="A51" s="131" t="s">
        <v>281</v>
      </c>
      <c r="B51" s="33">
        <v>49.0</v>
      </c>
      <c r="C51" s="31" t="s">
        <v>32</v>
      </c>
      <c r="D51" s="22">
        <f t="shared" si="2"/>
        <v>4.347222222</v>
      </c>
      <c r="E51" s="26" t="s">
        <v>284</v>
      </c>
      <c r="F51" s="26" t="s">
        <v>284</v>
      </c>
      <c r="G51" s="23">
        <v>0.3416666666666667</v>
      </c>
      <c r="H51" s="117">
        <v>0.3541666666666667</v>
      </c>
      <c r="I51" s="23"/>
      <c r="J51" s="23"/>
      <c r="K51" s="117">
        <v>0.3541666666666667</v>
      </c>
      <c r="L51" s="26" t="s">
        <v>331</v>
      </c>
      <c r="M51" s="23">
        <v>0.16666666666666666</v>
      </c>
      <c r="N51" s="23">
        <v>0.23125</v>
      </c>
      <c r="O51" s="117">
        <v>0.3541666666666667</v>
      </c>
      <c r="P51" s="23"/>
      <c r="Q51" s="114"/>
      <c r="R51" s="117">
        <v>0.3034722222222222</v>
      </c>
      <c r="S51" s="117">
        <v>0.2743055555555556</v>
      </c>
      <c r="T51" s="117">
        <v>0.5625</v>
      </c>
      <c r="U51" s="117">
        <v>0.19791666666666666</v>
      </c>
      <c r="V51" s="117">
        <v>0.3541666666666667</v>
      </c>
      <c r="W51" s="114"/>
      <c r="X51" s="114"/>
      <c r="Y51" s="117">
        <v>0.4638888888888889</v>
      </c>
      <c r="Z51" s="114" t="s">
        <v>331</v>
      </c>
      <c r="AA51" s="117">
        <v>0.3888888888888889</v>
      </c>
      <c r="AB51" s="114" t="s">
        <v>331</v>
      </c>
      <c r="AC51" s="114" t="s">
        <v>331</v>
      </c>
      <c r="AD51" s="117"/>
      <c r="AE51" s="114"/>
      <c r="AF51" s="114" t="s">
        <v>269</v>
      </c>
      <c r="AG51" s="114" t="s">
        <v>331</v>
      </c>
      <c r="AH51" s="114" t="s">
        <v>330</v>
      </c>
    </row>
    <row r="52">
      <c r="A52" s="54" t="s">
        <v>282</v>
      </c>
      <c r="B52" s="57">
        <v>50.0</v>
      </c>
      <c r="C52" s="56" t="s">
        <v>10</v>
      </c>
      <c r="D52" s="22">
        <f t="shared" si="2"/>
        <v>3.572916667</v>
      </c>
      <c r="E52" s="26" t="s">
        <v>284</v>
      </c>
      <c r="F52" s="26" t="s">
        <v>284</v>
      </c>
      <c r="G52" s="26" t="s">
        <v>329</v>
      </c>
      <c r="H52" s="117">
        <v>0.3541666666666667</v>
      </c>
      <c r="I52" s="23"/>
      <c r="J52" s="23"/>
      <c r="K52" s="26" t="s">
        <v>329</v>
      </c>
      <c r="L52" s="26" t="s">
        <v>329</v>
      </c>
      <c r="M52" s="26" t="s">
        <v>329</v>
      </c>
      <c r="N52" s="117">
        <v>0.3541666666666667</v>
      </c>
      <c r="O52" s="117">
        <v>0.3541666666666667</v>
      </c>
      <c r="P52" s="23"/>
      <c r="Q52" s="114"/>
      <c r="R52" s="114" t="s">
        <v>329</v>
      </c>
      <c r="S52" s="114" t="s">
        <v>329</v>
      </c>
      <c r="T52" s="114" t="s">
        <v>329</v>
      </c>
      <c r="U52" s="117">
        <v>0.3541666666666667</v>
      </c>
      <c r="V52" s="117">
        <v>0.3541666666666667</v>
      </c>
      <c r="W52" s="114"/>
      <c r="X52" s="114"/>
      <c r="Y52" s="114" t="s">
        <v>329</v>
      </c>
      <c r="Z52" s="114" t="s">
        <v>329</v>
      </c>
      <c r="AA52" s="114" t="s">
        <v>329</v>
      </c>
      <c r="AB52" s="117">
        <v>0.3798611111111111</v>
      </c>
      <c r="AC52" s="117">
        <v>0.3541666666666667</v>
      </c>
      <c r="AD52" s="114"/>
      <c r="AE52" s="114"/>
      <c r="AF52" s="117">
        <v>0.37222222222222223</v>
      </c>
      <c r="AG52" s="117">
        <v>0.3194444444444444</v>
      </c>
      <c r="AH52" s="117">
        <v>0.3763888888888889</v>
      </c>
    </row>
    <row r="53">
      <c r="A53" s="32"/>
      <c r="B53" s="57">
        <v>51.0</v>
      </c>
      <c r="C53" s="58" t="s">
        <v>6</v>
      </c>
      <c r="D53" s="22">
        <f t="shared" si="2"/>
        <v>4.568055556</v>
      </c>
      <c r="E53" s="26" t="s">
        <v>284</v>
      </c>
      <c r="F53" s="26" t="s">
        <v>284</v>
      </c>
      <c r="G53" s="23">
        <v>0.4666666666666667</v>
      </c>
      <c r="H53" s="26" t="s">
        <v>329</v>
      </c>
      <c r="I53" s="23"/>
      <c r="J53" s="23"/>
      <c r="K53" s="26" t="s">
        <v>329</v>
      </c>
      <c r="L53" s="25">
        <v>0.32916666666666666</v>
      </c>
      <c r="M53" s="23">
        <v>0.3923611111111111</v>
      </c>
      <c r="N53" s="26" t="s">
        <v>329</v>
      </c>
      <c r="O53" s="23">
        <v>0.1951388888888889</v>
      </c>
      <c r="P53" s="23"/>
      <c r="Q53" s="114"/>
      <c r="R53" s="114"/>
      <c r="S53" s="114"/>
      <c r="T53" s="114"/>
      <c r="U53" s="117">
        <v>0.4597222222222222</v>
      </c>
      <c r="V53" s="114" t="s">
        <v>329</v>
      </c>
      <c r="W53" s="117"/>
      <c r="X53" s="114"/>
      <c r="Y53" s="117">
        <v>0.38819444444444445</v>
      </c>
      <c r="Z53" s="117">
        <v>0.4666666666666667</v>
      </c>
      <c r="AA53" s="117">
        <v>0.42291666666666666</v>
      </c>
      <c r="AB53" s="114" t="s">
        <v>329</v>
      </c>
      <c r="AC53" s="114" t="s">
        <v>329</v>
      </c>
      <c r="AD53" s="117"/>
      <c r="AE53" s="114"/>
      <c r="AF53" s="117">
        <v>0.48541666666666666</v>
      </c>
      <c r="AG53" s="117">
        <v>0.4673611111111111</v>
      </c>
      <c r="AH53" s="117">
        <v>0.49444444444444446</v>
      </c>
    </row>
    <row r="54">
      <c r="A54" s="32"/>
      <c r="B54" s="57">
        <v>52.0</v>
      </c>
      <c r="C54" s="59" t="s">
        <v>75</v>
      </c>
      <c r="D54" s="22">
        <f t="shared" si="2"/>
        <v>3.104861111</v>
      </c>
      <c r="E54" s="26" t="s">
        <v>284</v>
      </c>
      <c r="F54" s="26" t="s">
        <v>284</v>
      </c>
      <c r="G54" s="117">
        <v>0.3541666666666667</v>
      </c>
      <c r="H54" s="117">
        <v>0.3541666666666667</v>
      </c>
      <c r="I54" s="23"/>
      <c r="J54" s="23"/>
      <c r="K54" s="25"/>
      <c r="L54" s="25"/>
      <c r="M54" s="23"/>
      <c r="N54" s="23"/>
      <c r="O54" s="23"/>
      <c r="P54" s="23"/>
      <c r="Q54" s="114"/>
      <c r="R54" s="117">
        <v>0.19444444444444445</v>
      </c>
      <c r="S54" s="117">
        <v>0.24722222222222223</v>
      </c>
      <c r="T54" s="117">
        <v>0.26666666666666666</v>
      </c>
      <c r="U54" s="117">
        <v>0.19930555555555557</v>
      </c>
      <c r="V54" s="114" t="s">
        <v>329</v>
      </c>
      <c r="W54" s="114"/>
      <c r="X54" s="114"/>
      <c r="Y54" s="117">
        <v>0.22847222222222222</v>
      </c>
      <c r="Z54" s="114" t="s">
        <v>330</v>
      </c>
      <c r="AA54" s="117">
        <v>0.23194444444444445</v>
      </c>
      <c r="AB54" s="117">
        <v>0.21041666666666667</v>
      </c>
      <c r="AC54" s="117">
        <v>0.3541666666666667</v>
      </c>
      <c r="AD54" s="114"/>
      <c r="AE54" s="114"/>
      <c r="AF54" s="117">
        <v>0.24305555555555555</v>
      </c>
      <c r="AG54" s="114" t="s">
        <v>329</v>
      </c>
      <c r="AH54" s="117">
        <v>0.22083333333333333</v>
      </c>
    </row>
    <row r="55">
      <c r="A55" s="32"/>
      <c r="B55" s="57">
        <v>53.0</v>
      </c>
      <c r="C55" s="60" t="s">
        <v>120</v>
      </c>
      <c r="D55" s="22">
        <f t="shared" si="2"/>
        <v>3.081944444</v>
      </c>
      <c r="E55" s="26" t="s">
        <v>284</v>
      </c>
      <c r="F55" s="26" t="s">
        <v>284</v>
      </c>
      <c r="G55" s="23"/>
      <c r="H55" s="23"/>
      <c r="I55" s="23"/>
      <c r="J55" s="23"/>
      <c r="K55" s="26" t="s">
        <v>329</v>
      </c>
      <c r="L55" s="25">
        <v>0.4</v>
      </c>
      <c r="M55" s="26" t="s">
        <v>329</v>
      </c>
      <c r="N55" s="26" t="s">
        <v>329</v>
      </c>
      <c r="O55" s="26" t="s">
        <v>329</v>
      </c>
      <c r="P55" s="23"/>
      <c r="Q55" s="114"/>
      <c r="R55" s="114" t="s">
        <v>329</v>
      </c>
      <c r="S55" s="117">
        <v>0.41944444444444445</v>
      </c>
      <c r="T55" s="114" t="s">
        <v>329</v>
      </c>
      <c r="U55" s="114" t="s">
        <v>329</v>
      </c>
      <c r="V55" s="114" t="s">
        <v>329</v>
      </c>
      <c r="W55" s="114"/>
      <c r="X55" s="114"/>
      <c r="Y55" s="117">
        <v>0.37569444444444444</v>
      </c>
      <c r="Z55" s="117">
        <v>0.38680555555555557</v>
      </c>
      <c r="AA55" s="117">
        <v>0.2951388888888889</v>
      </c>
      <c r="AB55" s="117">
        <v>0.3819444444444444</v>
      </c>
      <c r="AC55" s="114" t="s">
        <v>329</v>
      </c>
      <c r="AD55" s="114"/>
      <c r="AE55" s="114"/>
      <c r="AF55" s="117">
        <v>0.4284722222222222</v>
      </c>
      <c r="AG55" s="117">
        <v>0.39444444444444443</v>
      </c>
      <c r="AH55" s="114" t="s">
        <v>329</v>
      </c>
    </row>
    <row r="56">
      <c r="A56" s="32"/>
      <c r="B56" s="57">
        <v>54.0</v>
      </c>
      <c r="C56" s="61" t="s">
        <v>123</v>
      </c>
      <c r="D56" s="22">
        <f t="shared" si="2"/>
        <v>4.415277778</v>
      </c>
      <c r="E56" s="26" t="s">
        <v>284</v>
      </c>
      <c r="F56" s="26" t="s">
        <v>284</v>
      </c>
      <c r="G56" s="23">
        <v>0.3548611111111111</v>
      </c>
      <c r="H56" s="23">
        <v>0.35347222222222224</v>
      </c>
      <c r="I56" s="23"/>
      <c r="J56" s="23"/>
      <c r="K56" s="26" t="s">
        <v>329</v>
      </c>
      <c r="L56" s="26" t="s">
        <v>329</v>
      </c>
      <c r="M56" s="23">
        <v>0.34097222222222223</v>
      </c>
      <c r="N56" s="23">
        <v>0.4048611111111111</v>
      </c>
      <c r="O56" s="26" t="s">
        <v>329</v>
      </c>
      <c r="P56" s="23"/>
      <c r="Q56" s="114"/>
      <c r="R56" s="114"/>
      <c r="S56" s="114"/>
      <c r="T56" s="117">
        <v>0.3458333333333333</v>
      </c>
      <c r="U56" s="117">
        <v>0.34791666666666665</v>
      </c>
      <c r="V56" s="114" t="s">
        <v>329</v>
      </c>
      <c r="W56" s="114"/>
      <c r="X56" s="114"/>
      <c r="Y56" s="117">
        <v>0.36319444444444443</v>
      </c>
      <c r="Z56" s="117">
        <v>0.3375</v>
      </c>
      <c r="AA56" s="117">
        <v>0.3909722222222222</v>
      </c>
      <c r="AB56" s="114" t="s">
        <v>329</v>
      </c>
      <c r="AC56" s="117">
        <v>0.3625</v>
      </c>
      <c r="AD56" s="114"/>
      <c r="AE56" s="114"/>
      <c r="AF56" s="117">
        <v>0.41944444444444445</v>
      </c>
      <c r="AG56" s="117">
        <v>0.39375</v>
      </c>
      <c r="AH56" s="114" t="s">
        <v>329</v>
      </c>
    </row>
    <row r="57">
      <c r="A57" s="32"/>
      <c r="B57" s="57">
        <v>55.0</v>
      </c>
      <c r="C57" s="59" t="s">
        <v>111</v>
      </c>
      <c r="D57" s="22">
        <f t="shared" si="2"/>
        <v>6.654166667</v>
      </c>
      <c r="E57" s="26" t="s">
        <v>329</v>
      </c>
      <c r="F57" s="26" t="s">
        <v>329</v>
      </c>
      <c r="G57" s="23">
        <v>0.38333333333333336</v>
      </c>
      <c r="H57" s="23">
        <v>0.35555555555555557</v>
      </c>
      <c r="I57" s="23">
        <v>0.38680555555555557</v>
      </c>
      <c r="J57" s="23"/>
      <c r="K57" s="26" t="s">
        <v>329</v>
      </c>
      <c r="L57" s="25">
        <v>0.3680555555555556</v>
      </c>
      <c r="M57" s="23">
        <v>0.3402777777777778</v>
      </c>
      <c r="N57" s="23">
        <v>0.3423611111111111</v>
      </c>
      <c r="O57" s="23">
        <v>0.32916666666666666</v>
      </c>
      <c r="P57" s="23">
        <v>0.3680555555555556</v>
      </c>
      <c r="Q57" s="114"/>
      <c r="R57" s="114"/>
      <c r="S57" s="114"/>
      <c r="T57" s="114"/>
      <c r="U57" s="114"/>
      <c r="V57" s="117">
        <v>0.35</v>
      </c>
      <c r="W57" s="117">
        <v>0.3347222222222222</v>
      </c>
      <c r="X57" s="117">
        <v>0.3388888888888889</v>
      </c>
      <c r="Y57" s="117"/>
      <c r="Z57" s="117">
        <v>0.35208333333333336</v>
      </c>
      <c r="AA57" s="117">
        <v>0.3506944444444444</v>
      </c>
      <c r="AB57" s="117">
        <v>0.36041666666666666</v>
      </c>
      <c r="AC57" s="117">
        <v>0.3388888888888889</v>
      </c>
      <c r="AD57" s="117">
        <v>0.34652777777777777</v>
      </c>
      <c r="AE57" s="114"/>
      <c r="AF57" s="117">
        <v>0.3451388888888889</v>
      </c>
      <c r="AG57" s="117">
        <v>0.32569444444444445</v>
      </c>
      <c r="AH57" s="117">
        <v>0.3375</v>
      </c>
    </row>
    <row r="58">
      <c r="A58" s="32"/>
      <c r="B58" s="57">
        <v>56.0</v>
      </c>
      <c r="C58" s="61" t="s">
        <v>114</v>
      </c>
      <c r="D58" s="22">
        <f t="shared" si="2"/>
        <v>2.502777778</v>
      </c>
      <c r="E58" s="26" t="s">
        <v>329</v>
      </c>
      <c r="F58" s="26" t="s">
        <v>329</v>
      </c>
      <c r="G58" s="26" t="s">
        <v>329</v>
      </c>
      <c r="H58" s="26" t="s">
        <v>329</v>
      </c>
      <c r="I58" s="26" t="s">
        <v>329</v>
      </c>
      <c r="J58" s="23"/>
      <c r="K58" s="26" t="s">
        <v>329</v>
      </c>
      <c r="L58" s="26" t="s">
        <v>329</v>
      </c>
      <c r="M58" s="26" t="s">
        <v>329</v>
      </c>
      <c r="N58" s="26" t="s">
        <v>329</v>
      </c>
      <c r="O58" s="26" t="s">
        <v>329</v>
      </c>
      <c r="P58" s="26" t="s">
        <v>329</v>
      </c>
      <c r="Q58" s="117"/>
      <c r="R58" s="117"/>
      <c r="S58" s="117"/>
      <c r="T58" s="117"/>
      <c r="U58" s="117"/>
      <c r="V58" s="114" t="s">
        <v>329</v>
      </c>
      <c r="W58" s="114" t="s">
        <v>329</v>
      </c>
      <c r="X58" s="114" t="s">
        <v>329</v>
      </c>
      <c r="Y58" s="114"/>
      <c r="Z58" s="114"/>
      <c r="AA58" s="117">
        <v>0.375</v>
      </c>
      <c r="AB58" s="117">
        <v>0.3541666666666667</v>
      </c>
      <c r="AC58" s="117">
        <v>0.33819444444444446</v>
      </c>
      <c r="AD58" s="117">
        <v>0.3763888888888889</v>
      </c>
      <c r="AE58" s="117">
        <v>0.3486111111111111</v>
      </c>
      <c r="AF58" s="117">
        <v>0.3548611111111111</v>
      </c>
      <c r="AG58" s="117">
        <v>0.35555555555555557</v>
      </c>
      <c r="AH58" s="114"/>
    </row>
    <row r="59">
      <c r="A59" s="32"/>
      <c r="B59" s="57">
        <v>57.0</v>
      </c>
      <c r="C59" s="61" t="s">
        <v>129</v>
      </c>
      <c r="D59" s="22">
        <f t="shared" si="2"/>
        <v>5.416666667</v>
      </c>
      <c r="E59" s="26" t="s">
        <v>284</v>
      </c>
      <c r="F59" s="26" t="s">
        <v>284</v>
      </c>
      <c r="G59" s="23"/>
      <c r="H59" s="23"/>
      <c r="I59" s="23"/>
      <c r="J59" s="23"/>
      <c r="K59" s="25"/>
      <c r="L59" s="25"/>
      <c r="M59" s="23"/>
      <c r="N59" s="23"/>
      <c r="O59" s="23"/>
      <c r="P59" s="23">
        <v>0.35555555555555557</v>
      </c>
      <c r="Q59" s="117">
        <v>0.35</v>
      </c>
      <c r="R59" s="117">
        <v>0.3486111111111111</v>
      </c>
      <c r="S59" s="117">
        <v>0.34305555555555556</v>
      </c>
      <c r="T59" s="117">
        <v>0.35694444444444445</v>
      </c>
      <c r="U59" s="114"/>
      <c r="V59" s="117">
        <v>0.34652777777777777</v>
      </c>
      <c r="W59" s="117">
        <v>0.25555555555555554</v>
      </c>
      <c r="X59" s="117">
        <v>0.35138888888888886</v>
      </c>
      <c r="Y59" s="114"/>
      <c r="Z59" s="117">
        <v>0.35138888888888886</v>
      </c>
      <c r="AA59" s="117">
        <v>0.35347222222222224</v>
      </c>
      <c r="AB59" s="117">
        <v>0.34097222222222223</v>
      </c>
      <c r="AC59" s="117">
        <v>0.35138888888888886</v>
      </c>
      <c r="AD59" s="117">
        <v>0.3541666666666667</v>
      </c>
      <c r="AE59" s="117">
        <v>0.34930555555555554</v>
      </c>
      <c r="AF59" s="114"/>
      <c r="AG59" s="117">
        <v>0.25625</v>
      </c>
      <c r="AH59" s="117">
        <v>0.35208333333333336</v>
      </c>
    </row>
    <row r="60">
      <c r="A60" s="32"/>
      <c r="B60" s="57">
        <v>58.0</v>
      </c>
      <c r="C60" s="60" t="s">
        <v>126</v>
      </c>
      <c r="D60" s="22">
        <f t="shared" si="2"/>
        <v>8.446527778</v>
      </c>
      <c r="E60" s="26" t="s">
        <v>284</v>
      </c>
      <c r="F60" s="26" t="s">
        <v>284</v>
      </c>
      <c r="G60" s="26" t="s">
        <v>329</v>
      </c>
      <c r="H60" s="23">
        <v>0.46944444444444444</v>
      </c>
      <c r="I60" s="26" t="s">
        <v>329</v>
      </c>
      <c r="J60" s="23">
        <v>0.4131944444444444</v>
      </c>
      <c r="K60" s="25">
        <v>0.4201388888888889</v>
      </c>
      <c r="L60" s="25"/>
      <c r="M60" s="23"/>
      <c r="N60" s="23">
        <v>0.3326388888888889</v>
      </c>
      <c r="O60" s="23">
        <v>0.35138888888888886</v>
      </c>
      <c r="P60" s="23">
        <v>0.35208333333333336</v>
      </c>
      <c r="Q60" s="117">
        <v>0.4423611111111111</v>
      </c>
      <c r="R60" s="117">
        <v>0.3958333333333333</v>
      </c>
      <c r="S60" s="114" t="s">
        <v>329</v>
      </c>
      <c r="T60" s="117">
        <v>0.4215277777777778</v>
      </c>
      <c r="U60" s="117">
        <v>0.43125</v>
      </c>
      <c r="V60" s="117">
        <v>0.39791666666666664</v>
      </c>
      <c r="W60" s="114" t="s">
        <v>329</v>
      </c>
      <c r="X60" s="114"/>
      <c r="Y60" s="117">
        <v>0.4798611111111111</v>
      </c>
      <c r="Z60" s="117">
        <v>0.425</v>
      </c>
      <c r="AA60" s="117">
        <v>0.42916666666666664</v>
      </c>
      <c r="AB60" s="117">
        <v>0.5652777777777778</v>
      </c>
      <c r="AC60" s="114" t="s">
        <v>329</v>
      </c>
      <c r="AD60" s="117">
        <v>0.3527777777777778</v>
      </c>
      <c r="AE60" s="117">
        <v>0.35694444444444445</v>
      </c>
      <c r="AF60" s="117">
        <v>0.5388888888888889</v>
      </c>
      <c r="AG60" s="117">
        <v>0.4701388888888889</v>
      </c>
      <c r="AH60" s="117">
        <v>0.40069444444444446</v>
      </c>
    </row>
    <row r="61">
      <c r="A61" s="32"/>
      <c r="B61" s="57">
        <v>59.0</v>
      </c>
      <c r="C61" s="60" t="s">
        <v>287</v>
      </c>
      <c r="D61" s="22">
        <f t="shared" si="2"/>
        <v>9.363194444</v>
      </c>
      <c r="E61" s="26" t="s">
        <v>329</v>
      </c>
      <c r="F61" s="26" t="s">
        <v>329</v>
      </c>
      <c r="G61" s="23">
        <v>0.35694444444444445</v>
      </c>
      <c r="H61" s="23">
        <v>0.4847222222222222</v>
      </c>
      <c r="I61" s="23">
        <v>0.33611111111111114</v>
      </c>
      <c r="J61" s="23">
        <v>0.4125</v>
      </c>
      <c r="K61" s="25">
        <v>0.38055555555555554</v>
      </c>
      <c r="L61" s="25"/>
      <c r="M61" s="23">
        <v>0.375</v>
      </c>
      <c r="N61" s="23">
        <v>0.45069444444444445</v>
      </c>
      <c r="O61" s="23">
        <v>0.35</v>
      </c>
      <c r="P61" s="23">
        <v>0.37777777777777777</v>
      </c>
      <c r="Q61" s="117">
        <v>0.35555555555555557</v>
      </c>
      <c r="R61" s="117">
        <v>0.38125</v>
      </c>
      <c r="S61" s="117">
        <v>0.3638888888888889</v>
      </c>
      <c r="T61" s="114"/>
      <c r="U61" s="117">
        <v>0.35625</v>
      </c>
      <c r="V61" s="117">
        <v>0.3680555555555556</v>
      </c>
      <c r="W61" s="117">
        <v>0.34305555555555556</v>
      </c>
      <c r="X61" s="117">
        <v>0.36041666666666666</v>
      </c>
      <c r="Y61" s="117">
        <v>0.36666666666666664</v>
      </c>
      <c r="Z61" s="117">
        <v>0.3680555555555556</v>
      </c>
      <c r="AA61" s="117">
        <v>0.36319444444444443</v>
      </c>
      <c r="AB61" s="117">
        <v>0.3375</v>
      </c>
      <c r="AC61" s="117">
        <v>0.34444444444444444</v>
      </c>
      <c r="AD61" s="117">
        <v>0.38263888888888886</v>
      </c>
      <c r="AE61" s="114"/>
      <c r="AF61" s="117">
        <v>0.39861111111111114</v>
      </c>
      <c r="AG61" s="117">
        <v>0.3541666666666667</v>
      </c>
      <c r="AH61" s="117">
        <v>0.3951388888888889</v>
      </c>
    </row>
    <row r="62">
      <c r="A62" s="32"/>
      <c r="B62" s="57">
        <v>60.0</v>
      </c>
      <c r="C62" s="62" t="s">
        <v>162</v>
      </c>
      <c r="D62" s="22">
        <f t="shared" si="2"/>
        <v>5.609722222</v>
      </c>
      <c r="E62" s="26" t="s">
        <v>284</v>
      </c>
      <c r="F62" s="26" t="s">
        <v>284</v>
      </c>
      <c r="G62" s="26" t="s">
        <v>329</v>
      </c>
      <c r="H62" s="23">
        <v>0.42291666666666666</v>
      </c>
      <c r="I62" s="23"/>
      <c r="J62" s="23"/>
      <c r="K62" s="25"/>
      <c r="L62" s="25">
        <v>0.37083333333333335</v>
      </c>
      <c r="M62" s="23">
        <v>0.3763888888888889</v>
      </c>
      <c r="N62" s="23">
        <v>0.35138888888888886</v>
      </c>
      <c r="O62" s="23">
        <v>0.4444444444444444</v>
      </c>
      <c r="P62" s="23"/>
      <c r="Q62" s="114"/>
      <c r="R62" s="114"/>
      <c r="S62" s="117">
        <v>0.32222222222222224</v>
      </c>
      <c r="T62" s="117">
        <v>0.3923611111111111</v>
      </c>
      <c r="U62" s="117">
        <v>0.45902777777777776</v>
      </c>
      <c r="V62" s="114" t="s">
        <v>329</v>
      </c>
      <c r="W62" s="114" t="s">
        <v>329</v>
      </c>
      <c r="X62" s="114"/>
      <c r="Y62" s="117">
        <v>0.38819444444444445</v>
      </c>
      <c r="Z62" s="117">
        <v>0.3784722222222222</v>
      </c>
      <c r="AA62" s="117">
        <v>0.4222222222222222</v>
      </c>
      <c r="AB62" s="117"/>
      <c r="AC62" s="117"/>
      <c r="AD62" s="117">
        <v>0.0</v>
      </c>
      <c r="AE62" s="114"/>
      <c r="AF62" s="117">
        <v>0.4423611111111111</v>
      </c>
      <c r="AG62" s="117">
        <v>0.44722222222222224</v>
      </c>
      <c r="AH62" s="117">
        <v>0.39166666666666666</v>
      </c>
    </row>
    <row r="63">
      <c r="A63" s="32"/>
      <c r="B63" s="57">
        <v>61.0</v>
      </c>
      <c r="C63" s="59" t="s">
        <v>38</v>
      </c>
      <c r="D63" s="22">
        <f t="shared" si="2"/>
        <v>5.21875</v>
      </c>
      <c r="E63" s="26" t="s">
        <v>284</v>
      </c>
      <c r="F63" s="26" t="s">
        <v>284</v>
      </c>
      <c r="G63" s="23">
        <v>0.3763888888888889</v>
      </c>
      <c r="H63" s="26" t="s">
        <v>329</v>
      </c>
      <c r="I63" s="23"/>
      <c r="J63" s="23"/>
      <c r="K63" s="25">
        <v>0.41597222222222224</v>
      </c>
      <c r="L63" s="25">
        <v>0.3576388888888889</v>
      </c>
      <c r="M63" s="23">
        <v>0.3645833333333333</v>
      </c>
      <c r="N63" s="26" t="s">
        <v>329</v>
      </c>
      <c r="O63" s="26" t="s">
        <v>329</v>
      </c>
      <c r="P63" s="23"/>
      <c r="Q63" s="114"/>
      <c r="R63" s="117">
        <v>0.37777777777777777</v>
      </c>
      <c r="S63" s="117">
        <v>0.3798611111111111</v>
      </c>
      <c r="T63" s="117">
        <v>0.3770833333333333</v>
      </c>
      <c r="U63" s="114" t="s">
        <v>329</v>
      </c>
      <c r="V63" s="117">
        <v>0.3541666666666667</v>
      </c>
      <c r="W63" s="114"/>
      <c r="X63" s="114"/>
      <c r="Y63" s="117">
        <v>0.2965277777777778</v>
      </c>
      <c r="Z63" s="117">
        <v>0.41597222222222224</v>
      </c>
      <c r="AA63" s="117">
        <v>0.3729166666666667</v>
      </c>
      <c r="AB63" s="117">
        <v>0.3784722222222222</v>
      </c>
      <c r="AC63" s="114" t="s">
        <v>329</v>
      </c>
      <c r="AD63" s="114"/>
      <c r="AE63" s="114"/>
      <c r="AF63" s="117">
        <v>0.3861111111111111</v>
      </c>
      <c r="AG63" s="117">
        <v>0.36527777777777776</v>
      </c>
      <c r="AH63" s="114" t="s">
        <v>329</v>
      </c>
    </row>
    <row r="64">
      <c r="A64" s="32"/>
      <c r="B64" s="57">
        <v>62.0</v>
      </c>
      <c r="C64" s="63" t="s">
        <v>35</v>
      </c>
      <c r="D64" s="22">
        <f t="shared" si="2"/>
        <v>0</v>
      </c>
      <c r="E64" s="26" t="s">
        <v>284</v>
      </c>
      <c r="F64" s="26" t="s">
        <v>284</v>
      </c>
      <c r="G64" s="23"/>
      <c r="H64" s="23"/>
      <c r="I64" s="23"/>
      <c r="J64" s="23"/>
      <c r="K64" s="25"/>
      <c r="L64" s="25"/>
      <c r="M64" s="23"/>
      <c r="N64" s="23"/>
      <c r="O64" s="23"/>
      <c r="P64" s="23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</row>
    <row r="65">
      <c r="A65" s="32"/>
      <c r="B65" s="57">
        <v>63.0</v>
      </c>
      <c r="C65" s="59" t="s">
        <v>117</v>
      </c>
      <c r="D65" s="22">
        <f t="shared" si="2"/>
        <v>2.070138889</v>
      </c>
      <c r="E65" s="26" t="s">
        <v>284</v>
      </c>
      <c r="F65" s="26" t="s">
        <v>284</v>
      </c>
      <c r="G65" s="23"/>
      <c r="H65" s="23"/>
      <c r="I65" s="23"/>
      <c r="J65" s="23"/>
      <c r="K65" s="25"/>
      <c r="L65" s="25"/>
      <c r="M65" s="23">
        <v>0.3729166666666667</v>
      </c>
      <c r="N65" s="23"/>
      <c r="O65" s="23">
        <v>0.3715277777777778</v>
      </c>
      <c r="P65" s="23"/>
      <c r="Q65" s="114"/>
      <c r="R65" s="114" t="s">
        <v>329</v>
      </c>
      <c r="S65" s="114"/>
      <c r="T65" s="114"/>
      <c r="U65" s="117">
        <v>0.44513888888888886</v>
      </c>
      <c r="V65" s="117"/>
      <c r="W65" s="117"/>
      <c r="X65" s="114"/>
      <c r="Y65" s="114" t="s">
        <v>329</v>
      </c>
      <c r="Z65" s="114" t="s">
        <v>329</v>
      </c>
      <c r="AA65" s="117">
        <v>0.4597222222222222</v>
      </c>
      <c r="AB65" s="114" t="s">
        <v>329</v>
      </c>
      <c r="AC65" s="114" t="s">
        <v>329</v>
      </c>
      <c r="AD65" s="114" t="s">
        <v>329</v>
      </c>
      <c r="AE65" s="114"/>
      <c r="AF65" s="117">
        <v>0.42083333333333334</v>
      </c>
      <c r="AG65" s="114" t="s">
        <v>329</v>
      </c>
      <c r="AH65" s="114" t="s">
        <v>329</v>
      </c>
    </row>
    <row r="66">
      <c r="A66" s="32"/>
      <c r="B66" s="57">
        <v>64.0</v>
      </c>
      <c r="C66" s="60" t="s">
        <v>237</v>
      </c>
      <c r="D66" s="22">
        <f t="shared" si="2"/>
        <v>4.622916667</v>
      </c>
      <c r="E66" s="26" t="s">
        <v>284</v>
      </c>
      <c r="F66" s="26" t="s">
        <v>284</v>
      </c>
      <c r="G66" s="23"/>
      <c r="H66" s="23"/>
      <c r="I66" s="23"/>
      <c r="J66" s="23"/>
      <c r="K66" s="25"/>
      <c r="L66" s="25"/>
      <c r="M66" s="23"/>
      <c r="N66" s="23"/>
      <c r="O66" s="23"/>
      <c r="P66" s="23"/>
      <c r="Q66" s="114"/>
      <c r="R66" s="114"/>
      <c r="S66" s="117">
        <v>0.32083333333333336</v>
      </c>
      <c r="T66" s="117">
        <v>0.34305555555555556</v>
      </c>
      <c r="U66" s="117">
        <v>0.3326388888888889</v>
      </c>
      <c r="V66" s="117">
        <v>0.33402777777777776</v>
      </c>
      <c r="W66" s="117">
        <v>0.33194444444444443</v>
      </c>
      <c r="X66" s="117">
        <v>0.3423611111111111</v>
      </c>
      <c r="Y66" s="117">
        <v>0.33541666666666664</v>
      </c>
      <c r="Z66" s="117">
        <v>0.33611111111111114</v>
      </c>
      <c r="AA66" s="117">
        <v>0.34097222222222223</v>
      </c>
      <c r="AB66" s="114"/>
      <c r="AC66" s="117">
        <v>0.33958333333333335</v>
      </c>
      <c r="AD66" s="117">
        <v>0.32916666666666666</v>
      </c>
      <c r="AE66" s="117">
        <v>0.2722222222222222</v>
      </c>
      <c r="AF66" s="117">
        <v>0.33402777777777776</v>
      </c>
      <c r="AG66" s="114"/>
      <c r="AH66" s="117">
        <v>0.33055555555555555</v>
      </c>
    </row>
    <row r="67">
      <c r="A67" s="15"/>
      <c r="B67" s="57">
        <v>65.0</v>
      </c>
      <c r="C67" s="60" t="s">
        <v>288</v>
      </c>
      <c r="D67" s="22">
        <f t="shared" si="2"/>
        <v>3.046527778</v>
      </c>
      <c r="E67" s="26" t="s">
        <v>284</v>
      </c>
      <c r="F67" s="26" t="s">
        <v>284</v>
      </c>
      <c r="G67" s="23"/>
      <c r="H67" s="23"/>
      <c r="I67" s="23"/>
      <c r="J67" s="23"/>
      <c r="K67" s="25">
        <v>0.37222222222222223</v>
      </c>
      <c r="L67" s="25"/>
      <c r="M67" s="23">
        <v>0.3034722222222222</v>
      </c>
      <c r="N67" s="23">
        <v>0.33402777777777776</v>
      </c>
      <c r="O67" s="23">
        <v>0.3215277777777778</v>
      </c>
      <c r="P67" s="23">
        <v>0.3402777777777778</v>
      </c>
      <c r="Q67" s="117">
        <v>0.3375</v>
      </c>
      <c r="R67" s="117">
        <v>0.34375</v>
      </c>
      <c r="S67" s="114"/>
      <c r="T67" s="117">
        <v>0.3541666666666667</v>
      </c>
      <c r="U67" s="117">
        <v>0.33958333333333335</v>
      </c>
      <c r="V67" s="114" t="s">
        <v>328</v>
      </c>
      <c r="W67" s="114" t="s">
        <v>328</v>
      </c>
      <c r="X67" s="114" t="s">
        <v>328</v>
      </c>
      <c r="Y67" s="114" t="s">
        <v>328</v>
      </c>
      <c r="Z67" s="114" t="s">
        <v>328</v>
      </c>
      <c r="AA67" s="114" t="s">
        <v>328</v>
      </c>
      <c r="AB67" s="114" t="s">
        <v>328</v>
      </c>
      <c r="AC67" s="114" t="s">
        <v>328</v>
      </c>
      <c r="AD67" s="114" t="s">
        <v>328</v>
      </c>
      <c r="AE67" s="114" t="s">
        <v>328</v>
      </c>
      <c r="AF67" s="114" t="s">
        <v>328</v>
      </c>
      <c r="AG67" s="114" t="s">
        <v>328</v>
      </c>
      <c r="AH67" s="117"/>
    </row>
  </sheetData>
  <mergeCells count="10">
    <mergeCell ref="A33:A44"/>
    <mergeCell ref="A45:A50"/>
    <mergeCell ref="A52:A67"/>
    <mergeCell ref="A1:A2"/>
    <mergeCell ref="B1:B2"/>
    <mergeCell ref="C1:C2"/>
    <mergeCell ref="D1:D2"/>
    <mergeCell ref="A3:A4"/>
    <mergeCell ref="A5:A15"/>
    <mergeCell ref="A16:A32"/>
  </mergeCells>
  <conditionalFormatting sqref="M5:AH5">
    <cfRule type="cellIs" dxfId="0" priority="1" operator="lessThan">
      <formula>"09:00:00"</formula>
    </cfRule>
  </conditionalFormatting>
  <conditionalFormatting sqref="D3:D67">
    <cfRule type="cellIs" dxfId="2" priority="2" operator="greaterThanOrEqual">
      <formula>"08:45:00"</formula>
    </cfRule>
  </conditionalFormatting>
  <conditionalFormatting sqref="D3:D67">
    <cfRule type="cellIs" dxfId="3" priority="3" operator="between">
      <formula>"08:44:00"</formula>
      <formula>"08:00:00"</formula>
    </cfRule>
  </conditionalFormatting>
  <conditionalFormatting sqref="D3:D67 M5:AH5">
    <cfRule type="cellIs" dxfId="4" priority="4" operator="between">
      <formula>"08:00:00"</formula>
      <formula>"07:00:00"</formula>
    </cfRule>
  </conditionalFormatting>
  <conditionalFormatting sqref="D3:D67 M5:AH5">
    <cfRule type="cellIs" dxfId="5" priority="5" operator="between">
      <formula>"07:00:00"</formula>
      <formula>"00:00:01"</formula>
    </cfRule>
  </conditionalFormatting>
  <conditionalFormatting sqref="D3:D67 M5:AH5">
    <cfRule type="containsText" dxfId="6" priority="6" operator="containsText" text="Leave">
      <formula>NOT(ISERROR(SEARCH(("Leave"),(D3))))</formula>
    </cfRule>
  </conditionalFormatting>
  <conditionalFormatting sqref="D3:D67 M5:AH5">
    <cfRule type="notContainsBlanks" dxfId="7" priority="7">
      <formula>LEN(TRIM(D3))&gt;0</formula>
    </cfRule>
  </conditionalFormatting>
  <conditionalFormatting sqref="E3:AH67">
    <cfRule type="notContainsText" dxfId="8" priority="8" operator="notContains" text="0">
      <formula>ISERROR(SEARCH(("0"),(E3)))</formula>
    </cfRule>
  </conditionalFormatting>
  <conditionalFormatting sqref="E3:AH67">
    <cfRule type="cellIs" dxfId="2" priority="9" operator="greaterThanOrEqual">
      <formula>"08:45:00"</formula>
    </cfRule>
  </conditionalFormatting>
  <conditionalFormatting sqref="E3:AH67">
    <cfRule type="cellIs" dxfId="3" priority="10" operator="between">
      <formula>"08:44:00"</formula>
      <formula>"08:00:00"</formula>
    </cfRule>
  </conditionalFormatting>
  <conditionalFormatting sqref="E3:AH67">
    <cfRule type="cellIs" dxfId="9" priority="11" operator="between">
      <formula>"07:59:00"</formula>
      <formula>"07:00:00"</formula>
    </cfRule>
  </conditionalFormatting>
  <conditionalFormatting sqref="E3:AH67">
    <cfRule type="cellIs" dxfId="5" priority="12" operator="between">
      <formula>"06:59:00"</formula>
      <formula>"00:00:01"</formula>
    </cfRule>
  </conditionalFormatting>
  <conditionalFormatting sqref="E3:AH67">
    <cfRule type="notContainsBlanks" dxfId="10" priority="13">
      <formula>LEN(TRIM(E3))&gt;0</formula>
    </cfRule>
  </conditionalFormatting>
  <conditionalFormatting sqref="E3:AH67">
    <cfRule type="containsText" dxfId="11" priority="14" operator="containsText" text="Leave">
      <formula>NOT(ISERROR(SEARCH(("Leave"),(E3))))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5"/>
    <col customWidth="1" min="2" max="2" width="21.63"/>
  </cols>
  <sheetData>
    <row r="1">
      <c r="A1" s="67"/>
      <c r="B1" s="68"/>
      <c r="C1" s="69" t="s">
        <v>335</v>
      </c>
      <c r="D1" s="68"/>
      <c r="E1" s="68"/>
      <c r="F1" s="68"/>
      <c r="G1" s="68"/>
      <c r="H1" s="68"/>
      <c r="I1" s="68"/>
      <c r="J1" s="68"/>
      <c r="K1" s="70"/>
    </row>
    <row r="2">
      <c r="A2" s="72" t="s">
        <v>290</v>
      </c>
      <c r="B2" s="73" t="s">
        <v>2</v>
      </c>
      <c r="C2" s="73" t="s">
        <v>291</v>
      </c>
      <c r="D2" s="72" t="s">
        <v>292</v>
      </c>
      <c r="E2" s="72" t="s">
        <v>293</v>
      </c>
      <c r="F2" s="72" t="s">
        <v>294</v>
      </c>
      <c r="G2" s="74" t="s">
        <v>322</v>
      </c>
      <c r="H2" s="72" t="s">
        <v>296</v>
      </c>
      <c r="I2" s="75" t="s">
        <v>297</v>
      </c>
      <c r="J2" s="75" t="s">
        <v>298</v>
      </c>
      <c r="K2" s="76" t="s">
        <v>323</v>
      </c>
    </row>
    <row r="3">
      <c r="A3" s="80">
        <v>1.0</v>
      </c>
      <c r="B3" s="78" t="s">
        <v>174</v>
      </c>
      <c r="C3" s="79" t="s">
        <v>300</v>
      </c>
      <c r="D3" s="80"/>
      <c r="E3" s="81"/>
      <c r="F3" s="80"/>
      <c r="G3" s="82"/>
      <c r="H3" s="83"/>
      <c r="I3" s="84"/>
      <c r="J3" s="85"/>
      <c r="K3" s="82"/>
    </row>
    <row r="4">
      <c r="A4" s="79">
        <v>2.0</v>
      </c>
      <c r="B4" s="86" t="s">
        <v>222</v>
      </c>
      <c r="C4" s="79" t="s">
        <v>301</v>
      </c>
      <c r="D4" s="80">
        <v>19.0</v>
      </c>
      <c r="E4" s="82">
        <v>12.0</v>
      </c>
      <c r="F4" s="80">
        <v>4.0</v>
      </c>
      <c r="G4" s="82">
        <v>2.0</v>
      </c>
      <c r="H4" s="89">
        <v>4.25</v>
      </c>
      <c r="I4" s="84">
        <v>4.430555555555555</v>
      </c>
      <c r="J4" s="88">
        <f t="shared" ref="J4:J37" si="1">I4-H4</f>
        <v>0.1805555556</v>
      </c>
      <c r="K4" s="82">
        <v>10.0</v>
      </c>
    </row>
    <row r="5">
      <c r="A5" s="79">
        <v>3.0</v>
      </c>
      <c r="B5" s="86" t="s">
        <v>41</v>
      </c>
      <c r="C5" s="79" t="s">
        <v>301</v>
      </c>
      <c r="D5" s="80">
        <v>19.0</v>
      </c>
      <c r="E5" s="81">
        <f t="shared" ref="E5:E63" si="2">D5-K5</f>
        <v>19</v>
      </c>
      <c r="F5" s="80">
        <v>4.0</v>
      </c>
      <c r="G5" s="82">
        <v>4.0</v>
      </c>
      <c r="H5" s="89">
        <v>6.729166666666667</v>
      </c>
      <c r="I5" s="84">
        <v>6.3395833333333345</v>
      </c>
      <c r="J5" s="88">
        <f t="shared" si="1"/>
        <v>-0.3895833333</v>
      </c>
      <c r="K5" s="97">
        <v>0.0</v>
      </c>
    </row>
    <row r="6">
      <c r="A6" s="80">
        <v>4.0</v>
      </c>
      <c r="B6" s="86" t="s">
        <v>234</v>
      </c>
      <c r="C6" s="79" t="s">
        <v>301</v>
      </c>
      <c r="D6" s="80">
        <v>19.0</v>
      </c>
      <c r="E6" s="81">
        <f t="shared" si="2"/>
        <v>17</v>
      </c>
      <c r="F6" s="80">
        <v>4.0</v>
      </c>
      <c r="G6" s="82">
        <v>3.0</v>
      </c>
      <c r="H6" s="89">
        <v>6.729166666666667</v>
      </c>
      <c r="I6" s="84">
        <v>0.0</v>
      </c>
      <c r="J6" s="85">
        <f t="shared" si="1"/>
        <v>-6.729166667</v>
      </c>
      <c r="K6" s="82">
        <v>2.0</v>
      </c>
    </row>
    <row r="7">
      <c r="A7" s="79">
        <v>5.0</v>
      </c>
      <c r="B7" s="91" t="s">
        <v>201</v>
      </c>
      <c r="C7" s="79" t="s">
        <v>300</v>
      </c>
      <c r="D7" s="80">
        <v>19.0</v>
      </c>
      <c r="E7" s="81">
        <f t="shared" si="2"/>
        <v>18</v>
      </c>
      <c r="F7" s="80">
        <v>4.0</v>
      </c>
      <c r="G7" s="82">
        <v>3.0</v>
      </c>
      <c r="H7" s="89">
        <v>6.375</v>
      </c>
      <c r="I7" s="84">
        <v>6.390277777777778</v>
      </c>
      <c r="J7" s="85">
        <f t="shared" si="1"/>
        <v>0.01527777778</v>
      </c>
      <c r="K7" s="82">
        <v>1.0</v>
      </c>
    </row>
    <row r="8">
      <c r="A8" s="79">
        <v>6.0</v>
      </c>
      <c r="B8" s="93" t="s">
        <v>246</v>
      </c>
      <c r="C8" s="79" t="s">
        <v>300</v>
      </c>
      <c r="D8" s="80">
        <v>19.0</v>
      </c>
      <c r="E8" s="81">
        <f t="shared" si="2"/>
        <v>19</v>
      </c>
      <c r="F8" s="80">
        <v>4.0</v>
      </c>
      <c r="G8" s="82">
        <v>3.0</v>
      </c>
      <c r="H8" s="94">
        <v>6.729166666666667</v>
      </c>
      <c r="I8" s="84">
        <v>6.921527777777779</v>
      </c>
      <c r="J8" s="95">
        <f t="shared" si="1"/>
        <v>0.1923611111</v>
      </c>
      <c r="K8" s="97">
        <v>0.0</v>
      </c>
    </row>
    <row r="9">
      <c r="A9" s="80">
        <v>7.0</v>
      </c>
      <c r="B9" s="91" t="s">
        <v>231</v>
      </c>
      <c r="C9" s="79" t="s">
        <v>302</v>
      </c>
      <c r="D9" s="80">
        <v>19.0</v>
      </c>
      <c r="E9" s="81">
        <f t="shared" si="2"/>
        <v>18</v>
      </c>
      <c r="F9" s="80">
        <v>4.0</v>
      </c>
      <c r="G9" s="82">
        <v>2.0</v>
      </c>
      <c r="H9" s="89">
        <v>6.375</v>
      </c>
      <c r="I9" s="84">
        <v>6.5159722222222225</v>
      </c>
      <c r="J9" s="85">
        <f t="shared" si="1"/>
        <v>0.1409722222</v>
      </c>
      <c r="K9" s="82">
        <v>1.0</v>
      </c>
    </row>
    <row r="10">
      <c r="A10" s="79">
        <v>8.0</v>
      </c>
      <c r="B10" s="96" t="s">
        <v>147</v>
      </c>
      <c r="C10" s="79" t="s">
        <v>302</v>
      </c>
      <c r="D10" s="80">
        <v>19.0</v>
      </c>
      <c r="E10" s="81">
        <f t="shared" si="2"/>
        <v>19</v>
      </c>
      <c r="F10" s="80">
        <v>4.0</v>
      </c>
      <c r="G10" s="82">
        <v>0.0</v>
      </c>
      <c r="H10" s="89">
        <v>6.729166666666667</v>
      </c>
      <c r="I10" s="84">
        <v>7.1944444444444455</v>
      </c>
      <c r="J10" s="85">
        <f t="shared" si="1"/>
        <v>0.4652777778</v>
      </c>
      <c r="K10" s="97">
        <v>0.0</v>
      </c>
    </row>
    <row r="11">
      <c r="A11" s="79">
        <v>9.0</v>
      </c>
      <c r="B11" s="91" t="s">
        <v>177</v>
      </c>
      <c r="C11" s="79" t="s">
        <v>302</v>
      </c>
      <c r="D11" s="80">
        <v>19.0</v>
      </c>
      <c r="E11" s="81">
        <f t="shared" si="2"/>
        <v>19</v>
      </c>
      <c r="F11" s="80">
        <v>4.0</v>
      </c>
      <c r="G11" s="82">
        <v>6.0</v>
      </c>
      <c r="H11" s="89">
        <v>6.729166666666667</v>
      </c>
      <c r="I11" s="84">
        <v>6.888888888888888</v>
      </c>
      <c r="J11" s="88">
        <f t="shared" si="1"/>
        <v>0.1597222222</v>
      </c>
      <c r="K11" s="97">
        <v>0.0</v>
      </c>
    </row>
    <row r="12">
      <c r="A12" s="80">
        <v>10.0</v>
      </c>
      <c r="B12" s="98" t="s">
        <v>216</v>
      </c>
      <c r="C12" s="79" t="s">
        <v>302</v>
      </c>
      <c r="D12" s="80">
        <v>19.0</v>
      </c>
      <c r="E12" s="81">
        <f t="shared" si="2"/>
        <v>18</v>
      </c>
      <c r="F12" s="80">
        <v>4.0</v>
      </c>
      <c r="G12" s="82">
        <v>5.0</v>
      </c>
      <c r="H12" s="89">
        <v>6.375</v>
      </c>
      <c r="I12" s="84">
        <v>7.011805555555556</v>
      </c>
      <c r="J12" s="85">
        <f t="shared" si="1"/>
        <v>0.6368055556</v>
      </c>
      <c r="K12" s="82">
        <v>1.0</v>
      </c>
    </row>
    <row r="13">
      <c r="A13" s="79">
        <v>11.0</v>
      </c>
      <c r="B13" s="99" t="s">
        <v>138</v>
      </c>
      <c r="C13" s="79" t="s">
        <v>302</v>
      </c>
      <c r="D13" s="80">
        <v>19.0</v>
      </c>
      <c r="E13" s="81">
        <f t="shared" si="2"/>
        <v>19</v>
      </c>
      <c r="F13" s="80">
        <v>4.0</v>
      </c>
      <c r="G13" s="82">
        <v>4.0</v>
      </c>
      <c r="H13" s="89">
        <v>6.729166666666667</v>
      </c>
      <c r="I13" s="84">
        <v>6.309027777777778</v>
      </c>
      <c r="J13" s="85">
        <f t="shared" si="1"/>
        <v>-0.4201388889</v>
      </c>
      <c r="K13" s="97">
        <v>0.0</v>
      </c>
    </row>
    <row r="14">
      <c r="A14" s="79">
        <v>12.0</v>
      </c>
      <c r="B14" s="93" t="s">
        <v>228</v>
      </c>
      <c r="C14" s="79" t="s">
        <v>301</v>
      </c>
      <c r="D14" s="80">
        <v>19.0</v>
      </c>
      <c r="E14" s="81">
        <f t="shared" si="2"/>
        <v>16</v>
      </c>
      <c r="F14" s="80">
        <v>4.0</v>
      </c>
      <c r="G14" s="82">
        <v>5.0</v>
      </c>
      <c r="H14" s="89">
        <v>5.666666666666667</v>
      </c>
      <c r="I14" s="84">
        <v>5.557638888888889</v>
      </c>
      <c r="J14" s="85">
        <f t="shared" si="1"/>
        <v>-0.1090277778</v>
      </c>
      <c r="K14" s="82">
        <v>3.0</v>
      </c>
    </row>
    <row r="15">
      <c r="A15" s="80">
        <v>13.0</v>
      </c>
      <c r="B15" s="93" t="s">
        <v>273</v>
      </c>
      <c r="C15" s="79" t="s">
        <v>303</v>
      </c>
      <c r="D15" s="80">
        <v>19.0</v>
      </c>
      <c r="E15" s="81">
        <f t="shared" si="2"/>
        <v>19</v>
      </c>
      <c r="F15" s="80">
        <v>4.0</v>
      </c>
      <c r="G15" s="82">
        <v>4.0</v>
      </c>
      <c r="H15" s="89">
        <v>6.729166666666667</v>
      </c>
      <c r="I15" s="84">
        <v>6.863194444444445</v>
      </c>
      <c r="J15" s="85">
        <f t="shared" si="1"/>
        <v>0.1340277778</v>
      </c>
      <c r="K15" s="97">
        <v>0.0</v>
      </c>
    </row>
    <row r="16">
      <c r="A16" s="79">
        <v>14.0</v>
      </c>
      <c r="B16" s="93" t="s">
        <v>254</v>
      </c>
      <c r="C16" s="80" t="s">
        <v>303</v>
      </c>
      <c r="D16" s="80">
        <v>19.0</v>
      </c>
      <c r="E16" s="81">
        <f t="shared" si="2"/>
        <v>18</v>
      </c>
      <c r="F16" s="80">
        <v>4.0</v>
      </c>
      <c r="G16" s="82">
        <v>5.0</v>
      </c>
      <c r="H16" s="89">
        <v>6.375</v>
      </c>
      <c r="I16" s="84">
        <v>6.263888888888889</v>
      </c>
      <c r="J16" s="85">
        <f t="shared" si="1"/>
        <v>-0.1111111111</v>
      </c>
      <c r="K16" s="82">
        <v>1.0</v>
      </c>
    </row>
    <row r="17">
      <c r="A17" s="79">
        <v>15.0</v>
      </c>
      <c r="B17" s="93" t="s">
        <v>213</v>
      </c>
      <c r="C17" s="79" t="s">
        <v>304</v>
      </c>
      <c r="D17" s="80">
        <v>19.0</v>
      </c>
      <c r="E17" s="81">
        <f t="shared" si="2"/>
        <v>17</v>
      </c>
      <c r="F17" s="80">
        <v>4.0</v>
      </c>
      <c r="G17" s="82">
        <v>5.0</v>
      </c>
      <c r="H17" s="94">
        <v>6.020833333333333</v>
      </c>
      <c r="I17" s="84">
        <v>6.699305555555556</v>
      </c>
      <c r="J17" s="85">
        <f t="shared" si="1"/>
        <v>0.6784722222</v>
      </c>
      <c r="K17" s="82">
        <v>2.0</v>
      </c>
    </row>
    <row r="18">
      <c r="A18" s="80">
        <v>16.0</v>
      </c>
      <c r="B18" s="100" t="s">
        <v>54</v>
      </c>
      <c r="C18" s="79" t="s">
        <v>304</v>
      </c>
      <c r="D18" s="80">
        <v>19.0</v>
      </c>
      <c r="E18" s="81">
        <f t="shared" si="2"/>
        <v>16</v>
      </c>
      <c r="F18" s="80">
        <v>4.0</v>
      </c>
      <c r="G18" s="82">
        <v>9.0</v>
      </c>
      <c r="H18" s="94">
        <v>5.666666666666667</v>
      </c>
      <c r="I18" s="84">
        <v>5.377083333333334</v>
      </c>
      <c r="J18" s="88">
        <f t="shared" si="1"/>
        <v>-0.2895833333</v>
      </c>
      <c r="K18" s="82">
        <v>3.0</v>
      </c>
    </row>
    <row r="19">
      <c r="A19" s="79">
        <v>17.0</v>
      </c>
      <c r="B19" s="100" t="s">
        <v>159</v>
      </c>
      <c r="C19" s="79" t="s">
        <v>301</v>
      </c>
      <c r="D19" s="80">
        <v>19.0</v>
      </c>
      <c r="E19" s="81">
        <f t="shared" si="2"/>
        <v>17</v>
      </c>
      <c r="F19" s="80">
        <v>4.0</v>
      </c>
      <c r="G19" s="82">
        <v>5.0</v>
      </c>
      <c r="H19" s="89">
        <v>6.020833333333333</v>
      </c>
      <c r="I19" s="84">
        <v>6.4222222222222225</v>
      </c>
      <c r="J19" s="85">
        <f t="shared" si="1"/>
        <v>0.4013888889</v>
      </c>
      <c r="K19" s="82">
        <v>2.0</v>
      </c>
    </row>
    <row r="20">
      <c r="A20" s="79">
        <v>18.0</v>
      </c>
      <c r="B20" s="93" t="s">
        <v>156</v>
      </c>
      <c r="C20" s="79" t="s">
        <v>301</v>
      </c>
      <c r="D20" s="80">
        <v>19.0</v>
      </c>
      <c r="E20" s="81">
        <f t="shared" si="2"/>
        <v>19</v>
      </c>
      <c r="F20" s="80">
        <v>4.0</v>
      </c>
      <c r="G20" s="82">
        <v>3.0</v>
      </c>
      <c r="H20" s="94">
        <v>6.729166666666667</v>
      </c>
      <c r="I20" s="84">
        <v>6.954861111111112</v>
      </c>
      <c r="J20" s="88">
        <f t="shared" si="1"/>
        <v>0.2256944444</v>
      </c>
      <c r="K20" s="97">
        <v>0.0</v>
      </c>
    </row>
    <row r="21">
      <c r="A21" s="80">
        <v>19.0</v>
      </c>
      <c r="B21" s="101" t="s">
        <v>275</v>
      </c>
      <c r="C21" s="79" t="s">
        <v>301</v>
      </c>
      <c r="D21" s="80">
        <v>19.0</v>
      </c>
      <c r="E21" s="81">
        <f t="shared" si="2"/>
        <v>18</v>
      </c>
      <c r="F21" s="80">
        <v>4.0</v>
      </c>
      <c r="G21" s="82">
        <v>2.0</v>
      </c>
      <c r="H21" s="94">
        <v>6.375</v>
      </c>
      <c r="I21" s="84">
        <v>6.220833333333334</v>
      </c>
      <c r="J21" s="85">
        <f t="shared" si="1"/>
        <v>-0.1541666667</v>
      </c>
      <c r="K21" s="82">
        <v>1.0</v>
      </c>
    </row>
    <row r="22">
      <c r="A22" s="79">
        <v>20.0</v>
      </c>
      <c r="B22" s="86" t="s">
        <v>57</v>
      </c>
      <c r="C22" s="79" t="s">
        <v>303</v>
      </c>
      <c r="D22" s="80">
        <v>19.0</v>
      </c>
      <c r="E22" s="81">
        <f t="shared" si="2"/>
        <v>19</v>
      </c>
      <c r="F22" s="80">
        <v>4.0</v>
      </c>
      <c r="G22" s="82">
        <v>6.0</v>
      </c>
      <c r="H22" s="89">
        <v>6.729166666666667</v>
      </c>
      <c r="I22" s="84">
        <v>6.242361111111111</v>
      </c>
      <c r="J22" s="88">
        <f t="shared" si="1"/>
        <v>-0.4868055556</v>
      </c>
      <c r="K22" s="97">
        <v>0.0</v>
      </c>
    </row>
    <row r="23">
      <c r="A23" s="79">
        <v>21.0</v>
      </c>
      <c r="B23" s="93" t="s">
        <v>51</v>
      </c>
      <c r="C23" s="79" t="s">
        <v>302</v>
      </c>
      <c r="D23" s="80">
        <v>19.0</v>
      </c>
      <c r="E23" s="81">
        <f t="shared" si="2"/>
        <v>17</v>
      </c>
      <c r="F23" s="80">
        <v>4.0</v>
      </c>
      <c r="G23" s="82">
        <v>6.0</v>
      </c>
      <c r="H23" s="89">
        <v>6.020833333333333</v>
      </c>
      <c r="I23" s="84">
        <v>7.1708333333333325</v>
      </c>
      <c r="J23" s="85">
        <f t="shared" si="1"/>
        <v>1.15</v>
      </c>
      <c r="K23" s="82">
        <v>2.0</v>
      </c>
    </row>
    <row r="24">
      <c r="A24" s="80">
        <v>22.0</v>
      </c>
      <c r="B24" s="91" t="s">
        <v>78</v>
      </c>
      <c r="C24" s="79" t="s">
        <v>303</v>
      </c>
      <c r="D24" s="80">
        <v>19.0</v>
      </c>
      <c r="E24" s="81">
        <f t="shared" si="2"/>
        <v>18</v>
      </c>
      <c r="F24" s="80">
        <v>4.0</v>
      </c>
      <c r="G24" s="82">
        <v>9.0</v>
      </c>
      <c r="H24" s="89">
        <v>6.375</v>
      </c>
      <c r="I24" s="84">
        <v>6.5888888888888895</v>
      </c>
      <c r="J24" s="85">
        <f t="shared" si="1"/>
        <v>0.2138888889</v>
      </c>
      <c r="K24" s="82">
        <v>1.0</v>
      </c>
    </row>
    <row r="25">
      <c r="A25" s="79">
        <v>23.0</v>
      </c>
      <c r="B25" s="100" t="s">
        <v>132</v>
      </c>
      <c r="C25" s="79" t="s">
        <v>303</v>
      </c>
      <c r="D25" s="80">
        <v>19.0</v>
      </c>
      <c r="E25" s="81">
        <f t="shared" si="2"/>
        <v>18</v>
      </c>
      <c r="F25" s="80">
        <v>4.0</v>
      </c>
      <c r="G25" s="82">
        <v>3.0</v>
      </c>
      <c r="H25" s="89">
        <v>6.375</v>
      </c>
      <c r="I25" s="84">
        <v>7.4125</v>
      </c>
      <c r="J25" s="85">
        <f t="shared" si="1"/>
        <v>1.0375</v>
      </c>
      <c r="K25" s="82">
        <v>1.0</v>
      </c>
    </row>
    <row r="26">
      <c r="A26" s="79">
        <v>24.0</v>
      </c>
      <c r="B26" s="86" t="s">
        <v>87</v>
      </c>
      <c r="C26" s="79" t="s">
        <v>303</v>
      </c>
      <c r="D26" s="80">
        <v>19.0</v>
      </c>
      <c r="E26" s="81">
        <f t="shared" si="2"/>
        <v>19</v>
      </c>
      <c r="F26" s="80">
        <v>4.0</v>
      </c>
      <c r="G26" s="82">
        <v>5.0</v>
      </c>
      <c r="H26" s="89">
        <v>6.729166666666667</v>
      </c>
      <c r="I26" s="84">
        <v>6.424305555555554</v>
      </c>
      <c r="J26" s="85">
        <f t="shared" si="1"/>
        <v>-0.3048611111</v>
      </c>
      <c r="K26" s="97">
        <v>0.0</v>
      </c>
    </row>
    <row r="27">
      <c r="A27" s="80">
        <v>25.0</v>
      </c>
      <c r="B27" s="91" t="s">
        <v>99</v>
      </c>
      <c r="C27" s="79" t="s">
        <v>303</v>
      </c>
      <c r="D27" s="80">
        <v>19.0</v>
      </c>
      <c r="E27" s="81">
        <f t="shared" si="2"/>
        <v>18</v>
      </c>
      <c r="F27" s="80">
        <v>4.0</v>
      </c>
      <c r="G27" s="82">
        <v>6.0</v>
      </c>
      <c r="H27" s="89">
        <v>6.375</v>
      </c>
      <c r="I27" s="84">
        <v>5.839583333333333</v>
      </c>
      <c r="J27" s="85">
        <f t="shared" si="1"/>
        <v>-0.5354166667</v>
      </c>
      <c r="K27" s="82">
        <v>1.0</v>
      </c>
    </row>
    <row r="28">
      <c r="A28" s="79">
        <v>26.0</v>
      </c>
      <c r="B28" s="91" t="s">
        <v>93</v>
      </c>
      <c r="C28" s="79" t="s">
        <v>305</v>
      </c>
      <c r="D28" s="80">
        <v>19.0</v>
      </c>
      <c r="E28" s="81">
        <f t="shared" si="2"/>
        <v>19</v>
      </c>
      <c r="F28" s="80">
        <v>4.0</v>
      </c>
      <c r="G28" s="82">
        <v>3.0</v>
      </c>
      <c r="H28" s="89">
        <v>6.729166666666667</v>
      </c>
      <c r="I28" s="84">
        <v>7.931944444444444</v>
      </c>
      <c r="J28" s="85">
        <f t="shared" si="1"/>
        <v>1.202777778</v>
      </c>
      <c r="K28" s="97">
        <v>0.0</v>
      </c>
    </row>
    <row r="29">
      <c r="A29" s="79">
        <v>27.0</v>
      </c>
      <c r="B29" s="100" t="s">
        <v>135</v>
      </c>
      <c r="C29" s="79" t="s">
        <v>303</v>
      </c>
      <c r="D29" s="80">
        <v>19.0</v>
      </c>
      <c r="E29" s="81">
        <f t="shared" si="2"/>
        <v>18</v>
      </c>
      <c r="F29" s="80">
        <v>4.0</v>
      </c>
      <c r="G29" s="82">
        <v>5.0</v>
      </c>
      <c r="H29" s="89">
        <v>6.375</v>
      </c>
      <c r="I29" s="84">
        <v>7.033333333333333</v>
      </c>
      <c r="J29" s="85">
        <f t="shared" si="1"/>
        <v>0.6583333333</v>
      </c>
      <c r="K29" s="82">
        <v>1.0</v>
      </c>
    </row>
    <row r="30">
      <c r="A30" s="80">
        <v>28.0</v>
      </c>
      <c r="B30" s="86" t="s">
        <v>183</v>
      </c>
      <c r="C30" s="79" t="s">
        <v>303</v>
      </c>
      <c r="D30" s="80">
        <v>19.0</v>
      </c>
      <c r="E30" s="81">
        <f t="shared" si="2"/>
        <v>18</v>
      </c>
      <c r="F30" s="80">
        <v>4.0</v>
      </c>
      <c r="G30" s="82">
        <v>4.0</v>
      </c>
      <c r="H30" s="89">
        <v>6.375</v>
      </c>
      <c r="I30" s="84">
        <v>7.355555555555555</v>
      </c>
      <c r="J30" s="85">
        <f t="shared" si="1"/>
        <v>0.9805555556</v>
      </c>
      <c r="K30" s="82">
        <v>1.0</v>
      </c>
    </row>
    <row r="31">
      <c r="A31" s="79">
        <v>29.0</v>
      </c>
      <c r="B31" s="91" t="s">
        <v>186</v>
      </c>
      <c r="C31" s="79" t="s">
        <v>303</v>
      </c>
      <c r="D31" s="80">
        <v>19.0</v>
      </c>
      <c r="E31" s="81">
        <f t="shared" si="2"/>
        <v>17</v>
      </c>
      <c r="F31" s="80">
        <v>4.0</v>
      </c>
      <c r="G31" s="82">
        <v>14.0</v>
      </c>
      <c r="H31" s="89">
        <v>6.020833333333333</v>
      </c>
      <c r="I31" s="84">
        <v>5.877083333333333</v>
      </c>
      <c r="J31" s="85">
        <f t="shared" si="1"/>
        <v>-0.14375</v>
      </c>
      <c r="K31" s="82">
        <v>2.0</v>
      </c>
    </row>
    <row r="32">
      <c r="A32" s="79">
        <v>30.0</v>
      </c>
      <c r="B32" s="86" t="s">
        <v>141</v>
      </c>
      <c r="C32" s="79" t="s">
        <v>303</v>
      </c>
      <c r="D32" s="80">
        <v>19.0</v>
      </c>
      <c r="E32" s="81">
        <f t="shared" si="2"/>
        <v>18</v>
      </c>
      <c r="F32" s="80">
        <v>4.0</v>
      </c>
      <c r="G32" s="82">
        <v>5.0</v>
      </c>
      <c r="H32" s="89">
        <v>6.375</v>
      </c>
      <c r="I32" s="84">
        <v>6.522916666666666</v>
      </c>
      <c r="J32" s="85">
        <f t="shared" si="1"/>
        <v>0.1479166667</v>
      </c>
      <c r="K32" s="82">
        <v>1.0</v>
      </c>
    </row>
    <row r="33">
      <c r="A33" s="80">
        <v>31.0</v>
      </c>
      <c r="B33" s="86" t="s">
        <v>207</v>
      </c>
      <c r="C33" s="79" t="s">
        <v>300</v>
      </c>
      <c r="D33" s="80">
        <v>19.0</v>
      </c>
      <c r="E33" s="81">
        <f t="shared" si="2"/>
        <v>18</v>
      </c>
      <c r="F33" s="80">
        <v>4.0</v>
      </c>
      <c r="G33" s="82">
        <v>5.0</v>
      </c>
      <c r="H33" s="89">
        <v>6.375</v>
      </c>
      <c r="I33" s="84">
        <v>6.35625</v>
      </c>
      <c r="J33" s="85">
        <f t="shared" si="1"/>
        <v>-0.01875</v>
      </c>
      <c r="K33" s="82">
        <v>1.0</v>
      </c>
    </row>
    <row r="34">
      <c r="A34" s="79">
        <v>32.0</v>
      </c>
      <c r="B34" s="86" t="s">
        <v>60</v>
      </c>
      <c r="C34" s="79" t="s">
        <v>303</v>
      </c>
      <c r="D34" s="80">
        <v>19.0</v>
      </c>
      <c r="E34" s="81">
        <f t="shared" si="2"/>
        <v>17</v>
      </c>
      <c r="F34" s="80">
        <v>4.0</v>
      </c>
      <c r="G34" s="82">
        <v>3.0</v>
      </c>
      <c r="H34" s="89">
        <v>6.020833333333333</v>
      </c>
      <c r="I34" s="84">
        <v>6.129166666666666</v>
      </c>
      <c r="J34" s="85">
        <f t="shared" si="1"/>
        <v>0.1083333333</v>
      </c>
      <c r="K34" s="82">
        <v>2.0</v>
      </c>
    </row>
    <row r="35">
      <c r="A35" s="79">
        <v>33.0</v>
      </c>
      <c r="B35" s="86" t="s">
        <v>249</v>
      </c>
      <c r="C35" s="79" t="s">
        <v>302</v>
      </c>
      <c r="D35" s="80">
        <v>19.0</v>
      </c>
      <c r="E35" s="81">
        <f t="shared" si="2"/>
        <v>19</v>
      </c>
      <c r="F35" s="80">
        <v>4.0</v>
      </c>
      <c r="G35" s="82">
        <v>1.0</v>
      </c>
      <c r="H35" s="89">
        <v>6.729166666666667</v>
      </c>
      <c r="I35" s="84">
        <v>6.869444444444444</v>
      </c>
      <c r="J35" s="85">
        <f t="shared" si="1"/>
        <v>0.1402777778</v>
      </c>
      <c r="K35" s="97">
        <v>0.0</v>
      </c>
    </row>
    <row r="36">
      <c r="A36" s="80">
        <v>34.0</v>
      </c>
      <c r="B36" s="86" t="s">
        <v>72</v>
      </c>
      <c r="C36" s="79" t="s">
        <v>300</v>
      </c>
      <c r="D36" s="80">
        <v>19.0</v>
      </c>
      <c r="E36" s="81">
        <f t="shared" si="2"/>
        <v>18</v>
      </c>
      <c r="F36" s="80">
        <v>4.0</v>
      </c>
      <c r="G36" s="82">
        <v>2.0</v>
      </c>
      <c r="H36" s="94">
        <v>6.375</v>
      </c>
      <c r="I36" s="84">
        <v>7.278472222222222</v>
      </c>
      <c r="J36" s="95">
        <f t="shared" si="1"/>
        <v>0.9034722222</v>
      </c>
      <c r="K36" s="82">
        <v>1.0</v>
      </c>
    </row>
    <row r="37">
      <c r="A37" s="79">
        <v>35.0</v>
      </c>
      <c r="B37" s="100" t="s">
        <v>204</v>
      </c>
      <c r="C37" s="79" t="s">
        <v>300</v>
      </c>
      <c r="D37" s="80">
        <v>19.0</v>
      </c>
      <c r="E37" s="81">
        <f t="shared" si="2"/>
        <v>18</v>
      </c>
      <c r="F37" s="80">
        <v>4.0</v>
      </c>
      <c r="G37" s="82">
        <v>5.0</v>
      </c>
      <c r="H37" s="89">
        <v>6.375</v>
      </c>
      <c r="I37" s="84">
        <v>6.448611111111109</v>
      </c>
      <c r="J37" s="85">
        <f t="shared" si="1"/>
        <v>0.07361111111</v>
      </c>
      <c r="K37" s="82">
        <v>1.0</v>
      </c>
    </row>
    <row r="38">
      <c r="A38" s="79">
        <v>36.0</v>
      </c>
      <c r="B38" s="100" t="s">
        <v>48</v>
      </c>
      <c r="C38" s="79" t="s">
        <v>300</v>
      </c>
      <c r="D38" s="80">
        <v>19.0</v>
      </c>
      <c r="E38" s="81">
        <f t="shared" si="2"/>
        <v>19</v>
      </c>
      <c r="F38" s="80">
        <v>4.0</v>
      </c>
      <c r="G38" s="82"/>
      <c r="H38" s="89">
        <v>6.729166666666667</v>
      </c>
      <c r="I38" s="84">
        <v>1.797222222222222</v>
      </c>
      <c r="J38" s="88"/>
      <c r="K38" s="97"/>
    </row>
    <row r="39">
      <c r="A39" s="80">
        <v>37.0</v>
      </c>
      <c r="B39" s="91" t="s">
        <v>279</v>
      </c>
      <c r="C39" s="79" t="s">
        <v>300</v>
      </c>
      <c r="D39" s="80">
        <v>19.0</v>
      </c>
      <c r="E39" s="81">
        <f t="shared" si="2"/>
        <v>18</v>
      </c>
      <c r="F39" s="80">
        <v>4.0</v>
      </c>
      <c r="G39" s="82">
        <v>5.0</v>
      </c>
      <c r="H39" s="89">
        <v>6.375</v>
      </c>
      <c r="I39" s="84">
        <v>6.097222222222222</v>
      </c>
      <c r="J39" s="85">
        <f t="shared" ref="J39:J63" si="3">I39-H39</f>
        <v>-0.2777777778</v>
      </c>
      <c r="K39" s="97">
        <v>1.0</v>
      </c>
    </row>
    <row r="40">
      <c r="A40" s="79">
        <v>38.0</v>
      </c>
      <c r="B40" s="86" t="s">
        <v>14</v>
      </c>
      <c r="C40" s="79" t="s">
        <v>300</v>
      </c>
      <c r="D40" s="80">
        <v>19.0</v>
      </c>
      <c r="E40" s="81">
        <f t="shared" si="2"/>
        <v>16</v>
      </c>
      <c r="F40" s="80">
        <v>4.0</v>
      </c>
      <c r="G40" s="82">
        <v>7.0</v>
      </c>
      <c r="H40" s="89">
        <v>5.666666666666667</v>
      </c>
      <c r="I40" s="84">
        <v>5.943749999999999</v>
      </c>
      <c r="J40" s="85">
        <f t="shared" si="3"/>
        <v>0.2770833333</v>
      </c>
      <c r="K40" s="82">
        <v>3.0</v>
      </c>
    </row>
    <row r="41">
      <c r="A41" s="79">
        <v>39.0</v>
      </c>
      <c r="B41" s="107" t="s">
        <v>81</v>
      </c>
      <c r="C41" s="79" t="s">
        <v>300</v>
      </c>
      <c r="D41" s="80">
        <v>19.0</v>
      </c>
      <c r="E41" s="81">
        <f t="shared" si="2"/>
        <v>19</v>
      </c>
      <c r="F41" s="80">
        <v>4.0</v>
      </c>
      <c r="G41" s="82">
        <v>3.0</v>
      </c>
      <c r="H41" s="89">
        <v>6.729166666666667</v>
      </c>
      <c r="I41" s="84">
        <v>7.4534722222222225</v>
      </c>
      <c r="J41" s="85">
        <f t="shared" si="3"/>
        <v>0.7243055556</v>
      </c>
      <c r="K41" s="97">
        <v>0.0</v>
      </c>
    </row>
    <row r="42">
      <c r="A42" s="80">
        <v>40.0</v>
      </c>
      <c r="B42" s="100" t="s">
        <v>153</v>
      </c>
      <c r="C42" s="79" t="s">
        <v>300</v>
      </c>
      <c r="D42" s="80">
        <v>19.0</v>
      </c>
      <c r="E42" s="81">
        <f t="shared" si="2"/>
        <v>17</v>
      </c>
      <c r="F42" s="80">
        <v>4.0</v>
      </c>
      <c r="G42" s="82">
        <v>5.0</v>
      </c>
      <c r="H42" s="89">
        <v>6.020833333333333</v>
      </c>
      <c r="I42" s="84">
        <v>6.247916666666667</v>
      </c>
      <c r="J42" s="85">
        <f t="shared" si="3"/>
        <v>0.2270833333</v>
      </c>
      <c r="K42" s="82">
        <v>2.0</v>
      </c>
    </row>
    <row r="43">
      <c r="A43" s="79">
        <v>41.0</v>
      </c>
      <c r="B43" s="91" t="s">
        <v>198</v>
      </c>
      <c r="C43" s="79" t="s">
        <v>301</v>
      </c>
      <c r="D43" s="80">
        <v>19.0</v>
      </c>
      <c r="E43" s="81">
        <f t="shared" si="2"/>
        <v>18</v>
      </c>
      <c r="F43" s="80">
        <v>4.0</v>
      </c>
      <c r="G43" s="82">
        <v>7.0</v>
      </c>
      <c r="H43" s="89">
        <v>6.375</v>
      </c>
      <c r="I43" s="84">
        <v>6.482638888888889</v>
      </c>
      <c r="J43" s="85">
        <f t="shared" si="3"/>
        <v>0.1076388889</v>
      </c>
      <c r="K43" s="82">
        <v>1.0</v>
      </c>
    </row>
    <row r="44">
      <c r="A44" s="79">
        <v>42.0</v>
      </c>
      <c r="B44" s="86" t="s">
        <v>105</v>
      </c>
      <c r="C44" s="79" t="s">
        <v>301</v>
      </c>
      <c r="D44" s="80">
        <v>19.0</v>
      </c>
      <c r="E44" s="81">
        <f t="shared" si="2"/>
        <v>18</v>
      </c>
      <c r="F44" s="80">
        <v>4.0</v>
      </c>
      <c r="G44" s="82">
        <v>4.0</v>
      </c>
      <c r="H44" s="89">
        <v>6.375</v>
      </c>
      <c r="I44" s="84">
        <v>5.852083333333334</v>
      </c>
      <c r="J44" s="85">
        <f t="shared" si="3"/>
        <v>-0.5229166667</v>
      </c>
      <c r="K44" s="82">
        <v>1.0</v>
      </c>
    </row>
    <row r="45">
      <c r="A45" s="80">
        <v>43.0</v>
      </c>
      <c r="B45" s="93" t="s">
        <v>29</v>
      </c>
      <c r="C45" s="79" t="s">
        <v>301</v>
      </c>
      <c r="D45" s="80">
        <v>19.0</v>
      </c>
      <c r="E45" s="81">
        <f t="shared" si="2"/>
        <v>19</v>
      </c>
      <c r="F45" s="80">
        <v>4.0</v>
      </c>
      <c r="G45" s="82">
        <v>14.0</v>
      </c>
      <c r="H45" s="89">
        <v>6.729166666666667</v>
      </c>
      <c r="I45" s="84">
        <v>6.152777777777777</v>
      </c>
      <c r="J45" s="85">
        <f t="shared" si="3"/>
        <v>-0.5763888889</v>
      </c>
      <c r="K45" s="97">
        <v>0.0</v>
      </c>
    </row>
    <row r="46">
      <c r="A46" s="79">
        <v>44.0</v>
      </c>
      <c r="B46" s="93" t="s">
        <v>324</v>
      </c>
      <c r="C46" s="80" t="s">
        <v>301</v>
      </c>
      <c r="D46" s="80">
        <v>15.0</v>
      </c>
      <c r="E46" s="81">
        <f t="shared" si="2"/>
        <v>14</v>
      </c>
      <c r="F46" s="80">
        <v>3.0</v>
      </c>
      <c r="G46" s="82">
        <v>2.0</v>
      </c>
      <c r="H46" s="89">
        <v>4.958333333333333</v>
      </c>
      <c r="I46" s="84">
        <v>4.607638888888889</v>
      </c>
      <c r="J46" s="85">
        <f t="shared" si="3"/>
        <v>-0.3506944444</v>
      </c>
      <c r="K46" s="82">
        <v>1.0</v>
      </c>
    </row>
    <row r="47">
      <c r="A47" s="79">
        <v>45.0</v>
      </c>
      <c r="B47" s="86" t="s">
        <v>26</v>
      </c>
      <c r="C47" s="79" t="s">
        <v>305</v>
      </c>
      <c r="D47" s="80">
        <v>19.0</v>
      </c>
      <c r="E47" s="81">
        <f t="shared" si="2"/>
        <v>18</v>
      </c>
      <c r="F47" s="80">
        <v>4.0</v>
      </c>
      <c r="G47" s="82">
        <v>4.0</v>
      </c>
      <c r="H47" s="89">
        <v>6.375</v>
      </c>
      <c r="I47" s="84">
        <v>9.005555555555556</v>
      </c>
      <c r="J47" s="85">
        <f t="shared" si="3"/>
        <v>2.630555556</v>
      </c>
      <c r="K47" s="82">
        <v>1.0</v>
      </c>
    </row>
    <row r="48">
      <c r="A48" s="80">
        <v>46.0</v>
      </c>
      <c r="B48" s="86" t="s">
        <v>23</v>
      </c>
      <c r="C48" s="79" t="s">
        <v>301</v>
      </c>
      <c r="D48" s="80">
        <v>19.0</v>
      </c>
      <c r="E48" s="81">
        <f t="shared" si="2"/>
        <v>17</v>
      </c>
      <c r="F48" s="80">
        <v>4.0</v>
      </c>
      <c r="G48" s="82">
        <v>2.0</v>
      </c>
      <c r="H48" s="89">
        <v>6.020833333333333</v>
      </c>
      <c r="I48" s="84">
        <v>4.801388888888888</v>
      </c>
      <c r="J48" s="85">
        <f t="shared" si="3"/>
        <v>-1.219444444</v>
      </c>
      <c r="K48" s="82">
        <v>2.0</v>
      </c>
    </row>
    <row r="49">
      <c r="A49" s="79">
        <v>47.0</v>
      </c>
      <c r="B49" s="107" t="s">
        <v>17</v>
      </c>
      <c r="C49" s="79" t="s">
        <v>300</v>
      </c>
      <c r="D49" s="80">
        <v>19.0</v>
      </c>
      <c r="E49" s="81">
        <f t="shared" si="2"/>
        <v>17</v>
      </c>
      <c r="F49" s="80">
        <v>4.0</v>
      </c>
      <c r="G49" s="82">
        <v>5.0</v>
      </c>
      <c r="H49" s="89">
        <v>6.020833333333333</v>
      </c>
      <c r="I49" s="84">
        <v>6.356944444444443</v>
      </c>
      <c r="J49" s="85">
        <f t="shared" si="3"/>
        <v>0.3361111111</v>
      </c>
      <c r="K49" s="82">
        <v>2.0</v>
      </c>
    </row>
    <row r="50">
      <c r="A50" s="79">
        <v>48.0</v>
      </c>
      <c r="B50" s="100" t="s">
        <v>150</v>
      </c>
      <c r="C50" s="79" t="s">
        <v>300</v>
      </c>
      <c r="D50" s="80">
        <v>19.0</v>
      </c>
      <c r="E50" s="81">
        <f t="shared" si="2"/>
        <v>19</v>
      </c>
      <c r="F50" s="80">
        <v>4.0</v>
      </c>
      <c r="G50" s="82">
        <v>4.0</v>
      </c>
      <c r="H50" s="89">
        <v>6.729166666666667</v>
      </c>
      <c r="I50" s="84">
        <v>7.457638888888887</v>
      </c>
      <c r="J50" s="88">
        <f t="shared" si="3"/>
        <v>0.7284722222</v>
      </c>
      <c r="K50" s="97">
        <v>0.0</v>
      </c>
    </row>
    <row r="51">
      <c r="A51" s="80">
        <v>49.0</v>
      </c>
      <c r="B51" s="86" t="s">
        <v>32</v>
      </c>
      <c r="C51" s="79" t="s">
        <v>300</v>
      </c>
      <c r="D51" s="80">
        <v>19.0</v>
      </c>
      <c r="E51" s="81">
        <f t="shared" si="2"/>
        <v>19</v>
      </c>
      <c r="F51" s="80">
        <v>4.0</v>
      </c>
      <c r="G51" s="82">
        <v>7.0</v>
      </c>
      <c r="H51" s="89">
        <v>6.729166666666667</v>
      </c>
      <c r="I51" s="84">
        <v>6.149999999999999</v>
      </c>
      <c r="J51" s="85">
        <f t="shared" si="3"/>
        <v>-0.5791666667</v>
      </c>
      <c r="K51" s="97">
        <v>0.0</v>
      </c>
    </row>
    <row r="52">
      <c r="A52" s="79">
        <v>50.0</v>
      </c>
      <c r="B52" s="86" t="s">
        <v>10</v>
      </c>
      <c r="C52" s="79" t="s">
        <v>300</v>
      </c>
      <c r="D52" s="80">
        <v>19.0</v>
      </c>
      <c r="E52" s="81">
        <f t="shared" si="2"/>
        <v>18</v>
      </c>
      <c r="F52" s="80">
        <v>4.0</v>
      </c>
      <c r="G52" s="82">
        <v>4.0</v>
      </c>
      <c r="H52" s="89">
        <v>6.375</v>
      </c>
      <c r="I52" s="84">
        <v>7.029861111111112</v>
      </c>
      <c r="J52" s="85">
        <f t="shared" si="3"/>
        <v>0.6548611111</v>
      </c>
      <c r="K52" s="82">
        <v>1.0</v>
      </c>
    </row>
    <row r="53">
      <c r="A53" s="79">
        <v>51.0</v>
      </c>
      <c r="B53" s="91" t="s">
        <v>6</v>
      </c>
      <c r="C53" s="79" t="s">
        <v>300</v>
      </c>
      <c r="D53" s="80">
        <v>19.0</v>
      </c>
      <c r="E53" s="81">
        <f t="shared" si="2"/>
        <v>19</v>
      </c>
      <c r="F53" s="80">
        <v>4.0</v>
      </c>
      <c r="G53" s="82">
        <v>0.0</v>
      </c>
      <c r="H53" s="89">
        <v>6.729166666666667</v>
      </c>
      <c r="I53" s="84">
        <v>9.30138888888889</v>
      </c>
      <c r="J53" s="85">
        <f t="shared" si="3"/>
        <v>2.572222222</v>
      </c>
      <c r="K53" s="97">
        <v>0.0</v>
      </c>
    </row>
    <row r="54">
      <c r="A54" s="80">
        <v>52.0</v>
      </c>
      <c r="B54" s="108" t="s">
        <v>75</v>
      </c>
      <c r="C54" s="79" t="s">
        <v>305</v>
      </c>
      <c r="D54" s="80">
        <v>19.0</v>
      </c>
      <c r="E54" s="81">
        <f t="shared" si="2"/>
        <v>18</v>
      </c>
      <c r="F54" s="80">
        <v>4.0</v>
      </c>
      <c r="G54" s="82">
        <v>3.0</v>
      </c>
      <c r="H54" s="89">
        <v>6.375</v>
      </c>
      <c r="I54" s="84">
        <v>5.672916666666667</v>
      </c>
      <c r="J54" s="85">
        <f t="shared" si="3"/>
        <v>-0.7020833333</v>
      </c>
      <c r="K54" s="82">
        <v>1.0</v>
      </c>
    </row>
    <row r="55">
      <c r="A55" s="79">
        <v>53.0</v>
      </c>
      <c r="B55" s="78" t="s">
        <v>120</v>
      </c>
      <c r="C55" s="79" t="s">
        <v>301</v>
      </c>
      <c r="D55" s="80">
        <v>19.0</v>
      </c>
      <c r="E55" s="81">
        <f t="shared" si="2"/>
        <v>19</v>
      </c>
      <c r="F55" s="80">
        <v>4.0</v>
      </c>
      <c r="G55" s="82">
        <v>0.0</v>
      </c>
      <c r="H55" s="89">
        <v>6.729166666666667</v>
      </c>
      <c r="I55" s="84">
        <v>7.394444444444446</v>
      </c>
      <c r="J55" s="85">
        <f t="shared" si="3"/>
        <v>0.6652777778</v>
      </c>
      <c r="K55" s="97">
        <v>0.0</v>
      </c>
    </row>
    <row r="56">
      <c r="A56" s="79">
        <v>54.0</v>
      </c>
      <c r="B56" s="109" t="s">
        <v>123</v>
      </c>
      <c r="C56" s="79" t="s">
        <v>303</v>
      </c>
      <c r="D56" s="80">
        <v>19.0</v>
      </c>
      <c r="E56" s="81">
        <f t="shared" si="2"/>
        <v>19</v>
      </c>
      <c r="F56" s="80">
        <v>4.0</v>
      </c>
      <c r="G56" s="82">
        <v>0.0</v>
      </c>
      <c r="H56" s="89">
        <v>6.729166666666667</v>
      </c>
      <c r="I56" s="84">
        <v>7.163194444444445</v>
      </c>
      <c r="J56" s="88">
        <f t="shared" si="3"/>
        <v>0.4340277778</v>
      </c>
      <c r="K56" s="97">
        <v>0.0</v>
      </c>
    </row>
    <row r="57">
      <c r="A57" s="80">
        <v>55.0</v>
      </c>
      <c r="B57" s="108" t="s">
        <v>111</v>
      </c>
      <c r="C57" s="79" t="s">
        <v>303</v>
      </c>
      <c r="D57" s="80">
        <v>24.0</v>
      </c>
      <c r="E57" s="81">
        <f t="shared" si="2"/>
        <v>19</v>
      </c>
      <c r="F57" s="79">
        <v>0.0</v>
      </c>
      <c r="G57" s="82">
        <v>0.0</v>
      </c>
      <c r="H57" s="89">
        <v>6.729166666666667</v>
      </c>
      <c r="I57" s="84">
        <v>5.986805555555556</v>
      </c>
      <c r="J57" s="85">
        <f t="shared" si="3"/>
        <v>-0.7423611111</v>
      </c>
      <c r="K57" s="82">
        <v>5.0</v>
      </c>
    </row>
    <row r="58">
      <c r="A58" s="79">
        <v>56.0</v>
      </c>
      <c r="B58" s="109" t="s">
        <v>114</v>
      </c>
      <c r="C58" s="79" t="s">
        <v>303</v>
      </c>
      <c r="D58" s="80">
        <v>24.0</v>
      </c>
      <c r="E58" s="81">
        <f t="shared" si="2"/>
        <v>21</v>
      </c>
      <c r="F58" s="79">
        <v>0.0</v>
      </c>
      <c r="G58" s="82">
        <v>0.0</v>
      </c>
      <c r="H58" s="89">
        <v>7.4375</v>
      </c>
      <c r="I58" s="84">
        <v>7.75763888888889</v>
      </c>
      <c r="J58" s="85">
        <f t="shared" si="3"/>
        <v>0.3201388889</v>
      </c>
      <c r="K58" s="82">
        <v>3.0</v>
      </c>
    </row>
    <row r="59">
      <c r="A59" s="79">
        <v>57.0</v>
      </c>
      <c r="B59" s="109" t="s">
        <v>129</v>
      </c>
      <c r="C59" s="79" t="s">
        <v>303</v>
      </c>
      <c r="D59" s="80">
        <v>24.0</v>
      </c>
      <c r="E59" s="81">
        <f t="shared" si="2"/>
        <v>19</v>
      </c>
      <c r="F59" s="79">
        <v>0.0</v>
      </c>
      <c r="G59" s="82">
        <v>0.0</v>
      </c>
      <c r="H59" s="89">
        <v>6.729166666666667</v>
      </c>
      <c r="I59" s="84">
        <v>7.191666666666666</v>
      </c>
      <c r="J59" s="85">
        <f t="shared" si="3"/>
        <v>0.4625</v>
      </c>
      <c r="K59" s="82">
        <v>5.0</v>
      </c>
    </row>
    <row r="60">
      <c r="A60" s="80">
        <v>58.0</v>
      </c>
      <c r="B60" s="78" t="s">
        <v>126</v>
      </c>
      <c r="C60" s="79" t="s">
        <v>303</v>
      </c>
      <c r="D60" s="80">
        <v>24.0</v>
      </c>
      <c r="E60" s="81">
        <f t="shared" si="2"/>
        <v>11</v>
      </c>
      <c r="F60" s="79">
        <v>0.0</v>
      </c>
      <c r="G60" s="82">
        <v>0.0</v>
      </c>
      <c r="H60" s="89">
        <v>3.8958333333333335</v>
      </c>
      <c r="I60" s="84">
        <v>4.022916666666667</v>
      </c>
      <c r="J60" s="85">
        <f t="shared" si="3"/>
        <v>0.1270833333</v>
      </c>
      <c r="K60" s="82">
        <v>13.0</v>
      </c>
    </row>
    <row r="61">
      <c r="A61" s="79">
        <v>59.0</v>
      </c>
      <c r="B61" s="78" t="s">
        <v>287</v>
      </c>
      <c r="C61" s="79" t="s">
        <v>303</v>
      </c>
      <c r="D61" s="80">
        <v>24.0</v>
      </c>
      <c r="E61" s="81">
        <f t="shared" si="2"/>
        <v>21</v>
      </c>
      <c r="F61" s="79">
        <v>0.0</v>
      </c>
      <c r="G61" s="82">
        <v>0.0</v>
      </c>
      <c r="H61" s="89">
        <v>7.4375</v>
      </c>
      <c r="I61" s="84">
        <v>7.69722222222222</v>
      </c>
      <c r="J61" s="85">
        <f t="shared" si="3"/>
        <v>0.2597222222</v>
      </c>
      <c r="K61" s="82">
        <v>3.0</v>
      </c>
    </row>
    <row r="62">
      <c r="A62" s="79">
        <v>60.0</v>
      </c>
      <c r="B62" s="98" t="s">
        <v>162</v>
      </c>
      <c r="C62" s="79" t="s">
        <v>303</v>
      </c>
      <c r="D62" s="80">
        <v>24.0</v>
      </c>
      <c r="E62" s="81">
        <f t="shared" si="2"/>
        <v>19</v>
      </c>
      <c r="F62" s="79">
        <v>0.0</v>
      </c>
      <c r="G62" s="82">
        <v>0.0</v>
      </c>
      <c r="H62" s="89">
        <v>6.729166666666667</v>
      </c>
      <c r="I62" s="84">
        <v>8.38611111111111</v>
      </c>
      <c r="J62" s="85">
        <f t="shared" si="3"/>
        <v>1.656944444</v>
      </c>
      <c r="K62" s="82">
        <v>5.0</v>
      </c>
    </row>
    <row r="63">
      <c r="A63" s="80">
        <v>61.0</v>
      </c>
      <c r="B63" s="108" t="s">
        <v>38</v>
      </c>
      <c r="C63" s="79" t="s">
        <v>303</v>
      </c>
      <c r="D63" s="80">
        <v>19.0</v>
      </c>
      <c r="E63" s="81">
        <f t="shared" si="2"/>
        <v>14</v>
      </c>
      <c r="F63" s="79">
        <v>0.0</v>
      </c>
      <c r="G63" s="82">
        <v>2.0</v>
      </c>
      <c r="H63" s="89">
        <v>4.958333333333333</v>
      </c>
      <c r="I63" s="84">
        <v>5.523611111111111</v>
      </c>
      <c r="J63" s="85">
        <f t="shared" si="3"/>
        <v>0.5652777778</v>
      </c>
      <c r="K63" s="82">
        <v>5.0</v>
      </c>
    </row>
    <row r="64">
      <c r="A64" s="79">
        <v>62.0</v>
      </c>
      <c r="B64" s="110" t="s">
        <v>35</v>
      </c>
      <c r="C64" s="79" t="s">
        <v>303</v>
      </c>
      <c r="D64" s="80"/>
      <c r="E64" s="81"/>
      <c r="F64" s="79"/>
      <c r="G64" s="82"/>
      <c r="H64" s="89"/>
      <c r="I64" s="84">
        <v>0.0</v>
      </c>
      <c r="J64" s="85"/>
      <c r="K64" s="97"/>
    </row>
    <row r="65">
      <c r="A65" s="79">
        <v>63.0</v>
      </c>
      <c r="B65" s="108" t="s">
        <v>117</v>
      </c>
      <c r="C65" s="79" t="s">
        <v>303</v>
      </c>
      <c r="D65" s="80">
        <v>19.0</v>
      </c>
      <c r="E65" s="81">
        <f t="shared" ref="E65:E67" si="4">D65-K65</f>
        <v>18</v>
      </c>
      <c r="F65" s="80">
        <v>4.0</v>
      </c>
      <c r="G65" s="82">
        <v>0.0</v>
      </c>
      <c r="H65" s="89">
        <v>6.375</v>
      </c>
      <c r="I65" s="84">
        <v>8.886111111111111</v>
      </c>
      <c r="J65" s="85">
        <f t="shared" ref="J65:J67" si="5">I65-H65</f>
        <v>2.511111111</v>
      </c>
      <c r="K65" s="82">
        <v>1.0</v>
      </c>
    </row>
    <row r="66">
      <c r="A66" s="80">
        <v>64.0</v>
      </c>
      <c r="B66" s="78" t="s">
        <v>237</v>
      </c>
      <c r="C66" s="79" t="s">
        <v>303</v>
      </c>
      <c r="D66" s="80">
        <v>24.0</v>
      </c>
      <c r="E66" s="81">
        <f t="shared" si="4"/>
        <v>21</v>
      </c>
      <c r="F66" s="79">
        <v>0.0</v>
      </c>
      <c r="G66" s="82">
        <v>0.0</v>
      </c>
      <c r="H66" s="89">
        <v>7.4375</v>
      </c>
      <c r="I66" s="84">
        <v>7.949305555555554</v>
      </c>
      <c r="J66" s="111">
        <f t="shared" si="5"/>
        <v>0.5118055556</v>
      </c>
      <c r="K66" s="82">
        <v>3.0</v>
      </c>
    </row>
    <row r="67">
      <c r="A67" s="79">
        <v>65.0</v>
      </c>
      <c r="B67" s="78" t="s">
        <v>288</v>
      </c>
      <c r="C67" s="79" t="s">
        <v>303</v>
      </c>
      <c r="D67" s="80">
        <v>24.0</v>
      </c>
      <c r="E67" s="81">
        <f t="shared" si="4"/>
        <v>20</v>
      </c>
      <c r="F67" s="79">
        <v>0.0</v>
      </c>
      <c r="G67" s="82">
        <v>0.0</v>
      </c>
      <c r="H67" s="89">
        <v>7.083333333333333</v>
      </c>
      <c r="I67" s="84">
        <v>7.48263888888889</v>
      </c>
      <c r="J67" s="85">
        <f t="shared" si="5"/>
        <v>0.3993055556</v>
      </c>
      <c r="K67" s="82">
        <v>4.0</v>
      </c>
    </row>
  </sheetData>
  <mergeCells count="2">
    <mergeCell ref="A1:B1"/>
    <mergeCell ref="C1:K1"/>
  </mergeCells>
  <conditionalFormatting sqref="J3:J67">
    <cfRule type="cellIs" dxfId="12" priority="1" operator="lessThan">
      <formula>"00:00:00"</formula>
    </cfRule>
  </conditionalFormatting>
  <conditionalFormatting sqref="J3:J67">
    <cfRule type="cellIs" dxfId="7" priority="2" operator="greaterThan">
      <formula>"00:00:00"</formula>
    </cfRule>
  </conditionalFormatting>
  <dataValidations>
    <dataValidation type="list" allowBlank="1" showErrorMessage="1" sqref="C3:C67">
      <formula1>"JetClass,FAMS,DevOps,Voltro,SS,Special Projects"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13"/>
    <col customWidth="1" min="2" max="2" width="3.63"/>
    <col customWidth="1" min="3" max="3" width="21.63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134" t="str">
        <f t="shared" ref="E1:AI1" si="1">text(E2, "ddd")</f>
        <v>Thu</v>
      </c>
      <c r="F1" s="134" t="str">
        <f t="shared" si="1"/>
        <v>Fri</v>
      </c>
      <c r="G1" s="135" t="str">
        <f t="shared" si="1"/>
        <v>Sat</v>
      </c>
      <c r="H1" s="135" t="str">
        <f t="shared" si="1"/>
        <v>Sun</v>
      </c>
      <c r="I1" s="134" t="str">
        <f t="shared" si="1"/>
        <v>Mon</v>
      </c>
      <c r="J1" s="134" t="str">
        <f t="shared" si="1"/>
        <v>Tue</v>
      </c>
      <c r="K1" s="134" t="str">
        <f t="shared" si="1"/>
        <v>Wed</v>
      </c>
      <c r="L1" s="134" t="str">
        <f t="shared" si="1"/>
        <v>Thu</v>
      </c>
      <c r="M1" s="134" t="str">
        <f t="shared" si="1"/>
        <v>Fri</v>
      </c>
      <c r="N1" s="135" t="str">
        <f t="shared" si="1"/>
        <v>Sat</v>
      </c>
      <c r="O1" s="135" t="str">
        <f t="shared" si="1"/>
        <v>Sun</v>
      </c>
      <c r="P1" s="134" t="str">
        <f t="shared" si="1"/>
        <v>Mon</v>
      </c>
      <c r="Q1" s="134" t="str">
        <f t="shared" si="1"/>
        <v>Tue</v>
      </c>
      <c r="R1" s="134" t="str">
        <f t="shared" si="1"/>
        <v>Wed</v>
      </c>
      <c r="S1" s="134" t="str">
        <f t="shared" si="1"/>
        <v>Thu</v>
      </c>
      <c r="T1" s="134" t="str">
        <f t="shared" si="1"/>
        <v>Fri</v>
      </c>
      <c r="U1" s="135" t="str">
        <f t="shared" si="1"/>
        <v>Sat</v>
      </c>
      <c r="V1" s="135" t="str">
        <f t="shared" si="1"/>
        <v>Sun</v>
      </c>
      <c r="W1" s="134" t="str">
        <f t="shared" si="1"/>
        <v>Mon</v>
      </c>
      <c r="X1" s="134" t="str">
        <f t="shared" si="1"/>
        <v>Tue</v>
      </c>
      <c r="Y1" s="134" t="str">
        <f t="shared" si="1"/>
        <v>Wed</v>
      </c>
      <c r="Z1" s="134" t="str">
        <f t="shared" si="1"/>
        <v>Thu</v>
      </c>
      <c r="AA1" s="134" t="str">
        <f t="shared" si="1"/>
        <v>Fri</v>
      </c>
      <c r="AB1" s="135" t="str">
        <f t="shared" si="1"/>
        <v>Sat</v>
      </c>
      <c r="AC1" s="135" t="str">
        <f t="shared" si="1"/>
        <v>Sun</v>
      </c>
      <c r="AD1" s="134" t="str">
        <f t="shared" si="1"/>
        <v>Mon</v>
      </c>
      <c r="AE1" s="134" t="str">
        <f t="shared" si="1"/>
        <v>Tue</v>
      </c>
      <c r="AF1" s="135" t="str">
        <f t="shared" si="1"/>
        <v>Wed</v>
      </c>
      <c r="AG1" s="134" t="str">
        <f t="shared" si="1"/>
        <v>Thu</v>
      </c>
      <c r="AH1" s="134" t="str">
        <f t="shared" si="1"/>
        <v>Fri</v>
      </c>
      <c r="AI1" s="135" t="str">
        <f t="shared" si="1"/>
        <v>Sat</v>
      </c>
    </row>
    <row r="2">
      <c r="B2" s="15"/>
      <c r="C2" s="15"/>
      <c r="D2" s="15"/>
      <c r="E2" s="136">
        <v>45778.0</v>
      </c>
      <c r="F2" s="136">
        <v>45779.0</v>
      </c>
      <c r="G2" s="137">
        <v>45780.0</v>
      </c>
      <c r="H2" s="137">
        <v>45781.0</v>
      </c>
      <c r="I2" s="136">
        <v>45782.0</v>
      </c>
      <c r="J2" s="136">
        <v>45783.0</v>
      </c>
      <c r="K2" s="136">
        <v>45784.0</v>
      </c>
      <c r="L2" s="136">
        <v>45785.0</v>
      </c>
      <c r="M2" s="136">
        <v>45786.0</v>
      </c>
      <c r="N2" s="137">
        <v>45787.0</v>
      </c>
      <c r="O2" s="137">
        <v>45788.0</v>
      </c>
      <c r="P2" s="136">
        <v>45789.0</v>
      </c>
      <c r="Q2" s="136">
        <v>45790.0</v>
      </c>
      <c r="R2" s="136">
        <v>45791.0</v>
      </c>
      <c r="S2" s="136">
        <v>45792.0</v>
      </c>
      <c r="T2" s="136">
        <v>45793.0</v>
      </c>
      <c r="U2" s="137">
        <v>45794.0</v>
      </c>
      <c r="V2" s="137">
        <v>45795.0</v>
      </c>
      <c r="W2" s="136">
        <v>45796.0</v>
      </c>
      <c r="X2" s="136">
        <v>45797.0</v>
      </c>
      <c r="Y2" s="136">
        <v>45798.0</v>
      </c>
      <c r="Z2" s="136">
        <v>45799.0</v>
      </c>
      <c r="AA2" s="136">
        <v>45800.0</v>
      </c>
      <c r="AB2" s="137">
        <v>45801.0</v>
      </c>
      <c r="AC2" s="137">
        <v>45802.0</v>
      </c>
      <c r="AD2" s="136">
        <v>45803.0</v>
      </c>
      <c r="AE2" s="136">
        <v>45804.0</v>
      </c>
      <c r="AF2" s="137">
        <v>45805.0</v>
      </c>
      <c r="AG2" s="136">
        <v>45806.0</v>
      </c>
      <c r="AH2" s="136">
        <v>45807.0</v>
      </c>
      <c r="AI2" s="137">
        <v>45808.0</v>
      </c>
    </row>
    <row r="3">
      <c r="A3" s="138">
        <v>45452.0</v>
      </c>
      <c r="B3" s="139">
        <v>1.0</v>
      </c>
      <c r="C3" s="140" t="s">
        <v>222</v>
      </c>
      <c r="D3" s="22">
        <f t="shared" ref="D3:D33" si="2">SUM(E3:AL3)</f>
        <v>5.638888889</v>
      </c>
      <c r="E3" s="23">
        <v>0.21388888888888888</v>
      </c>
      <c r="F3" s="26" t="s">
        <v>284</v>
      </c>
      <c r="G3" s="25"/>
      <c r="H3" s="25"/>
      <c r="I3" s="25">
        <v>0.4013888888888889</v>
      </c>
      <c r="J3" s="25">
        <v>0.38333333333333336</v>
      </c>
      <c r="K3" s="25">
        <v>0.23125</v>
      </c>
      <c r="L3" s="141">
        <v>0.375</v>
      </c>
      <c r="M3" s="26" t="s">
        <v>316</v>
      </c>
      <c r="N3" s="25"/>
      <c r="O3" s="25"/>
      <c r="P3" s="23">
        <v>0.3854166666666667</v>
      </c>
      <c r="Q3" s="23">
        <v>0.4</v>
      </c>
      <c r="R3" s="23">
        <v>0.4131944444444444</v>
      </c>
      <c r="S3" s="23">
        <v>0.39652777777777776</v>
      </c>
      <c r="T3" s="114" t="s">
        <v>316</v>
      </c>
      <c r="U3" s="142"/>
      <c r="V3" s="143"/>
      <c r="W3" s="116">
        <v>0.41041666666666665</v>
      </c>
      <c r="X3" s="116">
        <v>0.32222222222222224</v>
      </c>
      <c r="Y3" s="116">
        <v>0.4284722222222222</v>
      </c>
      <c r="Z3" s="116">
        <v>0.35208333333333336</v>
      </c>
      <c r="AA3" s="114" t="s">
        <v>316</v>
      </c>
      <c r="AB3" s="142"/>
      <c r="AC3" s="143"/>
      <c r="AD3" s="116">
        <v>0.33125</v>
      </c>
      <c r="AE3" s="116">
        <v>0.29097222222222224</v>
      </c>
      <c r="AF3" s="115"/>
      <c r="AG3" s="116">
        <v>0.3034722222222222</v>
      </c>
      <c r="AH3" s="116"/>
      <c r="AI3" s="143"/>
    </row>
    <row r="4">
      <c r="A4" s="15"/>
      <c r="B4" s="139">
        <v>2.0</v>
      </c>
      <c r="C4" s="140" t="s">
        <v>41</v>
      </c>
      <c r="D4" s="22">
        <f t="shared" si="2"/>
        <v>6.074305556</v>
      </c>
      <c r="E4" s="23">
        <v>0.375</v>
      </c>
      <c r="F4" s="26" t="s">
        <v>284</v>
      </c>
      <c r="G4" s="25"/>
      <c r="H4" s="25"/>
      <c r="I4" s="25">
        <v>0.4270833333333333</v>
      </c>
      <c r="J4" s="23">
        <v>0.3854166666666667</v>
      </c>
      <c r="K4" s="23">
        <v>0.3958333333333333</v>
      </c>
      <c r="L4" s="23">
        <v>0.3715277777777778</v>
      </c>
      <c r="M4" s="26" t="s">
        <v>316</v>
      </c>
      <c r="N4" s="25"/>
      <c r="O4" s="25"/>
      <c r="P4" s="23">
        <v>0.38333333333333336</v>
      </c>
      <c r="Q4" s="23">
        <v>0.42083333333333334</v>
      </c>
      <c r="R4" s="23">
        <v>0.3888888888888889</v>
      </c>
      <c r="S4" s="25">
        <v>0.3138888888888889</v>
      </c>
      <c r="T4" s="114" t="s">
        <v>316</v>
      </c>
      <c r="U4" s="142"/>
      <c r="V4" s="143"/>
      <c r="W4" s="116">
        <v>0.36180555555555555</v>
      </c>
      <c r="X4" s="117">
        <v>0.375</v>
      </c>
      <c r="Y4" s="116">
        <v>0.41805555555555557</v>
      </c>
      <c r="Z4" s="116">
        <v>0.3972222222222222</v>
      </c>
      <c r="AA4" s="114" t="s">
        <v>316</v>
      </c>
      <c r="AB4" s="142"/>
      <c r="AC4" s="143"/>
      <c r="AD4" s="116">
        <v>0.4041666666666667</v>
      </c>
      <c r="AE4" s="116">
        <v>0.2951388888888889</v>
      </c>
      <c r="AF4" s="115"/>
      <c r="AG4" s="117">
        <v>0.3611111111111111</v>
      </c>
      <c r="AH4" s="116"/>
      <c r="AI4" s="143"/>
    </row>
    <row r="5">
      <c r="A5" s="144">
        <v>45483.0</v>
      </c>
      <c r="B5" s="145">
        <v>3.0</v>
      </c>
      <c r="C5" s="126" t="s">
        <v>234</v>
      </c>
      <c r="D5" s="22">
        <f t="shared" si="2"/>
        <v>5.125</v>
      </c>
      <c r="E5" s="23">
        <v>0.3541666666666667</v>
      </c>
      <c r="F5" s="26" t="s">
        <v>284</v>
      </c>
      <c r="G5" s="25"/>
      <c r="H5" s="25"/>
      <c r="I5" s="23">
        <v>0.3576388888888889</v>
      </c>
      <c r="J5" s="23">
        <v>0.3680555555555556</v>
      </c>
      <c r="K5" s="23">
        <v>0.3625</v>
      </c>
      <c r="L5" s="26" t="s">
        <v>316</v>
      </c>
      <c r="M5" s="26" t="s">
        <v>316</v>
      </c>
      <c r="N5" s="25"/>
      <c r="O5" s="25"/>
      <c r="P5" s="23">
        <v>0.36736111111111114</v>
      </c>
      <c r="Q5" s="23">
        <v>0.3590277777777778</v>
      </c>
      <c r="R5" s="26" t="s">
        <v>316</v>
      </c>
      <c r="S5" s="23">
        <v>0.3729166666666667</v>
      </c>
      <c r="T5" s="117">
        <v>0.3763888888888889</v>
      </c>
      <c r="U5" s="142"/>
      <c r="V5" s="146"/>
      <c r="W5" s="114" t="s">
        <v>269</v>
      </c>
      <c r="X5" s="117">
        <v>0.3819444444444444</v>
      </c>
      <c r="Y5" s="114" t="s">
        <v>316</v>
      </c>
      <c r="Z5" s="117">
        <v>0.35625</v>
      </c>
      <c r="AA5" s="117">
        <v>0.375</v>
      </c>
      <c r="AB5" s="142"/>
      <c r="AC5" s="146"/>
      <c r="AD5" s="147">
        <v>0.3611111111111111</v>
      </c>
      <c r="AE5" s="147">
        <v>0.3680555555555556</v>
      </c>
      <c r="AF5" s="115"/>
      <c r="AG5" s="117">
        <v>0.3645833333333333</v>
      </c>
      <c r="AH5" s="116"/>
      <c r="AI5" s="146"/>
    </row>
    <row r="6">
      <c r="A6" s="32"/>
      <c r="B6" s="145">
        <v>4.0</v>
      </c>
      <c r="C6" s="126" t="s">
        <v>201</v>
      </c>
      <c r="D6" s="22">
        <f t="shared" si="2"/>
        <v>5.388194444</v>
      </c>
      <c r="E6" s="23">
        <v>0.3645833333333333</v>
      </c>
      <c r="F6" s="26" t="s">
        <v>284</v>
      </c>
      <c r="G6" s="25"/>
      <c r="H6" s="25"/>
      <c r="I6" s="23">
        <v>0.38472222222222224</v>
      </c>
      <c r="J6" s="25">
        <v>0.36319444444444443</v>
      </c>
      <c r="K6" s="25">
        <v>0.35694444444444445</v>
      </c>
      <c r="L6" s="25">
        <v>0.34652777777777777</v>
      </c>
      <c r="M6" s="26" t="s">
        <v>316</v>
      </c>
      <c r="N6" s="25"/>
      <c r="O6" s="25"/>
      <c r="P6" s="23">
        <v>0.3541666666666667</v>
      </c>
      <c r="Q6" s="23">
        <v>0.18194444444444444</v>
      </c>
      <c r="R6" s="26" t="s">
        <v>269</v>
      </c>
      <c r="S6" s="25">
        <v>0.35</v>
      </c>
      <c r="T6" s="114" t="s">
        <v>316</v>
      </c>
      <c r="U6" s="142"/>
      <c r="V6" s="143"/>
      <c r="W6" s="116">
        <v>0.36944444444444446</v>
      </c>
      <c r="X6" s="117">
        <v>0.3611111111111111</v>
      </c>
      <c r="Y6" s="116">
        <v>0.34930555555555554</v>
      </c>
      <c r="Z6" s="114" t="s">
        <v>316</v>
      </c>
      <c r="AA6" s="116">
        <v>0.4666666666666667</v>
      </c>
      <c r="AB6" s="142"/>
      <c r="AC6" s="143"/>
      <c r="AD6" s="116">
        <v>0.41875</v>
      </c>
      <c r="AE6" s="116">
        <v>0.36319444444444443</v>
      </c>
      <c r="AF6" s="115"/>
      <c r="AG6" s="116">
        <v>0.3576388888888889</v>
      </c>
      <c r="AH6" s="116"/>
      <c r="AI6" s="143"/>
    </row>
    <row r="7">
      <c r="A7" s="32"/>
      <c r="B7" s="145">
        <v>5.0</v>
      </c>
      <c r="C7" s="126" t="s">
        <v>246</v>
      </c>
      <c r="D7" s="22">
        <f t="shared" si="2"/>
        <v>5.164583333</v>
      </c>
      <c r="E7" s="23">
        <v>0.23958333333333334</v>
      </c>
      <c r="F7" s="26" t="s">
        <v>284</v>
      </c>
      <c r="G7" s="25"/>
      <c r="H7" s="25"/>
      <c r="I7" s="25">
        <v>0.36736111111111114</v>
      </c>
      <c r="J7" s="25">
        <v>0.36527777777777776</v>
      </c>
      <c r="K7" s="26" t="s">
        <v>271</v>
      </c>
      <c r="L7" s="23">
        <v>0.1763888888888889</v>
      </c>
      <c r="M7" s="26" t="s">
        <v>316</v>
      </c>
      <c r="N7" s="25"/>
      <c r="O7" s="25"/>
      <c r="P7" s="23">
        <v>0.3645833333333333</v>
      </c>
      <c r="Q7" s="23">
        <v>0.36736111111111114</v>
      </c>
      <c r="R7" s="25">
        <v>0.3645833333333333</v>
      </c>
      <c r="S7" s="25">
        <v>0.36666666666666664</v>
      </c>
      <c r="T7" s="114" t="s">
        <v>316</v>
      </c>
      <c r="U7" s="142"/>
      <c r="V7" s="143"/>
      <c r="W7" s="116">
        <v>0.3638888888888889</v>
      </c>
      <c r="X7" s="116">
        <v>0.36527777777777776</v>
      </c>
      <c r="Y7" s="116">
        <v>0.36944444444444446</v>
      </c>
      <c r="Z7" s="116">
        <v>0.3597222222222222</v>
      </c>
      <c r="AA7" s="114" t="s">
        <v>316</v>
      </c>
      <c r="AB7" s="142"/>
      <c r="AC7" s="143"/>
      <c r="AD7" s="116">
        <v>0.3638888888888889</v>
      </c>
      <c r="AE7" s="116">
        <v>0.36180555555555555</v>
      </c>
      <c r="AF7" s="115"/>
      <c r="AG7" s="116">
        <v>0.36875</v>
      </c>
      <c r="AH7" s="116"/>
      <c r="AI7" s="143"/>
    </row>
    <row r="8">
      <c r="A8" s="32"/>
      <c r="B8" s="145">
        <v>6.0</v>
      </c>
      <c r="C8" s="126" t="s">
        <v>231</v>
      </c>
      <c r="D8" s="22">
        <f t="shared" si="2"/>
        <v>5.241666667</v>
      </c>
      <c r="E8" s="23">
        <v>0.38263888888888886</v>
      </c>
      <c r="F8" s="26" t="s">
        <v>284</v>
      </c>
      <c r="G8" s="25"/>
      <c r="H8" s="25"/>
      <c r="I8" s="26" t="s">
        <v>269</v>
      </c>
      <c r="J8" s="25">
        <v>0.38333333333333336</v>
      </c>
      <c r="K8" s="23">
        <v>0.3611111111111111</v>
      </c>
      <c r="L8" s="25">
        <v>0.25972222222222224</v>
      </c>
      <c r="M8" s="26" t="s">
        <v>316</v>
      </c>
      <c r="N8" s="25"/>
      <c r="O8" s="25"/>
      <c r="P8" s="23">
        <v>0.07152777777777777</v>
      </c>
      <c r="Q8" s="23">
        <v>0.3958333333333333</v>
      </c>
      <c r="R8" s="25">
        <v>0.07152777777777777</v>
      </c>
      <c r="S8" s="25">
        <v>0.3784722222222222</v>
      </c>
      <c r="T8" s="114" t="s">
        <v>316</v>
      </c>
      <c r="U8" s="142"/>
      <c r="V8" s="143"/>
      <c r="W8" s="116">
        <v>0.3770833333333333</v>
      </c>
      <c r="X8" s="116">
        <v>0.4263888888888889</v>
      </c>
      <c r="Y8" s="116">
        <v>0.3645833333333333</v>
      </c>
      <c r="Z8" s="116">
        <v>0.39861111111111114</v>
      </c>
      <c r="AA8" s="114" t="s">
        <v>316</v>
      </c>
      <c r="AB8" s="142"/>
      <c r="AC8" s="143"/>
      <c r="AD8" s="116">
        <v>0.4340277777777778</v>
      </c>
      <c r="AE8" s="116">
        <v>0.5361111111111111</v>
      </c>
      <c r="AF8" s="115"/>
      <c r="AG8" s="116">
        <v>0.40069444444444446</v>
      </c>
      <c r="AH8" s="116"/>
      <c r="AI8" s="143"/>
    </row>
    <row r="9">
      <c r="A9" s="32"/>
      <c r="B9" s="145">
        <v>7.0</v>
      </c>
      <c r="C9" s="148" t="s">
        <v>147</v>
      </c>
      <c r="D9" s="22">
        <f t="shared" si="2"/>
        <v>6.9125</v>
      </c>
      <c r="E9" s="23">
        <v>0.39166666666666666</v>
      </c>
      <c r="F9" s="26" t="s">
        <v>284</v>
      </c>
      <c r="G9" s="25"/>
      <c r="H9" s="25"/>
      <c r="I9" s="25">
        <v>0.3763888888888889</v>
      </c>
      <c r="J9" s="25">
        <v>0.3701388888888889</v>
      </c>
      <c r="K9" s="25">
        <v>0.37569444444444444</v>
      </c>
      <c r="L9" s="25">
        <v>0.3590277777777778</v>
      </c>
      <c r="M9" s="25">
        <v>0.3659722222222222</v>
      </c>
      <c r="N9" s="25"/>
      <c r="O9" s="25"/>
      <c r="P9" s="23">
        <v>0.34375</v>
      </c>
      <c r="Q9" s="23">
        <v>0.3611111111111111</v>
      </c>
      <c r="R9" s="25">
        <v>0.34375</v>
      </c>
      <c r="S9" s="25">
        <v>0.36527777777777776</v>
      </c>
      <c r="T9" s="116">
        <v>0.3597222222222222</v>
      </c>
      <c r="U9" s="142"/>
      <c r="V9" s="143"/>
      <c r="W9" s="116">
        <v>0.3625</v>
      </c>
      <c r="X9" s="116">
        <v>0.36666666666666664</v>
      </c>
      <c r="Y9" s="116">
        <v>0.37916666666666665</v>
      </c>
      <c r="Z9" s="116">
        <v>0.37083333333333335</v>
      </c>
      <c r="AA9" s="116">
        <v>0.36944444444444446</v>
      </c>
      <c r="AB9" s="142"/>
      <c r="AC9" s="143"/>
      <c r="AD9" s="116">
        <v>0.37430555555555556</v>
      </c>
      <c r="AE9" s="116">
        <v>0.3576388888888889</v>
      </c>
      <c r="AF9" s="115"/>
      <c r="AG9" s="116">
        <v>0.3194444444444444</v>
      </c>
      <c r="AH9" s="116"/>
      <c r="AI9" s="143"/>
    </row>
    <row r="10">
      <c r="A10" s="32"/>
      <c r="B10" s="145">
        <v>8.0</v>
      </c>
      <c r="C10" s="126" t="s">
        <v>177</v>
      </c>
      <c r="D10" s="22">
        <f t="shared" si="2"/>
        <v>5.458333333</v>
      </c>
      <c r="E10" s="23">
        <v>0.35</v>
      </c>
      <c r="F10" s="26" t="s">
        <v>284</v>
      </c>
      <c r="G10" s="25"/>
      <c r="H10" s="25"/>
      <c r="I10" s="25">
        <v>0.3548611111111111</v>
      </c>
      <c r="J10" s="25">
        <v>0.3638888888888889</v>
      </c>
      <c r="K10" s="25">
        <v>0.35694444444444445</v>
      </c>
      <c r="L10" s="25">
        <v>0.3576388888888889</v>
      </c>
      <c r="M10" s="26" t="s">
        <v>316</v>
      </c>
      <c r="N10" s="25"/>
      <c r="O10" s="25"/>
      <c r="P10" s="23">
        <v>0.3701388888888889</v>
      </c>
      <c r="Q10" s="23">
        <v>0.37569444444444444</v>
      </c>
      <c r="R10" s="25">
        <v>0.3701388888888889</v>
      </c>
      <c r="S10" s="25">
        <v>0.3611111111111111</v>
      </c>
      <c r="T10" s="114" t="s">
        <v>316</v>
      </c>
      <c r="U10" s="142"/>
      <c r="V10" s="143"/>
      <c r="W10" s="116">
        <v>0.3597222222222222</v>
      </c>
      <c r="X10" s="116">
        <v>0.3729166666666667</v>
      </c>
      <c r="Y10" s="116">
        <v>0.3611111111111111</v>
      </c>
      <c r="Z10" s="116">
        <v>0.3854166666666667</v>
      </c>
      <c r="AA10" s="114" t="s">
        <v>316</v>
      </c>
      <c r="AB10" s="142"/>
      <c r="AC10" s="143"/>
      <c r="AD10" s="114" t="s">
        <v>269</v>
      </c>
      <c r="AE10" s="116">
        <v>0.3590277777777778</v>
      </c>
      <c r="AF10" s="115"/>
      <c r="AG10" s="116">
        <v>0.3597222222222222</v>
      </c>
      <c r="AH10" s="116"/>
      <c r="AI10" s="143"/>
    </row>
    <row r="11">
      <c r="A11" s="32"/>
      <c r="B11" s="145">
        <v>9.0</v>
      </c>
      <c r="C11" s="148" t="s">
        <v>216</v>
      </c>
      <c r="D11" s="22">
        <f t="shared" si="2"/>
        <v>4.201388889</v>
      </c>
      <c r="E11" s="23">
        <v>0.28541666666666665</v>
      </c>
      <c r="F11" s="26" t="s">
        <v>284</v>
      </c>
      <c r="G11" s="25"/>
      <c r="H11" s="25"/>
      <c r="I11" s="25">
        <v>0.26944444444444443</v>
      </c>
      <c r="J11" s="25">
        <v>0.3763888888888889</v>
      </c>
      <c r="K11" s="26" t="s">
        <v>316</v>
      </c>
      <c r="L11" s="26" t="s">
        <v>316</v>
      </c>
      <c r="M11" s="26" t="s">
        <v>316</v>
      </c>
      <c r="N11" s="25"/>
      <c r="O11" s="25"/>
      <c r="P11" s="23">
        <v>0.39652777777777776</v>
      </c>
      <c r="Q11" s="26" t="s">
        <v>269</v>
      </c>
      <c r="R11" s="25">
        <v>0.39652777777777776</v>
      </c>
      <c r="S11" s="26" t="s">
        <v>316</v>
      </c>
      <c r="T11" s="114" t="s">
        <v>316</v>
      </c>
      <c r="U11" s="142"/>
      <c r="V11" s="143"/>
      <c r="W11" s="116">
        <v>0.32430555555555557</v>
      </c>
      <c r="X11" s="116">
        <v>0.375</v>
      </c>
      <c r="Y11" s="116">
        <v>0.3763888888888889</v>
      </c>
      <c r="Z11" s="116">
        <v>0.2847222222222222</v>
      </c>
      <c r="AA11" s="114" t="s">
        <v>316</v>
      </c>
      <c r="AB11" s="142"/>
      <c r="AC11" s="143"/>
      <c r="AD11" s="116">
        <v>0.3701388888888889</v>
      </c>
      <c r="AE11" s="116">
        <v>0.46041666666666664</v>
      </c>
      <c r="AF11" s="115"/>
      <c r="AG11" s="116">
        <v>0.2861111111111111</v>
      </c>
      <c r="AH11" s="116"/>
      <c r="AI11" s="143"/>
    </row>
    <row r="12">
      <c r="A12" s="32"/>
      <c r="B12" s="149">
        <v>10.0</v>
      </c>
      <c r="C12" s="150" t="s">
        <v>138</v>
      </c>
      <c r="D12" s="22">
        <f t="shared" si="2"/>
        <v>5.779166667</v>
      </c>
      <c r="E12" s="23">
        <v>0.34097222222222223</v>
      </c>
      <c r="F12" s="26" t="s">
        <v>284</v>
      </c>
      <c r="G12" s="25"/>
      <c r="H12" s="25"/>
      <c r="I12" s="25">
        <v>0.39375</v>
      </c>
      <c r="J12" s="25">
        <v>0.33819444444444446</v>
      </c>
      <c r="K12" s="25">
        <v>0.3680555555555556</v>
      </c>
      <c r="L12" s="26" t="s">
        <v>316</v>
      </c>
      <c r="M12" s="26" t="s">
        <v>316</v>
      </c>
      <c r="N12" s="25"/>
      <c r="O12" s="25"/>
      <c r="P12" s="23">
        <v>0.375</v>
      </c>
      <c r="Q12" s="23">
        <v>0.4465277777777778</v>
      </c>
      <c r="R12" s="23">
        <v>0.3972222222222222</v>
      </c>
      <c r="S12" s="23">
        <v>0.3958333333333333</v>
      </c>
      <c r="T12" s="114" t="s">
        <v>316</v>
      </c>
      <c r="U12" s="142"/>
      <c r="V12" s="143"/>
      <c r="W12" s="116">
        <v>0.2625</v>
      </c>
      <c r="X12" s="116">
        <v>0.4826388888888889</v>
      </c>
      <c r="Y12" s="117">
        <v>0.4166666666666667</v>
      </c>
      <c r="Z12" s="116">
        <v>0.3284722222222222</v>
      </c>
      <c r="AA12" s="114" t="s">
        <v>316</v>
      </c>
      <c r="AB12" s="142"/>
      <c r="AC12" s="143"/>
      <c r="AD12" s="116">
        <v>0.4152777777777778</v>
      </c>
      <c r="AE12" s="116">
        <v>0.3590277777777778</v>
      </c>
      <c r="AF12" s="115"/>
      <c r="AG12" s="116">
        <v>0.45902777777777776</v>
      </c>
      <c r="AH12" s="116"/>
      <c r="AI12" s="143"/>
    </row>
    <row r="13">
      <c r="A13" s="32"/>
      <c r="B13" s="149">
        <v>11.0</v>
      </c>
      <c r="C13" s="150" t="s">
        <v>228</v>
      </c>
      <c r="D13" s="22">
        <f t="shared" si="2"/>
        <v>4.152777778</v>
      </c>
      <c r="E13" s="23">
        <v>0.25416666666666665</v>
      </c>
      <c r="F13" s="26" t="s">
        <v>284</v>
      </c>
      <c r="G13" s="25"/>
      <c r="H13" s="25"/>
      <c r="I13" s="26" t="s">
        <v>269</v>
      </c>
      <c r="J13" s="25">
        <v>0.3472222222222222</v>
      </c>
      <c r="K13" s="25">
        <v>0.3458333333333333</v>
      </c>
      <c r="L13" s="25">
        <v>0.16666666666666666</v>
      </c>
      <c r="M13" s="26" t="s">
        <v>316</v>
      </c>
      <c r="N13" s="25"/>
      <c r="O13" s="25"/>
      <c r="P13" s="26" t="s">
        <v>316</v>
      </c>
      <c r="Q13" s="23">
        <v>0.3458333333333333</v>
      </c>
      <c r="R13" s="23">
        <v>0.34791666666666665</v>
      </c>
      <c r="S13" s="26" t="s">
        <v>316</v>
      </c>
      <c r="T13" s="117">
        <v>0.3472222222222222</v>
      </c>
      <c r="U13" s="142"/>
      <c r="V13" s="143"/>
      <c r="W13" s="116">
        <v>0.34444444444444444</v>
      </c>
      <c r="X13" s="116">
        <v>0.35208333333333336</v>
      </c>
      <c r="Y13" s="116">
        <v>0.2590277777777778</v>
      </c>
      <c r="Z13" s="116">
        <v>0.34375</v>
      </c>
      <c r="AA13" s="114" t="s">
        <v>316</v>
      </c>
      <c r="AB13" s="142"/>
      <c r="AC13" s="143"/>
      <c r="AD13" s="117">
        <v>0.34375</v>
      </c>
      <c r="AE13" s="114" t="s">
        <v>316</v>
      </c>
      <c r="AF13" s="115"/>
      <c r="AG13" s="116">
        <v>0.3548611111111111</v>
      </c>
      <c r="AH13" s="116"/>
      <c r="AI13" s="143"/>
    </row>
    <row r="14">
      <c r="A14" s="32"/>
      <c r="B14" s="149">
        <v>12.0</v>
      </c>
      <c r="C14" s="150" t="s">
        <v>273</v>
      </c>
      <c r="D14" s="22">
        <f t="shared" si="2"/>
        <v>5.833333333</v>
      </c>
      <c r="E14" s="23">
        <v>0.36180555555555555</v>
      </c>
      <c r="F14" s="26" t="s">
        <v>284</v>
      </c>
      <c r="G14" s="25"/>
      <c r="H14" s="25"/>
      <c r="I14" s="25">
        <v>0.3763888888888889</v>
      </c>
      <c r="J14" s="25">
        <v>0.5020833333333333</v>
      </c>
      <c r="K14" s="25">
        <v>0.33194444444444443</v>
      </c>
      <c r="L14" s="23">
        <v>0.28402777777777777</v>
      </c>
      <c r="M14" s="26" t="s">
        <v>316</v>
      </c>
      <c r="N14" s="25"/>
      <c r="O14" s="25"/>
      <c r="P14" s="23">
        <v>0.40208333333333335</v>
      </c>
      <c r="Q14" s="23">
        <v>0.3840277777777778</v>
      </c>
      <c r="R14" s="25">
        <v>0.40208333333333335</v>
      </c>
      <c r="S14" s="25">
        <v>0.3541666666666667</v>
      </c>
      <c r="T14" s="114" t="s">
        <v>316</v>
      </c>
      <c r="U14" s="142"/>
      <c r="V14" s="143"/>
      <c r="W14" s="114" t="s">
        <v>269</v>
      </c>
      <c r="X14" s="116">
        <v>0.38125</v>
      </c>
      <c r="Y14" s="116">
        <v>0.4131944444444444</v>
      </c>
      <c r="Z14" s="116">
        <v>0.3701388888888889</v>
      </c>
      <c r="AA14" s="114" t="s">
        <v>316</v>
      </c>
      <c r="AB14" s="142"/>
      <c r="AC14" s="143"/>
      <c r="AD14" s="117">
        <v>0.41041666666666665</v>
      </c>
      <c r="AE14" s="116">
        <v>0.4576388888888889</v>
      </c>
      <c r="AF14" s="115"/>
      <c r="AG14" s="116">
        <v>0.40208333333333335</v>
      </c>
      <c r="AH14" s="116"/>
      <c r="AI14" s="143"/>
    </row>
    <row r="15">
      <c r="A15" s="32"/>
      <c r="B15" s="145">
        <v>13.0</v>
      </c>
      <c r="C15" s="126" t="s">
        <v>254</v>
      </c>
      <c r="D15" s="22">
        <f t="shared" si="2"/>
        <v>4.911111111</v>
      </c>
      <c r="E15" s="23">
        <v>0.3458333333333333</v>
      </c>
      <c r="F15" s="26" t="s">
        <v>284</v>
      </c>
      <c r="G15" s="25"/>
      <c r="H15" s="25"/>
      <c r="I15" s="25">
        <v>0.35625</v>
      </c>
      <c r="J15" s="25">
        <v>0.36180555555555555</v>
      </c>
      <c r="K15" s="25">
        <v>0.35555555555555557</v>
      </c>
      <c r="L15" s="26" t="s">
        <v>316</v>
      </c>
      <c r="M15" s="26" t="s">
        <v>316</v>
      </c>
      <c r="N15" s="25"/>
      <c r="O15" s="25"/>
      <c r="P15" s="23">
        <v>0.3611111111111111</v>
      </c>
      <c r="Q15" s="23">
        <v>0.3590277777777778</v>
      </c>
      <c r="R15" s="25">
        <v>0.3611111111111111</v>
      </c>
      <c r="S15" s="25">
        <v>0.3576388888888889</v>
      </c>
      <c r="T15" s="114" t="s">
        <v>316</v>
      </c>
      <c r="U15" s="142"/>
      <c r="V15" s="143"/>
      <c r="W15" s="116">
        <v>0.3541666666666667</v>
      </c>
      <c r="X15" s="116">
        <v>0.35347222222222224</v>
      </c>
      <c r="Y15" s="116">
        <v>0.31875</v>
      </c>
      <c r="Z15" s="116">
        <v>0.3125</v>
      </c>
      <c r="AA15" s="114" t="s">
        <v>316</v>
      </c>
      <c r="AB15" s="142"/>
      <c r="AC15" s="143"/>
      <c r="AD15" s="114" t="s">
        <v>316</v>
      </c>
      <c r="AE15" s="116">
        <v>0.3701388888888889</v>
      </c>
      <c r="AF15" s="115"/>
      <c r="AG15" s="116">
        <v>0.34375</v>
      </c>
      <c r="AH15" s="116"/>
      <c r="AI15" s="143"/>
    </row>
    <row r="16">
      <c r="A16" s="32"/>
      <c r="B16" s="151">
        <v>14.0</v>
      </c>
      <c r="C16" s="152" t="s">
        <v>336</v>
      </c>
      <c r="D16" s="22">
        <f t="shared" si="2"/>
        <v>1.097916667</v>
      </c>
      <c r="E16" s="23"/>
      <c r="F16" s="26" t="s">
        <v>284</v>
      </c>
      <c r="G16" s="25"/>
      <c r="H16" s="25"/>
      <c r="I16" s="25"/>
      <c r="J16" s="25"/>
      <c r="K16" s="25"/>
      <c r="L16" s="25"/>
      <c r="M16" s="26"/>
      <c r="N16" s="25"/>
      <c r="O16" s="25"/>
      <c r="P16" s="23"/>
      <c r="Q16" s="23"/>
      <c r="R16" s="25"/>
      <c r="S16" s="25"/>
      <c r="T16" s="116"/>
      <c r="U16" s="142"/>
      <c r="V16" s="143"/>
      <c r="W16" s="116"/>
      <c r="X16" s="116"/>
      <c r="Y16" s="116"/>
      <c r="Z16" s="116"/>
      <c r="AA16" s="116"/>
      <c r="AB16" s="142"/>
      <c r="AC16" s="143"/>
      <c r="AD16" s="116">
        <v>0.35833333333333334</v>
      </c>
      <c r="AE16" s="116">
        <v>0.36875</v>
      </c>
      <c r="AF16" s="115"/>
      <c r="AG16" s="116">
        <v>0.37083333333333335</v>
      </c>
      <c r="AH16" s="116"/>
      <c r="AI16" s="143"/>
    </row>
    <row r="17">
      <c r="A17" s="32"/>
      <c r="B17" s="151">
        <v>15.0</v>
      </c>
      <c r="C17" s="152" t="s">
        <v>337</v>
      </c>
      <c r="D17" s="22">
        <f t="shared" si="2"/>
        <v>0.675</v>
      </c>
      <c r="E17" s="23"/>
      <c r="F17" s="26"/>
      <c r="G17" s="25"/>
      <c r="H17" s="25"/>
      <c r="I17" s="25"/>
      <c r="J17" s="25"/>
      <c r="K17" s="25"/>
      <c r="L17" s="25"/>
      <c r="M17" s="26"/>
      <c r="N17" s="25"/>
      <c r="O17" s="25"/>
      <c r="P17" s="23"/>
      <c r="Q17" s="23"/>
      <c r="R17" s="25"/>
      <c r="S17" s="25"/>
      <c r="T17" s="116"/>
      <c r="U17" s="142"/>
      <c r="V17" s="143"/>
      <c r="W17" s="116"/>
      <c r="X17" s="116"/>
      <c r="Y17" s="116"/>
      <c r="Z17" s="116"/>
      <c r="AA17" s="116"/>
      <c r="AB17" s="142"/>
      <c r="AC17" s="143"/>
      <c r="AD17" s="116"/>
      <c r="AE17" s="116">
        <v>0.3909722222222222</v>
      </c>
      <c r="AF17" s="115"/>
      <c r="AG17" s="116">
        <v>0.28402777777777777</v>
      </c>
      <c r="AH17" s="116"/>
      <c r="AI17" s="143"/>
    </row>
    <row r="18">
      <c r="A18" s="153" t="s">
        <v>274</v>
      </c>
      <c r="B18" s="154">
        <v>16.0</v>
      </c>
      <c r="C18" s="155" t="s">
        <v>213</v>
      </c>
      <c r="D18" s="22">
        <f t="shared" si="2"/>
        <v>3.789583333</v>
      </c>
      <c r="E18" s="23"/>
      <c r="F18" s="26" t="s">
        <v>284</v>
      </c>
      <c r="G18" s="25"/>
      <c r="H18" s="25"/>
      <c r="I18" s="25"/>
      <c r="J18" s="25"/>
      <c r="K18" s="25"/>
      <c r="L18" s="25"/>
      <c r="M18" s="26" t="s">
        <v>316</v>
      </c>
      <c r="N18" s="25"/>
      <c r="O18" s="25"/>
      <c r="P18" s="23">
        <v>0.36944444444444446</v>
      </c>
      <c r="Q18" s="23">
        <v>0.3958333333333333</v>
      </c>
      <c r="R18" s="25">
        <v>0.36944444444444446</v>
      </c>
      <c r="S18" s="25">
        <v>0.32916666666666666</v>
      </c>
      <c r="T18" s="116"/>
      <c r="U18" s="142"/>
      <c r="V18" s="143"/>
      <c r="W18" s="116">
        <v>0.33055555555555555</v>
      </c>
      <c r="X18" s="116">
        <v>0.3590277777777778</v>
      </c>
      <c r="Y18" s="116">
        <v>0.37083333333333335</v>
      </c>
      <c r="Z18" s="116">
        <v>0.3333333333333333</v>
      </c>
      <c r="AA18" s="114" t="s">
        <v>316</v>
      </c>
      <c r="AB18" s="142"/>
      <c r="AC18" s="143"/>
      <c r="AD18" s="116">
        <v>0.37916666666666665</v>
      </c>
      <c r="AE18" s="116">
        <v>0.2708333333333333</v>
      </c>
      <c r="AF18" s="115"/>
      <c r="AG18" s="116">
        <v>0.28194444444444444</v>
      </c>
      <c r="AH18" s="116"/>
      <c r="AI18" s="143"/>
    </row>
    <row r="19">
      <c r="A19" s="32"/>
      <c r="B19" s="154">
        <v>17.0</v>
      </c>
      <c r="C19" s="155" t="s">
        <v>54</v>
      </c>
      <c r="D19" s="22" t="str">
        <f t="shared" si="2"/>
        <v>#N/A</v>
      </c>
      <c r="E19" s="23">
        <v>0.40694444444444444</v>
      </c>
      <c r="F19" s="26" t="s">
        <v>284</v>
      </c>
      <c r="G19" s="25"/>
      <c r="H19" s="25"/>
      <c r="I19" s="25">
        <v>0.35694444444444445</v>
      </c>
      <c r="J19" s="25">
        <v>0.41875</v>
      </c>
      <c r="K19" s="23">
        <v>0.21736111111111112</v>
      </c>
      <c r="L19" s="25">
        <v>0.2972222222222222</v>
      </c>
      <c r="M19" s="26" t="s">
        <v>316</v>
      </c>
      <c r="N19" s="25"/>
      <c r="O19" s="25"/>
      <c r="P19" s="23">
        <v>0.36180555555555555</v>
      </c>
      <c r="Q19" s="23">
        <v>0.3784722222222222</v>
      </c>
      <c r="R19" s="25">
        <v>0.36180555555555555</v>
      </c>
      <c r="S19" s="25">
        <v>0.2951388888888889</v>
      </c>
      <c r="T19" s="114" t="s">
        <v>316</v>
      </c>
      <c r="U19" s="142"/>
      <c r="V19" s="143"/>
      <c r="W19" s="116">
        <v>0.36319444444444443</v>
      </c>
      <c r="X19" s="116">
        <v>0.3576388888888889</v>
      </c>
      <c r="Y19" s="114" t="s">
        <v>271</v>
      </c>
      <c r="Z19" s="116">
        <v>0.4326388888888889</v>
      </c>
      <c r="AA19" s="114" t="s">
        <v>316</v>
      </c>
      <c r="AB19" s="142"/>
      <c r="AC19" s="143"/>
      <c r="AD19" s="116">
        <v>0.3277777777777778</v>
      </c>
      <c r="AE19" s="114" t="s">
        <v>338</v>
      </c>
      <c r="AF19" s="115"/>
      <c r="AG19" s="116" t="e">
        <v>#N/A</v>
      </c>
      <c r="AH19" s="116"/>
      <c r="AI19" s="143"/>
    </row>
    <row r="20">
      <c r="A20" s="32"/>
      <c r="B20" s="154">
        <v>18.0</v>
      </c>
      <c r="C20" s="155" t="s">
        <v>159</v>
      </c>
      <c r="D20" s="22">
        <f t="shared" si="2"/>
        <v>5.379166667</v>
      </c>
      <c r="E20" s="26" t="s">
        <v>271</v>
      </c>
      <c r="F20" s="26" t="s">
        <v>284</v>
      </c>
      <c r="G20" s="25"/>
      <c r="H20" s="25"/>
      <c r="I20" s="25">
        <v>0.35833333333333334</v>
      </c>
      <c r="J20" s="25">
        <v>0.36527777777777776</v>
      </c>
      <c r="K20" s="25">
        <v>0.36041666666666666</v>
      </c>
      <c r="L20" s="25">
        <v>0.30694444444444446</v>
      </c>
      <c r="M20" s="26" t="s">
        <v>316</v>
      </c>
      <c r="N20" s="25"/>
      <c r="O20" s="25"/>
      <c r="P20" s="23">
        <v>0.3527777777777778</v>
      </c>
      <c r="Q20" s="23">
        <v>0.37569444444444444</v>
      </c>
      <c r="R20" s="25">
        <v>0.3527777777777778</v>
      </c>
      <c r="S20" s="25">
        <v>0.35208333333333336</v>
      </c>
      <c r="T20" s="114" t="s">
        <v>316</v>
      </c>
      <c r="U20" s="142"/>
      <c r="V20" s="146"/>
      <c r="W20" s="116">
        <v>0.35625</v>
      </c>
      <c r="X20" s="116">
        <v>0.3541666666666667</v>
      </c>
      <c r="Y20" s="116">
        <v>0.3020833333333333</v>
      </c>
      <c r="Z20" s="116">
        <v>0.4013888888888889</v>
      </c>
      <c r="AA20" s="114" t="s">
        <v>316</v>
      </c>
      <c r="AB20" s="142"/>
      <c r="AC20" s="143"/>
      <c r="AD20" s="116">
        <v>0.38125</v>
      </c>
      <c r="AE20" s="116">
        <v>0.3923611111111111</v>
      </c>
      <c r="AF20" s="115"/>
      <c r="AG20" s="116">
        <v>0.36736111111111114</v>
      </c>
      <c r="AH20" s="116"/>
      <c r="AI20" s="143"/>
    </row>
    <row r="21">
      <c r="A21" s="32"/>
      <c r="B21" s="154">
        <v>19.0</v>
      </c>
      <c r="C21" s="155" t="s">
        <v>156</v>
      </c>
      <c r="D21" s="22">
        <f t="shared" si="2"/>
        <v>6.265277778</v>
      </c>
      <c r="E21" s="23">
        <v>0.33611111111111114</v>
      </c>
      <c r="F21" s="26" t="s">
        <v>284</v>
      </c>
      <c r="G21" s="25"/>
      <c r="H21" s="25"/>
      <c r="I21" s="25">
        <v>0.3645833333333333</v>
      </c>
      <c r="J21" s="25">
        <v>0.40902777777777777</v>
      </c>
      <c r="K21" s="25">
        <v>0.3659722222222222</v>
      </c>
      <c r="L21" s="25">
        <v>0.38819444444444445</v>
      </c>
      <c r="M21" s="26" t="s">
        <v>316</v>
      </c>
      <c r="N21" s="25"/>
      <c r="O21" s="25"/>
      <c r="P21" s="23">
        <v>0.4284722222222222</v>
      </c>
      <c r="Q21" s="23">
        <v>0.40208333333333335</v>
      </c>
      <c r="R21" s="25">
        <v>0.4284722222222222</v>
      </c>
      <c r="S21" s="25">
        <v>0.33958333333333335</v>
      </c>
      <c r="T21" s="114" t="s">
        <v>316</v>
      </c>
      <c r="U21" s="142"/>
      <c r="V21" s="143"/>
      <c r="W21" s="116">
        <v>0.33958333333333335</v>
      </c>
      <c r="X21" s="116">
        <v>0.4548611111111111</v>
      </c>
      <c r="Y21" s="116">
        <v>0.4097222222222222</v>
      </c>
      <c r="Z21" s="116">
        <v>0.41041666666666665</v>
      </c>
      <c r="AA21" s="114" t="s">
        <v>316</v>
      </c>
      <c r="AB21" s="142"/>
      <c r="AC21" s="143"/>
      <c r="AD21" s="116">
        <v>0.41875</v>
      </c>
      <c r="AE21" s="116">
        <v>0.39305555555555555</v>
      </c>
      <c r="AF21" s="115"/>
      <c r="AG21" s="116">
        <v>0.3763888888888889</v>
      </c>
      <c r="AH21" s="116"/>
      <c r="AI21" s="143"/>
    </row>
    <row r="22">
      <c r="A22" s="32"/>
      <c r="B22" s="156">
        <v>20.0</v>
      </c>
      <c r="C22" s="157" t="s">
        <v>275</v>
      </c>
      <c r="D22" s="22">
        <f t="shared" si="2"/>
        <v>4.838194444</v>
      </c>
      <c r="E22" s="23">
        <v>0.4375</v>
      </c>
      <c r="F22" s="26" t="s">
        <v>284</v>
      </c>
      <c r="G22" s="25"/>
      <c r="H22" s="25"/>
      <c r="I22" s="25">
        <v>0.44305555555555554</v>
      </c>
      <c r="J22" s="25">
        <v>0.39791666666666664</v>
      </c>
      <c r="K22" s="23">
        <v>0.3958333333333333</v>
      </c>
      <c r="L22" s="23">
        <v>0.3958333333333333</v>
      </c>
      <c r="M22" s="26" t="s">
        <v>316</v>
      </c>
      <c r="N22" s="25"/>
      <c r="O22" s="25"/>
      <c r="P22" s="23">
        <v>0.3680555555555556</v>
      </c>
      <c r="Q22" s="23">
        <v>0.4048611111111111</v>
      </c>
      <c r="R22" s="25">
        <v>0.3680555555555556</v>
      </c>
      <c r="S22" s="25">
        <v>0.35138888888888886</v>
      </c>
      <c r="T22" s="114" t="s">
        <v>316</v>
      </c>
      <c r="U22" s="142"/>
      <c r="V22" s="143"/>
      <c r="W22" s="114" t="s">
        <v>269</v>
      </c>
      <c r="X22" s="114" t="s">
        <v>330</v>
      </c>
      <c r="Y22" s="114" t="s">
        <v>330</v>
      </c>
      <c r="Z22" s="114" t="s">
        <v>330</v>
      </c>
      <c r="AA22" s="114" t="s">
        <v>316</v>
      </c>
      <c r="AB22" s="142"/>
      <c r="AC22" s="143"/>
      <c r="AD22" s="116">
        <v>0.3784722222222222</v>
      </c>
      <c r="AE22" s="116">
        <v>0.3861111111111111</v>
      </c>
      <c r="AF22" s="115"/>
      <c r="AG22" s="116">
        <v>0.5111111111111111</v>
      </c>
      <c r="AH22" s="116"/>
      <c r="AI22" s="143"/>
    </row>
    <row r="23">
      <c r="A23" s="32"/>
      <c r="B23" s="154">
        <v>21.0</v>
      </c>
      <c r="C23" s="155" t="s">
        <v>57</v>
      </c>
      <c r="D23" s="22">
        <f t="shared" si="2"/>
        <v>5.497222222</v>
      </c>
      <c r="E23" s="23">
        <v>0.31666666666666665</v>
      </c>
      <c r="F23" s="26" t="s">
        <v>284</v>
      </c>
      <c r="G23" s="25"/>
      <c r="H23" s="25"/>
      <c r="I23" s="25">
        <v>0.3368055555555556</v>
      </c>
      <c r="J23" s="26" t="s">
        <v>271</v>
      </c>
      <c r="K23" s="23">
        <v>0.6083333333333333</v>
      </c>
      <c r="L23" s="25">
        <v>0.35347222222222224</v>
      </c>
      <c r="M23" s="26" t="s">
        <v>316</v>
      </c>
      <c r="N23" s="25"/>
      <c r="O23" s="25"/>
      <c r="P23" s="23">
        <v>0.38263888888888886</v>
      </c>
      <c r="Q23" s="23">
        <v>0.3854166666666667</v>
      </c>
      <c r="R23" s="25">
        <v>0.38263888888888886</v>
      </c>
      <c r="S23" s="25">
        <v>0.3194444444444444</v>
      </c>
      <c r="T23" s="114" t="s">
        <v>316</v>
      </c>
      <c r="U23" s="142"/>
      <c r="V23" s="146"/>
      <c r="W23" s="116">
        <v>0.32916666666666666</v>
      </c>
      <c r="X23" s="116">
        <v>0.4027777777777778</v>
      </c>
      <c r="Y23" s="116">
        <v>0.3472222222222222</v>
      </c>
      <c r="Z23" s="116">
        <v>0.38125</v>
      </c>
      <c r="AA23" s="114" t="s">
        <v>316</v>
      </c>
      <c r="AB23" s="142"/>
      <c r="AC23" s="143"/>
      <c r="AD23" s="116">
        <v>0.36180555555555555</v>
      </c>
      <c r="AE23" s="116">
        <v>0.21805555555555556</v>
      </c>
      <c r="AF23" s="115"/>
      <c r="AG23" s="116">
        <v>0.3715277777777778</v>
      </c>
      <c r="AH23" s="116"/>
      <c r="AI23" s="143"/>
    </row>
    <row r="24">
      <c r="A24" s="32"/>
      <c r="B24" s="156">
        <v>22.0</v>
      </c>
      <c r="C24" s="39" t="s">
        <v>132</v>
      </c>
      <c r="D24" s="22">
        <f t="shared" si="2"/>
        <v>6.618055556</v>
      </c>
      <c r="E24" s="23">
        <v>0.275</v>
      </c>
      <c r="F24" s="26" t="s">
        <v>284</v>
      </c>
      <c r="G24" s="25"/>
      <c r="H24" s="25"/>
      <c r="I24" s="25">
        <v>0.48680555555555555</v>
      </c>
      <c r="J24" s="25">
        <v>0.39375</v>
      </c>
      <c r="K24" s="23">
        <v>0.60625</v>
      </c>
      <c r="L24" s="25">
        <v>0.3277777777777778</v>
      </c>
      <c r="M24" s="26" t="s">
        <v>316</v>
      </c>
      <c r="N24" s="25"/>
      <c r="O24" s="25"/>
      <c r="P24" s="26" t="s">
        <v>330</v>
      </c>
      <c r="Q24" s="23">
        <v>0.39166666666666666</v>
      </c>
      <c r="R24" s="23">
        <v>0.3402777777777778</v>
      </c>
      <c r="S24" s="25">
        <v>0.3125</v>
      </c>
      <c r="T24" s="116">
        <v>0.32222222222222224</v>
      </c>
      <c r="U24" s="142"/>
      <c r="V24" s="143"/>
      <c r="W24" s="116">
        <v>0.32708333333333334</v>
      </c>
      <c r="X24" s="116">
        <v>0.43819444444444444</v>
      </c>
      <c r="Y24" s="116">
        <v>0.31875</v>
      </c>
      <c r="Z24" s="116">
        <v>0.3819444444444444</v>
      </c>
      <c r="AA24" s="116">
        <v>0.45694444444444443</v>
      </c>
      <c r="AB24" s="142"/>
      <c r="AC24" s="143"/>
      <c r="AD24" s="116">
        <v>0.46875</v>
      </c>
      <c r="AE24" s="116">
        <v>0.3326388888888889</v>
      </c>
      <c r="AF24" s="115"/>
      <c r="AG24" s="117">
        <v>0.4375</v>
      </c>
      <c r="AH24" s="116"/>
      <c r="AI24" s="143"/>
    </row>
    <row r="25">
      <c r="A25" s="32"/>
      <c r="B25" s="156">
        <v>23.0</v>
      </c>
      <c r="C25" s="39" t="s">
        <v>99</v>
      </c>
      <c r="D25" s="22">
        <f t="shared" si="2"/>
        <v>5.167361111</v>
      </c>
      <c r="E25" s="23">
        <v>0.3111111111111111</v>
      </c>
      <c r="F25" s="26" t="s">
        <v>284</v>
      </c>
      <c r="G25" s="25"/>
      <c r="H25" s="25"/>
      <c r="I25" s="25">
        <v>0.35347222222222224</v>
      </c>
      <c r="J25" s="25">
        <v>0.45416666666666666</v>
      </c>
      <c r="K25" s="23">
        <v>0.5895833333333333</v>
      </c>
      <c r="L25" s="26" t="s">
        <v>316</v>
      </c>
      <c r="M25" s="26" t="s">
        <v>330</v>
      </c>
      <c r="N25" s="25"/>
      <c r="O25" s="25"/>
      <c r="P25" s="23">
        <v>0.3506944444444444</v>
      </c>
      <c r="Q25" s="23">
        <v>0.35208333333333336</v>
      </c>
      <c r="R25" s="25">
        <v>0.3506944444444444</v>
      </c>
      <c r="S25" s="25">
        <v>0.3402777777777778</v>
      </c>
      <c r="T25" s="114" t="s">
        <v>316</v>
      </c>
      <c r="U25" s="142"/>
      <c r="V25" s="143"/>
      <c r="W25" s="116">
        <v>0.33402777777777776</v>
      </c>
      <c r="X25" s="116">
        <v>0.3388888888888889</v>
      </c>
      <c r="Y25" s="114" t="s">
        <v>330</v>
      </c>
      <c r="Z25" s="116">
        <v>0.3597222222222222</v>
      </c>
      <c r="AA25" s="114" t="s">
        <v>316</v>
      </c>
      <c r="AB25" s="142"/>
      <c r="AC25" s="143"/>
      <c r="AD25" s="116">
        <v>0.3229166666666667</v>
      </c>
      <c r="AE25" s="116">
        <v>0.3590277777777778</v>
      </c>
      <c r="AF25" s="115"/>
      <c r="AG25" s="116">
        <v>0.3506944444444444</v>
      </c>
      <c r="AH25" s="116"/>
      <c r="AI25" s="143"/>
    </row>
    <row r="26">
      <c r="A26" s="32"/>
      <c r="B26" s="154">
        <v>24.0</v>
      </c>
      <c r="C26" s="155" t="s">
        <v>263</v>
      </c>
      <c r="D26" s="22">
        <f t="shared" si="2"/>
        <v>6.341666667</v>
      </c>
      <c r="E26" s="23">
        <v>0.35347222222222224</v>
      </c>
      <c r="F26" s="26" t="s">
        <v>284</v>
      </c>
      <c r="G26" s="25"/>
      <c r="H26" s="25"/>
      <c r="I26" s="25">
        <v>0.36319444444444443</v>
      </c>
      <c r="J26" s="25">
        <v>0.34930555555555554</v>
      </c>
      <c r="K26" s="25">
        <v>0.35694444444444445</v>
      </c>
      <c r="L26" s="25">
        <v>0.3506944444444444</v>
      </c>
      <c r="M26" s="25">
        <v>0.3819444444444444</v>
      </c>
      <c r="N26" s="25"/>
      <c r="O26" s="25"/>
      <c r="P26" s="23">
        <v>0.37430555555555556</v>
      </c>
      <c r="Q26" s="23">
        <v>0.3423611111111111</v>
      </c>
      <c r="R26" s="23">
        <v>0.3416666666666667</v>
      </c>
      <c r="S26" s="23">
        <v>0.36041666666666666</v>
      </c>
      <c r="T26" s="117">
        <v>0.3659722222222222</v>
      </c>
      <c r="U26" s="142"/>
      <c r="V26" s="143"/>
      <c r="W26" s="116">
        <v>0.3423611111111111</v>
      </c>
      <c r="X26" s="116">
        <v>0.38055555555555554</v>
      </c>
      <c r="Y26" s="116">
        <v>0.36527777777777776</v>
      </c>
      <c r="Z26" s="116">
        <v>0.38263888888888886</v>
      </c>
      <c r="AA26" s="117">
        <v>0.16666666666666666</v>
      </c>
      <c r="AB26" s="142"/>
      <c r="AC26" s="143"/>
      <c r="AD26" s="116">
        <v>0.37777777777777777</v>
      </c>
      <c r="AE26" s="116">
        <v>0.3861111111111111</v>
      </c>
      <c r="AF26" s="115"/>
      <c r="AG26" s="114" t="s">
        <v>316</v>
      </c>
      <c r="AH26" s="116"/>
      <c r="AI26" s="143"/>
    </row>
    <row r="27">
      <c r="A27" s="32"/>
      <c r="B27" s="154">
        <v>25.0</v>
      </c>
      <c r="C27" s="158" t="s">
        <v>339</v>
      </c>
      <c r="D27" s="22">
        <f t="shared" si="2"/>
        <v>7.070138889</v>
      </c>
      <c r="E27" s="23">
        <v>0.53125</v>
      </c>
      <c r="F27" s="26" t="s">
        <v>284</v>
      </c>
      <c r="G27" s="25"/>
      <c r="H27" s="25"/>
      <c r="I27" s="23">
        <v>0.3819444444444444</v>
      </c>
      <c r="J27" s="23">
        <v>0.3770833333333333</v>
      </c>
      <c r="K27" s="23">
        <v>0.3638888888888889</v>
      </c>
      <c r="L27" s="23">
        <v>0.3645833333333333</v>
      </c>
      <c r="M27" s="159">
        <v>0.3548611111111111</v>
      </c>
      <c r="N27" s="25"/>
      <c r="O27" s="25"/>
      <c r="P27" s="23">
        <v>0.3611111111111111</v>
      </c>
      <c r="Q27" s="23">
        <v>0.3736111111111111</v>
      </c>
      <c r="R27" s="23">
        <v>0.3416666666666667</v>
      </c>
      <c r="S27" s="23">
        <v>0.36041666666666666</v>
      </c>
      <c r="T27" s="117">
        <v>0.3659722222222222</v>
      </c>
      <c r="U27" s="142"/>
      <c r="V27" s="143"/>
      <c r="W27" s="117">
        <v>0.3506944444444444</v>
      </c>
      <c r="X27" s="117">
        <v>0.3625</v>
      </c>
      <c r="Y27" s="117">
        <v>0.35555555555555557</v>
      </c>
      <c r="Z27" s="117">
        <v>0.3527777777777778</v>
      </c>
      <c r="AA27" s="147">
        <v>0.3347222222222222</v>
      </c>
      <c r="AB27" s="142"/>
      <c r="AC27" s="143"/>
      <c r="AD27" s="116">
        <v>0.38055555555555554</v>
      </c>
      <c r="AE27" s="117">
        <v>0.375</v>
      </c>
      <c r="AF27" s="115"/>
      <c r="AG27" s="117">
        <v>0.3819444444444444</v>
      </c>
      <c r="AH27" s="116"/>
      <c r="AI27" s="143"/>
    </row>
    <row r="28">
      <c r="A28" s="32"/>
      <c r="B28" s="156">
        <v>26.0</v>
      </c>
      <c r="C28" s="39" t="s">
        <v>93</v>
      </c>
      <c r="D28" s="22">
        <f t="shared" si="2"/>
        <v>9.052083333</v>
      </c>
      <c r="E28" s="23">
        <v>0.6034722222222222</v>
      </c>
      <c r="F28" s="26" t="s">
        <v>284</v>
      </c>
      <c r="G28" s="25"/>
      <c r="H28" s="25"/>
      <c r="I28" s="25">
        <v>0.4354166666666667</v>
      </c>
      <c r="J28" s="25">
        <v>0.3770833333333333</v>
      </c>
      <c r="K28" s="23">
        <v>0.6041666666666666</v>
      </c>
      <c r="L28" s="25">
        <v>0.5125</v>
      </c>
      <c r="M28" s="159">
        <v>0.3548611111111111</v>
      </c>
      <c r="N28" s="25"/>
      <c r="O28" s="25"/>
      <c r="P28" s="23">
        <v>0.45208333333333334</v>
      </c>
      <c r="Q28" s="23">
        <v>0.42083333333333334</v>
      </c>
      <c r="R28" s="25">
        <v>0.45208333333333334</v>
      </c>
      <c r="S28" s="25">
        <v>0.38958333333333334</v>
      </c>
      <c r="T28" s="117">
        <v>0.3645833333333333</v>
      </c>
      <c r="U28" s="142"/>
      <c r="V28" s="143"/>
      <c r="W28" s="116">
        <v>0.4</v>
      </c>
      <c r="X28" s="160">
        <v>0.9166666666666666</v>
      </c>
      <c r="Y28" s="116">
        <v>0.44375</v>
      </c>
      <c r="Z28" s="117">
        <v>0.42569444444444443</v>
      </c>
      <c r="AA28" s="116">
        <v>0.49375</v>
      </c>
      <c r="AB28" s="142"/>
      <c r="AC28" s="143"/>
      <c r="AD28" s="116">
        <v>0.46319444444444446</v>
      </c>
      <c r="AE28" s="116">
        <v>0.5361111111111111</v>
      </c>
      <c r="AF28" s="115"/>
      <c r="AG28" s="117">
        <v>0.40625</v>
      </c>
      <c r="AH28" s="116"/>
      <c r="AI28" s="143"/>
    </row>
    <row r="29">
      <c r="A29" s="32"/>
      <c r="B29" s="156">
        <v>27.0</v>
      </c>
      <c r="C29" s="39" t="s">
        <v>135</v>
      </c>
      <c r="D29" s="22">
        <f t="shared" si="2"/>
        <v>5.336111111</v>
      </c>
      <c r="E29" s="23">
        <v>0.56875</v>
      </c>
      <c r="F29" s="26" t="s">
        <v>284</v>
      </c>
      <c r="G29" s="25"/>
      <c r="H29" s="25"/>
      <c r="I29" s="25">
        <v>0.4048611111111111</v>
      </c>
      <c r="J29" s="25">
        <v>0.3736111111111111</v>
      </c>
      <c r="K29" s="25">
        <v>0.38680555555555557</v>
      </c>
      <c r="L29" s="26" t="s">
        <v>269</v>
      </c>
      <c r="M29" s="26" t="s">
        <v>316</v>
      </c>
      <c r="N29" s="25"/>
      <c r="O29" s="25"/>
      <c r="P29" s="23">
        <v>0.3993055555555556</v>
      </c>
      <c r="Q29" s="23">
        <v>0.4076388888888889</v>
      </c>
      <c r="R29" s="25">
        <v>0.3993055555555556</v>
      </c>
      <c r="S29" s="25">
        <v>0.35555555555555557</v>
      </c>
      <c r="T29" s="114" t="s">
        <v>340</v>
      </c>
      <c r="U29" s="142"/>
      <c r="V29" s="143"/>
      <c r="W29" s="116">
        <v>0.3951388888888889</v>
      </c>
      <c r="X29" s="116">
        <v>0.3423611111111111</v>
      </c>
      <c r="Y29" s="114" t="s">
        <v>271</v>
      </c>
      <c r="Z29" s="114" t="s">
        <v>271</v>
      </c>
      <c r="AA29" s="114" t="s">
        <v>316</v>
      </c>
      <c r="AB29" s="142"/>
      <c r="AC29" s="143"/>
      <c r="AD29" s="116">
        <v>0.41180555555555554</v>
      </c>
      <c r="AE29" s="116">
        <v>0.4444444444444444</v>
      </c>
      <c r="AF29" s="115"/>
      <c r="AG29" s="117">
        <v>0.4465277777777778</v>
      </c>
      <c r="AH29" s="116"/>
      <c r="AI29" s="143"/>
    </row>
    <row r="30">
      <c r="A30" s="32"/>
      <c r="B30" s="156">
        <v>28.0</v>
      </c>
      <c r="C30" s="39" t="s">
        <v>183</v>
      </c>
      <c r="D30" s="22">
        <f t="shared" si="2"/>
        <v>5.620138889</v>
      </c>
      <c r="E30" s="23">
        <v>0.4930555555555556</v>
      </c>
      <c r="F30" s="26" t="s">
        <v>284</v>
      </c>
      <c r="G30" s="25"/>
      <c r="H30" s="25"/>
      <c r="I30" s="25">
        <v>0.40208333333333335</v>
      </c>
      <c r="J30" s="25">
        <v>0.3611111111111111</v>
      </c>
      <c r="K30" s="25">
        <v>0.38263888888888886</v>
      </c>
      <c r="L30" s="25">
        <v>0.3576388888888889</v>
      </c>
      <c r="M30" s="26" t="s">
        <v>316</v>
      </c>
      <c r="N30" s="25"/>
      <c r="O30" s="25"/>
      <c r="P30" s="23">
        <v>0.32708333333333334</v>
      </c>
      <c r="Q30" s="23">
        <v>0.3958333333333333</v>
      </c>
      <c r="R30" s="25">
        <v>0.32708333333333334</v>
      </c>
      <c r="S30" s="26" t="s">
        <v>271</v>
      </c>
      <c r="T30" s="114" t="s">
        <v>340</v>
      </c>
      <c r="U30" s="142"/>
      <c r="V30" s="143"/>
      <c r="W30" s="116">
        <v>0.3576388888888889</v>
      </c>
      <c r="X30" s="116">
        <v>0.38819444444444445</v>
      </c>
      <c r="Y30" s="116">
        <v>0.34930555555555554</v>
      </c>
      <c r="Z30" s="116">
        <v>0.325</v>
      </c>
      <c r="AA30" s="114" t="s">
        <v>316</v>
      </c>
      <c r="AB30" s="142"/>
      <c r="AC30" s="146"/>
      <c r="AD30" s="116">
        <v>0.4534722222222222</v>
      </c>
      <c r="AE30" s="116">
        <v>0.3388888888888889</v>
      </c>
      <c r="AF30" s="115"/>
      <c r="AG30" s="117">
        <v>0.3611111111111111</v>
      </c>
      <c r="AH30" s="116"/>
      <c r="AI30" s="143"/>
    </row>
    <row r="31">
      <c r="A31" s="32"/>
      <c r="B31" s="156">
        <v>29.0</v>
      </c>
      <c r="C31" s="39" t="s">
        <v>186</v>
      </c>
      <c r="D31" s="22">
        <f t="shared" si="2"/>
        <v>6.420833333</v>
      </c>
      <c r="E31" s="23">
        <v>0.3861111111111111</v>
      </c>
      <c r="F31" s="26" t="s">
        <v>284</v>
      </c>
      <c r="G31" s="25"/>
      <c r="H31" s="25"/>
      <c r="I31" s="25">
        <v>0.36319444444444443</v>
      </c>
      <c r="J31" s="25">
        <v>0.45208333333333334</v>
      </c>
      <c r="K31" s="25">
        <v>0.35555555555555557</v>
      </c>
      <c r="L31" s="25">
        <v>0.2875</v>
      </c>
      <c r="M31" s="26" t="s">
        <v>316</v>
      </c>
      <c r="N31" s="25"/>
      <c r="O31" s="25"/>
      <c r="P31" s="23">
        <v>0.40208333333333335</v>
      </c>
      <c r="Q31" s="23">
        <v>0.4041666666666667</v>
      </c>
      <c r="R31" s="25">
        <v>0.40208333333333335</v>
      </c>
      <c r="S31" s="25">
        <v>0.44513888888888886</v>
      </c>
      <c r="T31" s="114" t="s">
        <v>340</v>
      </c>
      <c r="U31" s="142"/>
      <c r="V31" s="146"/>
      <c r="W31" s="114" t="s">
        <v>269</v>
      </c>
      <c r="X31" s="114" t="s">
        <v>316</v>
      </c>
      <c r="Y31" s="116">
        <v>0.41041666666666665</v>
      </c>
      <c r="Z31" s="117">
        <v>0.55</v>
      </c>
      <c r="AA31" s="117">
        <v>0.5847222222222223</v>
      </c>
      <c r="AB31" s="142"/>
      <c r="AC31" s="143"/>
      <c r="AD31" s="116">
        <v>0.4444444444444444</v>
      </c>
      <c r="AE31" s="116">
        <v>0.45694444444444443</v>
      </c>
      <c r="AF31" s="115"/>
      <c r="AG31" s="116">
        <v>0.47638888888888886</v>
      </c>
      <c r="AH31" s="116"/>
      <c r="AI31" s="143"/>
    </row>
    <row r="32">
      <c r="A32" s="32"/>
      <c r="B32" s="156">
        <v>30.0</v>
      </c>
      <c r="C32" s="39" t="s">
        <v>141</v>
      </c>
      <c r="D32" s="22">
        <f t="shared" si="2"/>
        <v>5.444444444</v>
      </c>
      <c r="E32" s="23">
        <v>0.2972222222222222</v>
      </c>
      <c r="F32" s="26" t="s">
        <v>284</v>
      </c>
      <c r="G32" s="25"/>
      <c r="H32" s="25"/>
      <c r="I32" s="25">
        <v>0.3527777777777778</v>
      </c>
      <c r="J32" s="25">
        <v>0.40347222222222223</v>
      </c>
      <c r="K32" s="25">
        <v>0.3326388888888889</v>
      </c>
      <c r="L32" s="25">
        <v>0.39166666666666666</v>
      </c>
      <c r="M32" s="26" t="s">
        <v>316</v>
      </c>
      <c r="N32" s="25"/>
      <c r="O32" s="25"/>
      <c r="P32" s="23">
        <v>0.31666666666666665</v>
      </c>
      <c r="Q32" s="23">
        <v>0.4</v>
      </c>
      <c r="R32" s="25">
        <v>0.31666666666666665</v>
      </c>
      <c r="S32" s="25">
        <v>0.35347222222222224</v>
      </c>
      <c r="T32" s="114" t="s">
        <v>340</v>
      </c>
      <c r="U32" s="142"/>
      <c r="V32" s="143"/>
      <c r="W32" s="114" t="s">
        <v>271</v>
      </c>
      <c r="X32" s="116">
        <v>0.35694444444444445</v>
      </c>
      <c r="Y32" s="116">
        <v>0.4201388888888889</v>
      </c>
      <c r="Z32" s="116">
        <v>0.3715277777777778</v>
      </c>
      <c r="AA32" s="114" t="s">
        <v>316</v>
      </c>
      <c r="AB32" s="142"/>
      <c r="AC32" s="143"/>
      <c r="AD32" s="116">
        <v>0.32222222222222224</v>
      </c>
      <c r="AE32" s="116">
        <v>0.36319444444444443</v>
      </c>
      <c r="AF32" s="115"/>
      <c r="AG32" s="116">
        <v>0.44583333333333336</v>
      </c>
      <c r="AH32" s="116"/>
      <c r="AI32" s="143"/>
    </row>
    <row r="33">
      <c r="A33" s="15"/>
      <c r="B33" s="156">
        <v>31.0</v>
      </c>
      <c r="C33" s="39" t="s">
        <v>207</v>
      </c>
      <c r="D33" s="22">
        <f t="shared" si="2"/>
        <v>5.136805556</v>
      </c>
      <c r="E33" s="23">
        <v>0.5284722222222222</v>
      </c>
      <c r="F33" s="26" t="s">
        <v>284</v>
      </c>
      <c r="G33" s="25"/>
      <c r="H33" s="25"/>
      <c r="I33" s="25">
        <v>0.40694444444444444</v>
      </c>
      <c r="J33" s="25">
        <v>0.3923611111111111</v>
      </c>
      <c r="K33" s="25">
        <v>0.23194444444444445</v>
      </c>
      <c r="L33" s="26" t="s">
        <v>269</v>
      </c>
      <c r="M33" s="26" t="s">
        <v>316</v>
      </c>
      <c r="N33" s="25"/>
      <c r="O33" s="25"/>
      <c r="P33" s="23">
        <v>0.21666666666666667</v>
      </c>
      <c r="Q33" s="23">
        <v>0.33402777777777776</v>
      </c>
      <c r="R33" s="25">
        <v>0.21666666666666667</v>
      </c>
      <c r="S33" s="23">
        <v>0.16666666666666666</v>
      </c>
      <c r="T33" s="114" t="s">
        <v>340</v>
      </c>
      <c r="U33" s="142"/>
      <c r="V33" s="143"/>
      <c r="W33" s="116">
        <v>0.3138888888888889</v>
      </c>
      <c r="X33" s="116">
        <v>0.4701388888888889</v>
      </c>
      <c r="Y33" s="116">
        <v>0.35347222222222224</v>
      </c>
      <c r="Z33" s="117">
        <v>0.41597222222222224</v>
      </c>
      <c r="AA33" s="114" t="s">
        <v>316</v>
      </c>
      <c r="AB33" s="142"/>
      <c r="AC33" s="143"/>
      <c r="AD33" s="116">
        <v>0.41458333333333336</v>
      </c>
      <c r="AE33" s="116">
        <v>0.3416666666666667</v>
      </c>
      <c r="AF33" s="115"/>
      <c r="AG33" s="116">
        <v>0.3333333333333333</v>
      </c>
      <c r="AH33" s="116"/>
      <c r="AI33" s="143"/>
    </row>
    <row r="34">
      <c r="A34" s="161" t="s">
        <v>278</v>
      </c>
      <c r="B34" s="156">
        <v>32.0</v>
      </c>
      <c r="C34" s="39" t="s">
        <v>78</v>
      </c>
      <c r="D34" s="22" t="e">
        <v>#N/A</v>
      </c>
      <c r="E34" s="23">
        <v>0.3736111111111111</v>
      </c>
      <c r="F34" s="26" t="s">
        <v>284</v>
      </c>
      <c r="G34" s="25"/>
      <c r="H34" s="25"/>
      <c r="I34" s="26" t="s">
        <v>271</v>
      </c>
      <c r="J34" s="26" t="s">
        <v>271</v>
      </c>
      <c r="K34" s="159">
        <v>0.3541666666666667</v>
      </c>
      <c r="L34" s="25">
        <v>0.33541666666666664</v>
      </c>
      <c r="M34" s="26" t="s">
        <v>316</v>
      </c>
      <c r="N34" s="25"/>
      <c r="O34" s="25"/>
      <c r="P34" s="23">
        <v>0.38958333333333334</v>
      </c>
      <c r="Q34" s="23">
        <v>0.4</v>
      </c>
      <c r="R34" s="25">
        <v>0.38958333333333334</v>
      </c>
      <c r="S34" s="25">
        <v>0.38055555555555554</v>
      </c>
      <c r="T34" s="116">
        <v>0.39375</v>
      </c>
      <c r="U34" s="142"/>
      <c r="V34" s="143"/>
      <c r="W34" s="116">
        <v>0.38472222222222224</v>
      </c>
      <c r="X34" s="116">
        <v>0.39375</v>
      </c>
      <c r="Y34" s="116">
        <v>0.37222222222222223</v>
      </c>
      <c r="Z34" s="116">
        <v>0.40902777777777777</v>
      </c>
      <c r="AA34" s="116">
        <v>0.3972222222222222</v>
      </c>
      <c r="AB34" s="142"/>
      <c r="AC34" s="143"/>
      <c r="AD34" s="116">
        <v>0.41458333333333336</v>
      </c>
      <c r="AE34" s="116">
        <v>0.3645833333333333</v>
      </c>
      <c r="AF34" s="115"/>
      <c r="AG34" s="116">
        <v>0.3798611111111111</v>
      </c>
      <c r="AH34" s="116"/>
      <c r="AI34" s="143"/>
    </row>
    <row r="35">
      <c r="A35" s="32"/>
      <c r="B35" s="151">
        <v>33.0</v>
      </c>
      <c r="C35" s="126" t="s">
        <v>249</v>
      </c>
      <c r="D35" s="22">
        <f t="shared" ref="D35:D67" si="3">SUM(E35:AL35)</f>
        <v>5.297222222</v>
      </c>
      <c r="E35" s="23">
        <v>0.36666666666666664</v>
      </c>
      <c r="F35" s="26" t="s">
        <v>284</v>
      </c>
      <c r="G35" s="25"/>
      <c r="H35" s="25"/>
      <c r="I35" s="25">
        <v>0.2048611111111111</v>
      </c>
      <c r="J35" s="25">
        <v>0.37083333333333335</v>
      </c>
      <c r="K35" s="25">
        <v>0.2548611111111111</v>
      </c>
      <c r="L35" s="25">
        <v>0.35694444444444445</v>
      </c>
      <c r="M35" s="26" t="s">
        <v>316</v>
      </c>
      <c r="N35" s="25"/>
      <c r="O35" s="25"/>
      <c r="P35" s="26" t="s">
        <v>271</v>
      </c>
      <c r="Q35" s="23">
        <v>0.4097222222222222</v>
      </c>
      <c r="R35" s="23">
        <v>0.3576388888888889</v>
      </c>
      <c r="S35" s="25">
        <v>0.3590277777777778</v>
      </c>
      <c r="T35" s="114" t="s">
        <v>316</v>
      </c>
      <c r="U35" s="142"/>
      <c r="V35" s="143"/>
      <c r="W35" s="116">
        <v>0.36180555555555555</v>
      </c>
      <c r="X35" s="116">
        <v>0.36041666666666666</v>
      </c>
      <c r="Y35" s="116">
        <v>0.35694444444444445</v>
      </c>
      <c r="Z35" s="116">
        <v>0.35555555555555557</v>
      </c>
      <c r="AA35" s="114" t="s">
        <v>316</v>
      </c>
      <c r="AB35" s="142"/>
      <c r="AC35" s="143"/>
      <c r="AD35" s="116">
        <v>0.35625</v>
      </c>
      <c r="AE35" s="116">
        <v>0.43333333333333335</v>
      </c>
      <c r="AF35" s="115"/>
      <c r="AG35" s="116">
        <v>0.3923611111111111</v>
      </c>
      <c r="AH35" s="116"/>
      <c r="AI35" s="143"/>
    </row>
    <row r="36">
      <c r="A36" s="32"/>
      <c r="B36" s="151">
        <v>34.0</v>
      </c>
      <c r="C36" s="126" t="s">
        <v>72</v>
      </c>
      <c r="D36" s="22">
        <f t="shared" si="3"/>
        <v>6.695138889</v>
      </c>
      <c r="E36" s="23">
        <v>0.33819444444444446</v>
      </c>
      <c r="F36" s="26" t="s">
        <v>284</v>
      </c>
      <c r="G36" s="25"/>
      <c r="H36" s="25"/>
      <c r="I36" s="25">
        <v>0.4027777777777778</v>
      </c>
      <c r="J36" s="25">
        <v>0.3993055555555556</v>
      </c>
      <c r="K36" s="23">
        <v>0.3902777777777778</v>
      </c>
      <c r="L36" s="25">
        <v>0.5034722222222222</v>
      </c>
      <c r="M36" s="26" t="s">
        <v>316</v>
      </c>
      <c r="N36" s="25"/>
      <c r="O36" s="25"/>
      <c r="P36" s="23">
        <v>0.40902777777777777</v>
      </c>
      <c r="Q36" s="23">
        <v>0.3993055555555556</v>
      </c>
      <c r="R36" s="25">
        <v>0.40902777777777777</v>
      </c>
      <c r="S36" s="25">
        <v>0.38680555555555557</v>
      </c>
      <c r="T36" s="114" t="s">
        <v>316</v>
      </c>
      <c r="U36" s="142"/>
      <c r="V36" s="143"/>
      <c r="W36" s="116">
        <v>0.4041666666666667</v>
      </c>
      <c r="X36" s="116">
        <v>0.40347222222222223</v>
      </c>
      <c r="Y36" s="116">
        <v>0.4131944444444444</v>
      </c>
      <c r="Z36" s="117">
        <v>0.6388888888888888</v>
      </c>
      <c r="AA36" s="114" t="s">
        <v>269</v>
      </c>
      <c r="AB36" s="142"/>
      <c r="AC36" s="143"/>
      <c r="AD36" s="116">
        <v>0.4083333333333333</v>
      </c>
      <c r="AE36" s="116">
        <v>0.43472222222222223</v>
      </c>
      <c r="AF36" s="115"/>
      <c r="AG36" s="116">
        <v>0.3541666666666667</v>
      </c>
      <c r="AH36" s="116"/>
      <c r="AI36" s="143"/>
    </row>
    <row r="37">
      <c r="A37" s="32"/>
      <c r="B37" s="151">
        <v>35.0</v>
      </c>
      <c r="C37" s="126" t="s">
        <v>204</v>
      </c>
      <c r="D37" s="22">
        <f t="shared" si="3"/>
        <v>5.972222222</v>
      </c>
      <c r="E37" s="23">
        <v>0.5430555555555555</v>
      </c>
      <c r="F37" s="26" t="s">
        <v>284</v>
      </c>
      <c r="G37" s="25"/>
      <c r="H37" s="25"/>
      <c r="I37" s="25">
        <v>0.36875</v>
      </c>
      <c r="J37" s="25">
        <v>0.35347222222222224</v>
      </c>
      <c r="K37" s="25">
        <v>0.34375</v>
      </c>
      <c r="L37" s="25">
        <v>0.35138888888888886</v>
      </c>
      <c r="M37" s="26" t="s">
        <v>316</v>
      </c>
      <c r="N37" s="25"/>
      <c r="O37" s="25"/>
      <c r="P37" s="23">
        <v>0.3701388888888889</v>
      </c>
      <c r="Q37" s="23">
        <v>0.3527777777777778</v>
      </c>
      <c r="R37" s="25">
        <v>0.3701388888888889</v>
      </c>
      <c r="S37" s="25">
        <v>0.3506944444444444</v>
      </c>
      <c r="T37" s="114" t="s">
        <v>316</v>
      </c>
      <c r="U37" s="142"/>
      <c r="V37" s="143"/>
      <c r="W37" s="116">
        <v>0.39166666666666666</v>
      </c>
      <c r="X37" s="116">
        <v>0.37430555555555556</v>
      </c>
      <c r="Y37" s="116">
        <v>0.33611111111111114</v>
      </c>
      <c r="Z37" s="116">
        <v>0.3527777777777778</v>
      </c>
      <c r="AA37" s="114" t="s">
        <v>316</v>
      </c>
      <c r="AB37" s="142"/>
      <c r="AC37" s="143"/>
      <c r="AD37" s="116">
        <v>0.375</v>
      </c>
      <c r="AE37" s="116">
        <v>0.375</v>
      </c>
      <c r="AF37" s="115"/>
      <c r="AG37" s="116">
        <v>0.36319444444444443</v>
      </c>
      <c r="AH37" s="116"/>
      <c r="AI37" s="143"/>
    </row>
    <row r="38">
      <c r="A38" s="32"/>
      <c r="B38" s="151">
        <v>36.0</v>
      </c>
      <c r="C38" s="126" t="s">
        <v>279</v>
      </c>
      <c r="D38" s="22">
        <f t="shared" si="3"/>
        <v>6.025</v>
      </c>
      <c r="E38" s="23">
        <v>0.3541666666666667</v>
      </c>
      <c r="F38" s="26" t="s">
        <v>284</v>
      </c>
      <c r="G38" s="25"/>
      <c r="H38" s="25"/>
      <c r="I38" s="23">
        <v>0.3541666666666667</v>
      </c>
      <c r="J38" s="25">
        <v>0.3875</v>
      </c>
      <c r="K38" s="23">
        <v>0.35833333333333334</v>
      </c>
      <c r="L38" s="25">
        <v>0.31527777777777777</v>
      </c>
      <c r="M38" s="26" t="s">
        <v>316</v>
      </c>
      <c r="N38" s="25"/>
      <c r="O38" s="25"/>
      <c r="P38" s="23">
        <v>0.3402777777777778</v>
      </c>
      <c r="Q38" s="23">
        <v>0.35347222222222224</v>
      </c>
      <c r="R38" s="25">
        <v>0.3402777777777778</v>
      </c>
      <c r="S38" s="25">
        <v>0.3659722222222222</v>
      </c>
      <c r="T38" s="114" t="s">
        <v>316</v>
      </c>
      <c r="U38" s="142"/>
      <c r="V38" s="146"/>
      <c r="W38" s="116">
        <v>0.35138888888888886</v>
      </c>
      <c r="X38" s="116">
        <v>0.3625</v>
      </c>
      <c r="Y38" s="116">
        <v>0.3638888888888889</v>
      </c>
      <c r="Z38" s="116">
        <v>0.3527777777777778</v>
      </c>
      <c r="AA38" s="147">
        <v>0.3541666666666667</v>
      </c>
      <c r="AB38" s="142"/>
      <c r="AC38" s="143"/>
      <c r="AD38" s="116">
        <v>0.3541666666666667</v>
      </c>
      <c r="AE38" s="116">
        <v>0.3548611111111111</v>
      </c>
      <c r="AF38" s="115"/>
      <c r="AG38" s="116">
        <v>0.36180555555555555</v>
      </c>
      <c r="AH38" s="116"/>
      <c r="AI38" s="143"/>
    </row>
    <row r="39">
      <c r="A39" s="32"/>
      <c r="B39" s="156">
        <v>37.0</v>
      </c>
      <c r="C39" s="39" t="s">
        <v>14</v>
      </c>
      <c r="D39" s="22">
        <f t="shared" si="3"/>
        <v>5.819444444</v>
      </c>
      <c r="E39" s="23">
        <v>0.4465277777777778</v>
      </c>
      <c r="F39" s="26" t="s">
        <v>284</v>
      </c>
      <c r="G39" s="25"/>
      <c r="H39" s="25"/>
      <c r="I39" s="25">
        <v>0.34444444444444444</v>
      </c>
      <c r="J39" s="25">
        <v>0.4576388888888889</v>
      </c>
      <c r="K39" s="23">
        <v>0.3423611111111111</v>
      </c>
      <c r="L39" s="25">
        <v>0.41388888888888886</v>
      </c>
      <c r="M39" s="26" t="s">
        <v>316</v>
      </c>
      <c r="N39" s="25"/>
      <c r="O39" s="25"/>
      <c r="P39" s="23">
        <v>0.48055555555555557</v>
      </c>
      <c r="Q39" s="23">
        <v>0.16666666666666666</v>
      </c>
      <c r="R39" s="25">
        <v>0.48055555555555557</v>
      </c>
      <c r="S39" s="25">
        <v>0.41180555555555554</v>
      </c>
      <c r="T39" s="114" t="s">
        <v>316</v>
      </c>
      <c r="U39" s="142"/>
      <c r="V39" s="143"/>
      <c r="W39" s="114" t="s">
        <v>271</v>
      </c>
      <c r="X39" s="116">
        <v>0.35833333333333334</v>
      </c>
      <c r="Y39" s="116">
        <v>0.3590277777777778</v>
      </c>
      <c r="Z39" s="116">
        <v>0.4423611111111111</v>
      </c>
      <c r="AA39" s="114" t="s">
        <v>316</v>
      </c>
      <c r="AB39" s="142"/>
      <c r="AC39" s="146"/>
      <c r="AD39" s="116">
        <v>0.4326388888888889</v>
      </c>
      <c r="AE39" s="116">
        <v>0.38263888888888886</v>
      </c>
      <c r="AF39" s="115"/>
      <c r="AG39" s="116">
        <v>0.3</v>
      </c>
      <c r="AH39" s="116"/>
      <c r="AI39" s="143"/>
    </row>
    <row r="40">
      <c r="A40" s="32"/>
      <c r="B40" s="151">
        <v>38.0</v>
      </c>
      <c r="C40" s="162" t="s">
        <v>81</v>
      </c>
      <c r="D40" s="22">
        <f t="shared" si="3"/>
        <v>5.718055556</v>
      </c>
      <c r="E40" s="26" t="s">
        <v>341</v>
      </c>
      <c r="F40" s="26" t="s">
        <v>284</v>
      </c>
      <c r="G40" s="25"/>
      <c r="H40" s="25"/>
      <c r="I40" s="25">
        <v>0.30972222222222223</v>
      </c>
      <c r="J40" s="25">
        <v>0.4652777777777778</v>
      </c>
      <c r="K40" s="159">
        <v>0.38125</v>
      </c>
      <c r="L40" s="25">
        <v>0.3263888888888889</v>
      </c>
      <c r="M40" s="26" t="s">
        <v>316</v>
      </c>
      <c r="N40" s="25"/>
      <c r="O40" s="25"/>
      <c r="P40" s="26" t="s">
        <v>342</v>
      </c>
      <c r="Q40" s="26" t="s">
        <v>269</v>
      </c>
      <c r="R40" s="159">
        <v>0.5006944444444444</v>
      </c>
      <c r="S40" s="26" t="s">
        <v>316</v>
      </c>
      <c r="T40" s="114" t="s">
        <v>316</v>
      </c>
      <c r="U40" s="142"/>
      <c r="V40" s="143"/>
      <c r="W40" s="116">
        <v>0.5055555555555555</v>
      </c>
      <c r="X40" s="117">
        <v>0.375</v>
      </c>
      <c r="Y40" s="116">
        <v>0.5361111111111111</v>
      </c>
      <c r="Z40" s="117">
        <v>0.4166666666666667</v>
      </c>
      <c r="AA40" s="116">
        <v>0.5222222222222223</v>
      </c>
      <c r="AB40" s="142"/>
      <c r="AC40" s="143"/>
      <c r="AD40" s="116">
        <v>0.5541666666666667</v>
      </c>
      <c r="AE40" s="116">
        <v>0.39375</v>
      </c>
      <c r="AF40" s="115"/>
      <c r="AG40" s="116">
        <v>0.43125</v>
      </c>
      <c r="AH40" s="116"/>
      <c r="AI40" s="143"/>
    </row>
    <row r="41">
      <c r="A41" s="32"/>
      <c r="B41" s="151">
        <v>39.0</v>
      </c>
      <c r="C41" s="126" t="s">
        <v>153</v>
      </c>
      <c r="D41" s="22">
        <f t="shared" si="3"/>
        <v>5.779166667</v>
      </c>
      <c r="E41" s="23">
        <v>0.40069444444444446</v>
      </c>
      <c r="F41" s="26" t="s">
        <v>284</v>
      </c>
      <c r="G41" s="25"/>
      <c r="H41" s="25"/>
      <c r="I41" s="25">
        <v>0.31805555555555554</v>
      </c>
      <c r="J41" s="25">
        <v>0.3819444444444444</v>
      </c>
      <c r="K41" s="25">
        <v>0.34305555555555556</v>
      </c>
      <c r="L41" s="25">
        <v>0.2638888888888889</v>
      </c>
      <c r="M41" s="26" t="s">
        <v>316</v>
      </c>
      <c r="N41" s="25"/>
      <c r="O41" s="25"/>
      <c r="P41" s="26" t="s">
        <v>269</v>
      </c>
      <c r="Q41" s="23">
        <v>0.30694444444444446</v>
      </c>
      <c r="R41" s="159">
        <v>0.3784722222222222</v>
      </c>
      <c r="S41" s="25">
        <v>0.3875</v>
      </c>
      <c r="T41" s="114" t="s">
        <v>316</v>
      </c>
      <c r="U41" s="142"/>
      <c r="V41" s="143"/>
      <c r="W41" s="116">
        <v>0.3854166666666667</v>
      </c>
      <c r="X41" s="116">
        <v>0.375</v>
      </c>
      <c r="Y41" s="116">
        <v>0.4409722222222222</v>
      </c>
      <c r="Z41" s="116">
        <v>0.4736111111111111</v>
      </c>
      <c r="AA41" s="114" t="s">
        <v>316</v>
      </c>
      <c r="AB41" s="142"/>
      <c r="AC41" s="143"/>
      <c r="AD41" s="116">
        <v>0.3923611111111111</v>
      </c>
      <c r="AE41" s="116">
        <v>0.48125</v>
      </c>
      <c r="AF41" s="115"/>
      <c r="AG41" s="116">
        <v>0.45</v>
      </c>
      <c r="AH41" s="116"/>
      <c r="AI41" s="143"/>
    </row>
    <row r="42">
      <c r="A42" s="32"/>
      <c r="B42" s="151">
        <v>40.0</v>
      </c>
      <c r="C42" s="126" t="s">
        <v>198</v>
      </c>
      <c r="D42" s="22">
        <f t="shared" si="3"/>
        <v>4.351388889</v>
      </c>
      <c r="E42" s="23">
        <v>0.3770833333333333</v>
      </c>
      <c r="F42" s="26" t="s">
        <v>284</v>
      </c>
      <c r="G42" s="25"/>
      <c r="H42" s="25"/>
      <c r="I42" s="25">
        <v>0.3763888888888889</v>
      </c>
      <c r="J42" s="25">
        <v>0.3701388888888889</v>
      </c>
      <c r="K42" s="25">
        <v>0.37569444444444444</v>
      </c>
      <c r="L42" s="25">
        <v>0.33194444444444443</v>
      </c>
      <c r="M42" s="26" t="s">
        <v>316</v>
      </c>
      <c r="N42" s="25"/>
      <c r="O42" s="25"/>
      <c r="P42" s="23">
        <v>0.38125</v>
      </c>
      <c r="Q42" s="23">
        <v>0.3875</v>
      </c>
      <c r="R42" s="25">
        <v>0.38125</v>
      </c>
      <c r="S42" s="25">
        <v>0.3888888888888889</v>
      </c>
      <c r="T42" s="114" t="s">
        <v>316</v>
      </c>
      <c r="U42" s="142"/>
      <c r="V42" s="143"/>
      <c r="W42" s="114" t="s">
        <v>269</v>
      </c>
      <c r="X42" s="116">
        <v>0.37569444444444444</v>
      </c>
      <c r="Y42" s="116">
        <v>0.22777777777777777</v>
      </c>
      <c r="Z42" s="116">
        <v>0.37777777777777777</v>
      </c>
      <c r="AA42" s="114" t="s">
        <v>316</v>
      </c>
      <c r="AB42" s="142"/>
      <c r="AC42" s="143"/>
      <c r="AD42" s="114" t="s">
        <v>271</v>
      </c>
      <c r="AE42" s="114" t="s">
        <v>343</v>
      </c>
      <c r="AF42" s="115"/>
      <c r="AG42" s="114" t="s">
        <v>344</v>
      </c>
      <c r="AH42" s="114" t="s">
        <v>344</v>
      </c>
      <c r="AI42" s="143"/>
    </row>
    <row r="43">
      <c r="A43" s="32"/>
      <c r="B43" s="156">
        <v>41.0</v>
      </c>
      <c r="C43" s="39" t="s">
        <v>105</v>
      </c>
      <c r="D43" s="22">
        <f t="shared" si="3"/>
        <v>6.536111111</v>
      </c>
      <c r="E43" s="23">
        <v>0.16666666666666666</v>
      </c>
      <c r="F43" s="26" t="s">
        <v>284</v>
      </c>
      <c r="G43" s="25"/>
      <c r="H43" s="25"/>
      <c r="I43" s="25">
        <v>0.4986111111111111</v>
      </c>
      <c r="J43" s="25">
        <v>0.3798611111111111</v>
      </c>
      <c r="K43" s="23">
        <v>0.3888888888888889</v>
      </c>
      <c r="L43" s="25">
        <v>0.37083333333333335</v>
      </c>
      <c r="M43" s="25">
        <v>0.4152777777777778</v>
      </c>
      <c r="N43" s="25"/>
      <c r="O43" s="25"/>
      <c r="P43" s="23">
        <v>0.40069444444444446</v>
      </c>
      <c r="Q43" s="26" t="s">
        <v>271</v>
      </c>
      <c r="R43" s="25">
        <v>0.40069444444444446</v>
      </c>
      <c r="S43" s="25">
        <v>0.37916666666666665</v>
      </c>
      <c r="T43" s="114" t="s">
        <v>316</v>
      </c>
      <c r="U43" s="142"/>
      <c r="V43" s="143"/>
      <c r="W43" s="116">
        <v>0.3909722222222222</v>
      </c>
      <c r="X43" s="116">
        <v>0.40347222222222223</v>
      </c>
      <c r="Y43" s="116">
        <v>0.38125</v>
      </c>
      <c r="Z43" s="116">
        <v>0.41944444444444445</v>
      </c>
      <c r="AA43" s="147">
        <v>0.37916666666666665</v>
      </c>
      <c r="AB43" s="142"/>
      <c r="AC43" s="143"/>
      <c r="AD43" s="116">
        <v>0.37083333333333335</v>
      </c>
      <c r="AE43" s="116">
        <v>0.38958333333333334</v>
      </c>
      <c r="AF43" s="115"/>
      <c r="AG43" s="116">
        <v>0.40069444444444446</v>
      </c>
      <c r="AH43" s="116"/>
      <c r="AI43" s="143"/>
    </row>
    <row r="44">
      <c r="A44" s="32"/>
      <c r="B44" s="156">
        <v>42.0</v>
      </c>
      <c r="C44" s="39" t="s">
        <v>29</v>
      </c>
      <c r="D44" s="22">
        <f t="shared" si="3"/>
        <v>1.3875</v>
      </c>
      <c r="E44" s="26" t="s">
        <v>271</v>
      </c>
      <c r="F44" s="26" t="s">
        <v>284</v>
      </c>
      <c r="G44" s="25"/>
      <c r="H44" s="25"/>
      <c r="I44" s="26" t="s">
        <v>316</v>
      </c>
      <c r="J44" s="26" t="s">
        <v>316</v>
      </c>
      <c r="K44" s="23">
        <v>0.3333333333333333</v>
      </c>
      <c r="L44" s="26" t="s">
        <v>276</v>
      </c>
      <c r="M44" s="26" t="s">
        <v>276</v>
      </c>
      <c r="N44" s="25"/>
      <c r="O44" s="25"/>
      <c r="P44" s="26" t="s">
        <v>276</v>
      </c>
      <c r="Q44" s="26" t="s">
        <v>276</v>
      </c>
      <c r="R44" s="26" t="s">
        <v>276</v>
      </c>
      <c r="S44" s="26" t="s">
        <v>276</v>
      </c>
      <c r="T44" s="114" t="s">
        <v>276</v>
      </c>
      <c r="U44" s="142"/>
      <c r="V44" s="143"/>
      <c r="W44" s="114" t="s">
        <v>316</v>
      </c>
      <c r="X44" s="116">
        <v>0.33819444444444446</v>
      </c>
      <c r="Y44" s="116">
        <v>0.3284722222222222</v>
      </c>
      <c r="Z44" s="114" t="s">
        <v>316</v>
      </c>
      <c r="AA44" s="114" t="s">
        <v>316</v>
      </c>
      <c r="AB44" s="142"/>
      <c r="AC44" s="143"/>
      <c r="AD44" s="114" t="s">
        <v>316</v>
      </c>
      <c r="AE44" s="114" t="s">
        <v>316</v>
      </c>
      <c r="AF44" s="115"/>
      <c r="AG44" s="116">
        <v>0.3875</v>
      </c>
      <c r="AH44" s="116"/>
      <c r="AI44" s="143"/>
    </row>
    <row r="45">
      <c r="A45" s="15"/>
      <c r="B45" s="151">
        <v>43.0</v>
      </c>
      <c r="C45" s="126" t="s">
        <v>257</v>
      </c>
      <c r="D45" s="22">
        <f t="shared" si="3"/>
        <v>5.289583333</v>
      </c>
      <c r="E45" s="23">
        <v>0.36666666666666664</v>
      </c>
      <c r="F45" s="26" t="s">
        <v>284</v>
      </c>
      <c r="G45" s="25"/>
      <c r="H45" s="25"/>
      <c r="I45" s="25">
        <v>0.34444444444444444</v>
      </c>
      <c r="J45" s="25">
        <v>0.34791666666666665</v>
      </c>
      <c r="K45" s="26" t="s">
        <v>316</v>
      </c>
      <c r="L45" s="23">
        <v>0.1388888888888889</v>
      </c>
      <c r="M45" s="26" t="s">
        <v>316</v>
      </c>
      <c r="N45" s="25"/>
      <c r="O45" s="25"/>
      <c r="P45" s="23">
        <v>0.3625</v>
      </c>
      <c r="Q45" s="23">
        <v>0.35625</v>
      </c>
      <c r="R45" s="25">
        <v>0.3625</v>
      </c>
      <c r="S45" s="25">
        <v>0.34930555555555554</v>
      </c>
      <c r="T45" s="114" t="s">
        <v>316</v>
      </c>
      <c r="U45" s="142"/>
      <c r="V45" s="143"/>
      <c r="W45" s="116">
        <v>0.34375</v>
      </c>
      <c r="X45" s="116">
        <v>0.35</v>
      </c>
      <c r="Y45" s="116">
        <v>0.34791666666666665</v>
      </c>
      <c r="Z45" s="116">
        <v>0.36041666666666666</v>
      </c>
      <c r="AA45" s="116">
        <v>0.19166666666666668</v>
      </c>
      <c r="AB45" s="142"/>
      <c r="AC45" s="143"/>
      <c r="AD45" s="116">
        <v>0.3388888888888889</v>
      </c>
      <c r="AE45" s="116">
        <v>0.35833333333333334</v>
      </c>
      <c r="AF45" s="115"/>
      <c r="AG45" s="116">
        <v>0.3701388888888889</v>
      </c>
      <c r="AH45" s="116"/>
      <c r="AI45" s="143"/>
    </row>
    <row r="46">
      <c r="A46" s="163">
        <v>45547.0</v>
      </c>
      <c r="B46" s="154">
        <v>44.0</v>
      </c>
      <c r="C46" s="155" t="s">
        <v>26</v>
      </c>
      <c r="D46" s="22">
        <f t="shared" si="3"/>
        <v>5.431944444</v>
      </c>
      <c r="E46" s="23">
        <v>0.5</v>
      </c>
      <c r="F46" s="26" t="s">
        <v>284</v>
      </c>
      <c r="G46" s="25"/>
      <c r="H46" s="25"/>
      <c r="I46" s="159">
        <v>0.5041666666666667</v>
      </c>
      <c r="J46" s="23">
        <v>0.49930555555555556</v>
      </c>
      <c r="K46" s="26" t="s">
        <v>271</v>
      </c>
      <c r="L46" s="25">
        <v>0.3819444444444444</v>
      </c>
      <c r="M46" s="26" t="s">
        <v>316</v>
      </c>
      <c r="N46" s="25"/>
      <c r="O46" s="25"/>
      <c r="P46" s="23">
        <v>0.36875</v>
      </c>
      <c r="Q46" s="23">
        <v>0.375</v>
      </c>
      <c r="R46" s="25">
        <v>0.36875</v>
      </c>
      <c r="S46" s="25">
        <v>0.36180555555555555</v>
      </c>
      <c r="T46" s="114" t="s">
        <v>316</v>
      </c>
      <c r="U46" s="142"/>
      <c r="V46" s="143"/>
      <c r="W46" s="117">
        <v>0.34444444444444444</v>
      </c>
      <c r="X46" s="116">
        <v>0.33402777777777776</v>
      </c>
      <c r="Y46" s="116">
        <v>0.44930555555555557</v>
      </c>
      <c r="Z46" s="117">
        <v>0.5</v>
      </c>
      <c r="AA46" s="117">
        <v>0.4444444444444444</v>
      </c>
      <c r="AB46" s="142"/>
      <c r="AC46" s="143"/>
      <c r="AD46" s="114" t="s">
        <v>316</v>
      </c>
      <c r="AE46" s="114" t="s">
        <v>316</v>
      </c>
      <c r="AF46" s="115"/>
      <c r="AG46" s="114" t="s">
        <v>316</v>
      </c>
      <c r="AH46" s="114" t="s">
        <v>316</v>
      </c>
      <c r="AI46" s="143"/>
    </row>
    <row r="47">
      <c r="A47" s="32"/>
      <c r="B47" s="154">
        <v>45.0</v>
      </c>
      <c r="C47" s="155" t="s">
        <v>51</v>
      </c>
      <c r="D47" s="22">
        <f t="shared" si="3"/>
        <v>3.598611111</v>
      </c>
      <c r="E47" s="26" t="s">
        <v>330</v>
      </c>
      <c r="F47" s="26" t="s">
        <v>284</v>
      </c>
      <c r="G47" s="25"/>
      <c r="H47" s="25"/>
      <c r="I47" s="23">
        <v>0.375</v>
      </c>
      <c r="J47" s="23">
        <v>0.4583333333333333</v>
      </c>
      <c r="K47" s="23">
        <v>0.375</v>
      </c>
      <c r="L47" s="25">
        <v>0.2722222222222222</v>
      </c>
      <c r="M47" s="26" t="s">
        <v>316</v>
      </c>
      <c r="N47" s="25"/>
      <c r="O47" s="25"/>
      <c r="P47" s="26" t="s">
        <v>269</v>
      </c>
      <c r="Q47" s="26" t="s">
        <v>316</v>
      </c>
      <c r="R47" s="26" t="s">
        <v>316</v>
      </c>
      <c r="S47" s="26" t="s">
        <v>316</v>
      </c>
      <c r="T47" s="114" t="s">
        <v>316</v>
      </c>
      <c r="U47" s="142"/>
      <c r="V47" s="143"/>
      <c r="W47" s="117">
        <v>0.375</v>
      </c>
      <c r="X47" s="116">
        <v>0.31180555555555556</v>
      </c>
      <c r="Y47" s="116">
        <v>0.48125</v>
      </c>
      <c r="Z47" s="116">
        <v>0.30694444444444446</v>
      </c>
      <c r="AA47" s="114" t="s">
        <v>316</v>
      </c>
      <c r="AB47" s="142"/>
      <c r="AC47" s="143"/>
      <c r="AD47" s="116">
        <v>0.31180555555555556</v>
      </c>
      <c r="AE47" s="116">
        <v>0.33125</v>
      </c>
      <c r="AF47" s="115"/>
      <c r="AG47" s="114" t="s">
        <v>316</v>
      </c>
      <c r="AH47" s="114" t="s">
        <v>316</v>
      </c>
      <c r="AI47" s="143"/>
    </row>
    <row r="48">
      <c r="A48" s="32"/>
      <c r="B48" s="156">
        <v>46.0</v>
      </c>
      <c r="C48" s="39" t="s">
        <v>23</v>
      </c>
      <c r="D48" s="22" t="str">
        <f t="shared" si="3"/>
        <v>#N/A</v>
      </c>
      <c r="E48" s="23">
        <v>0.16666666666666666</v>
      </c>
      <c r="F48" s="26" t="s">
        <v>284</v>
      </c>
      <c r="G48" s="25"/>
      <c r="H48" s="25"/>
      <c r="I48" s="25">
        <v>0.4388888888888889</v>
      </c>
      <c r="J48" s="159"/>
      <c r="K48" s="23">
        <v>0.4263888888888889</v>
      </c>
      <c r="L48" s="25">
        <v>0.3909722222222222</v>
      </c>
      <c r="M48" s="26" t="s">
        <v>316</v>
      </c>
      <c r="N48" s="25"/>
      <c r="O48" s="25"/>
      <c r="P48" s="23">
        <v>0.2923611111111111</v>
      </c>
      <c r="Q48" s="23">
        <v>0.16666666666666666</v>
      </c>
      <c r="R48" s="25">
        <v>0.2923611111111111</v>
      </c>
      <c r="S48" s="25">
        <v>0.36319444444444443</v>
      </c>
      <c r="T48" s="114" t="s">
        <v>316</v>
      </c>
      <c r="U48" s="142"/>
      <c r="V48" s="146"/>
      <c r="W48" s="114" t="s">
        <v>269</v>
      </c>
      <c r="X48" s="116">
        <v>0.29930555555555555</v>
      </c>
      <c r="Y48" s="117">
        <v>0.16666666666666666</v>
      </c>
      <c r="Z48" s="117">
        <v>0.41944444444444445</v>
      </c>
      <c r="AA48" s="117">
        <v>0.4375</v>
      </c>
      <c r="AB48" s="142"/>
      <c r="AC48" s="143"/>
      <c r="AD48" s="115" t="e">
        <v>#N/A</v>
      </c>
      <c r="AE48" s="116">
        <v>0.3368055555555556</v>
      </c>
      <c r="AF48" s="115"/>
      <c r="AG48" s="116">
        <v>0.3368055555555556</v>
      </c>
      <c r="AH48" s="116"/>
      <c r="AI48" s="143"/>
    </row>
    <row r="49">
      <c r="A49" s="32"/>
      <c r="B49" s="156">
        <v>47.0</v>
      </c>
      <c r="C49" s="164" t="s">
        <v>17</v>
      </c>
      <c r="D49" s="22">
        <f t="shared" si="3"/>
        <v>6.743055556</v>
      </c>
      <c r="E49" s="23">
        <v>0.35625</v>
      </c>
      <c r="F49" s="26" t="s">
        <v>284</v>
      </c>
      <c r="G49" s="25"/>
      <c r="H49" s="25"/>
      <c r="I49" s="25">
        <v>0.3784722222222222</v>
      </c>
      <c r="J49" s="25">
        <v>0.3993055555555556</v>
      </c>
      <c r="K49" s="23">
        <v>0.4666666666666667</v>
      </c>
      <c r="L49" s="25">
        <v>0.33194444444444443</v>
      </c>
      <c r="M49" s="25">
        <v>0.3090277777777778</v>
      </c>
      <c r="N49" s="25"/>
      <c r="O49" s="25"/>
      <c r="P49" s="23">
        <v>0.38263888888888886</v>
      </c>
      <c r="Q49" s="23">
        <v>0.3451388888888889</v>
      </c>
      <c r="R49" s="25">
        <v>0.38263888888888886</v>
      </c>
      <c r="S49" s="25">
        <v>0.35625</v>
      </c>
      <c r="T49" s="114" t="s">
        <v>316</v>
      </c>
      <c r="U49" s="142"/>
      <c r="V49" s="143"/>
      <c r="W49" s="116">
        <v>0.4111111111111111</v>
      </c>
      <c r="X49" s="116">
        <v>0.35</v>
      </c>
      <c r="Y49" s="116">
        <v>0.3458333333333333</v>
      </c>
      <c r="Z49" s="116">
        <v>0.3888888888888889</v>
      </c>
      <c r="AA49" s="116">
        <v>0.3111111111111111</v>
      </c>
      <c r="AB49" s="142"/>
      <c r="AC49" s="146"/>
      <c r="AD49" s="116">
        <v>0.4048611111111111</v>
      </c>
      <c r="AE49" s="116">
        <v>0.4479166666666667</v>
      </c>
      <c r="AF49" s="115"/>
      <c r="AG49" s="116">
        <v>0.375</v>
      </c>
      <c r="AH49" s="116"/>
      <c r="AI49" s="143"/>
    </row>
    <row r="50">
      <c r="A50" s="32"/>
      <c r="B50" s="156">
        <v>48.0</v>
      </c>
      <c r="C50" s="39" t="s">
        <v>150</v>
      </c>
      <c r="D50" s="22">
        <f t="shared" si="3"/>
        <v>5.081944444</v>
      </c>
      <c r="E50" s="26" t="s">
        <v>272</v>
      </c>
      <c r="F50" s="26" t="s">
        <v>284</v>
      </c>
      <c r="G50" s="25"/>
      <c r="H50" s="25"/>
      <c r="I50" s="26" t="s">
        <v>272</v>
      </c>
      <c r="J50" s="26" t="s">
        <v>272</v>
      </c>
      <c r="K50" s="26" t="s">
        <v>272</v>
      </c>
      <c r="L50" s="26" t="s">
        <v>272</v>
      </c>
      <c r="M50" s="26" t="s">
        <v>272</v>
      </c>
      <c r="N50" s="25"/>
      <c r="O50" s="25"/>
      <c r="P50" s="23">
        <v>0.36319444444444443</v>
      </c>
      <c r="Q50" s="23">
        <v>0.38472222222222224</v>
      </c>
      <c r="R50" s="25">
        <v>0.36319444444444443</v>
      </c>
      <c r="S50" s="25">
        <v>0.46319444444444446</v>
      </c>
      <c r="T50" s="114" t="s">
        <v>316</v>
      </c>
      <c r="U50" s="142"/>
      <c r="V50" s="143"/>
      <c r="W50" s="116">
        <v>0.30277777777777776</v>
      </c>
      <c r="X50" s="116">
        <v>0.3763888888888889</v>
      </c>
      <c r="Y50" s="116">
        <v>0.38055555555555554</v>
      </c>
      <c r="Z50" s="117">
        <v>0.6395833333333333</v>
      </c>
      <c r="AA50" s="117">
        <v>0.6388888888888888</v>
      </c>
      <c r="AB50" s="142"/>
      <c r="AC50" s="143"/>
      <c r="AD50" s="116">
        <v>0.38125</v>
      </c>
      <c r="AE50" s="116">
        <v>0.40902777777777777</v>
      </c>
      <c r="AF50" s="115"/>
      <c r="AG50" s="116">
        <v>0.37916666666666665</v>
      </c>
      <c r="AH50" s="116"/>
      <c r="AI50" s="143"/>
    </row>
    <row r="51">
      <c r="A51" s="32"/>
      <c r="B51" s="154">
        <v>49.0</v>
      </c>
      <c r="C51" s="155" t="s">
        <v>260</v>
      </c>
      <c r="D51" s="22">
        <f t="shared" si="3"/>
        <v>4.89375</v>
      </c>
      <c r="E51" s="23">
        <v>0.39166666666666666</v>
      </c>
      <c r="F51" s="26" t="s">
        <v>284</v>
      </c>
      <c r="G51" s="25"/>
      <c r="H51" s="25"/>
      <c r="I51" s="25">
        <v>0.30833333333333335</v>
      </c>
      <c r="J51" s="23">
        <v>0.5</v>
      </c>
      <c r="K51" s="25">
        <v>0.3145833333333333</v>
      </c>
      <c r="L51" s="26" t="s">
        <v>316</v>
      </c>
      <c r="M51" s="26" t="s">
        <v>316</v>
      </c>
      <c r="N51" s="25"/>
      <c r="O51" s="25"/>
      <c r="P51" s="26" t="s">
        <v>269</v>
      </c>
      <c r="Q51" s="23">
        <v>0.35625</v>
      </c>
      <c r="R51" s="23">
        <v>0.34444444444444444</v>
      </c>
      <c r="S51" s="25">
        <v>0.3472222222222222</v>
      </c>
      <c r="T51" s="114" t="s">
        <v>316</v>
      </c>
      <c r="U51" s="142"/>
      <c r="V51" s="143"/>
      <c r="W51" s="116">
        <v>0.25</v>
      </c>
      <c r="X51" s="116">
        <v>0.3326388888888889</v>
      </c>
      <c r="Y51" s="116">
        <v>0.4097222222222222</v>
      </c>
      <c r="Z51" s="116">
        <v>0.39166666666666666</v>
      </c>
      <c r="AA51" s="114" t="s">
        <v>316</v>
      </c>
      <c r="AB51" s="142"/>
      <c r="AC51" s="143"/>
      <c r="AD51" s="116">
        <v>0.3236111111111111</v>
      </c>
      <c r="AE51" s="116">
        <v>0.36180555555555555</v>
      </c>
      <c r="AF51" s="115"/>
      <c r="AG51" s="116">
        <v>0.26180555555555557</v>
      </c>
      <c r="AH51" s="116"/>
      <c r="AI51" s="143"/>
    </row>
    <row r="52">
      <c r="A52" s="165" t="s">
        <v>281</v>
      </c>
      <c r="B52" s="151">
        <v>50.0</v>
      </c>
      <c r="C52" s="126" t="s">
        <v>32</v>
      </c>
      <c r="D52" s="22">
        <f t="shared" si="3"/>
        <v>4.219444444</v>
      </c>
      <c r="E52" s="23">
        <v>0.3125</v>
      </c>
      <c r="F52" s="26" t="s">
        <v>284</v>
      </c>
      <c r="G52" s="25"/>
      <c r="H52" s="25"/>
      <c r="I52" s="23">
        <v>0.16666666666666666</v>
      </c>
      <c r="J52" s="23">
        <v>0.27569444444444446</v>
      </c>
      <c r="K52" s="23">
        <v>0.41875</v>
      </c>
      <c r="L52" s="25">
        <v>0.20694444444444443</v>
      </c>
      <c r="M52" s="26" t="s">
        <v>316</v>
      </c>
      <c r="N52" s="25"/>
      <c r="O52" s="25"/>
      <c r="P52" s="23">
        <v>0.3215277777777778</v>
      </c>
      <c r="Q52" s="23">
        <v>0.5979166666666667</v>
      </c>
      <c r="R52" s="26" t="s">
        <v>330</v>
      </c>
      <c r="S52" s="25">
        <v>0.3729166666666667</v>
      </c>
      <c r="T52" s="114" t="s">
        <v>316</v>
      </c>
      <c r="U52" s="142"/>
      <c r="V52" s="143"/>
      <c r="W52" s="26" t="s">
        <v>330</v>
      </c>
      <c r="X52" s="117">
        <v>0.28680555555555554</v>
      </c>
      <c r="Y52" s="117">
        <v>0.2222222222222222</v>
      </c>
      <c r="Z52" s="117">
        <v>0.3</v>
      </c>
      <c r="AA52" s="114" t="s">
        <v>316</v>
      </c>
      <c r="AB52" s="142"/>
      <c r="AC52" s="143"/>
      <c r="AD52" s="116">
        <v>0.41944444444444445</v>
      </c>
      <c r="AE52" s="116"/>
      <c r="AF52" s="115"/>
      <c r="AG52" s="116">
        <v>0.31805555555555554</v>
      </c>
      <c r="AH52" s="116"/>
      <c r="AI52" s="143"/>
    </row>
    <row r="53">
      <c r="A53" s="166" t="s">
        <v>282</v>
      </c>
      <c r="B53" s="167">
        <v>51.0</v>
      </c>
      <c r="C53" s="150" t="s">
        <v>10</v>
      </c>
      <c r="D53" s="22" t="str">
        <f t="shared" si="3"/>
        <v>#N/A</v>
      </c>
      <c r="E53" s="23"/>
      <c r="F53" s="26" t="s">
        <v>284</v>
      </c>
      <c r="G53" s="25"/>
      <c r="H53" s="25"/>
      <c r="I53" s="25"/>
      <c r="J53" s="25"/>
      <c r="K53" s="25" t="e">
        <v>#N/A</v>
      </c>
      <c r="L53" s="25"/>
      <c r="M53" s="26" t="s">
        <v>316</v>
      </c>
      <c r="N53" s="25"/>
      <c r="O53" s="25"/>
      <c r="P53" s="23"/>
      <c r="Q53" s="23"/>
      <c r="R53" s="25"/>
      <c r="S53" s="25" t="e">
        <v>#N/A</v>
      </c>
      <c r="T53" s="116" t="e">
        <v>#N/A</v>
      </c>
      <c r="U53" s="142"/>
      <c r="V53" s="143"/>
      <c r="W53" s="116"/>
      <c r="X53" s="116">
        <v>0.37569444444444444</v>
      </c>
      <c r="Y53" s="116"/>
      <c r="Z53" s="116"/>
      <c r="AA53" s="114" t="s">
        <v>316</v>
      </c>
      <c r="AB53" s="142"/>
      <c r="AC53" s="143"/>
      <c r="AD53" s="116"/>
      <c r="AE53" s="116"/>
      <c r="AF53" s="115"/>
      <c r="AG53" s="116">
        <v>0.2708333333333333</v>
      </c>
      <c r="AH53" s="116"/>
      <c r="AI53" s="143"/>
    </row>
    <row r="54">
      <c r="A54" s="32"/>
      <c r="B54" s="167">
        <v>52.0</v>
      </c>
      <c r="C54" s="150" t="s">
        <v>6</v>
      </c>
      <c r="D54" s="22" t="str">
        <f t="shared" si="3"/>
        <v>#N/A</v>
      </c>
      <c r="E54" s="23"/>
      <c r="F54" s="26" t="s">
        <v>284</v>
      </c>
      <c r="G54" s="25"/>
      <c r="H54" s="25"/>
      <c r="I54" s="25">
        <v>0.4986111111111111</v>
      </c>
      <c r="J54" s="25">
        <v>0.47638888888888886</v>
      </c>
      <c r="K54" s="25" t="e">
        <v>#N/A</v>
      </c>
      <c r="L54" s="25">
        <v>0.4361111111111111</v>
      </c>
      <c r="M54" s="25"/>
      <c r="N54" s="25"/>
      <c r="O54" s="25"/>
      <c r="P54" s="23">
        <v>0.4895833333333333</v>
      </c>
      <c r="Q54" s="23">
        <v>0.46458333333333335</v>
      </c>
      <c r="R54" s="25">
        <v>0.4895833333333333</v>
      </c>
      <c r="S54" s="25">
        <v>0.4708333333333333</v>
      </c>
      <c r="T54" s="116"/>
      <c r="U54" s="142"/>
      <c r="V54" s="143"/>
      <c r="W54" s="116">
        <v>0.475</v>
      </c>
      <c r="X54" s="116">
        <v>0.46805555555555556</v>
      </c>
      <c r="Y54" s="116"/>
      <c r="Z54" s="116">
        <v>0.46597222222222223</v>
      </c>
      <c r="AA54" s="116"/>
      <c r="AB54" s="142"/>
      <c r="AC54" s="143"/>
      <c r="AD54" s="116">
        <v>0.4597222222222222</v>
      </c>
      <c r="AE54" s="116">
        <v>0.475</v>
      </c>
      <c r="AF54" s="115"/>
      <c r="AG54" s="116">
        <v>0.41180555555555554</v>
      </c>
      <c r="AH54" s="116"/>
      <c r="AI54" s="143"/>
    </row>
    <row r="55">
      <c r="A55" s="32"/>
      <c r="B55" s="167">
        <v>53.0</v>
      </c>
      <c r="C55" s="150" t="s">
        <v>75</v>
      </c>
      <c r="D55" s="22" t="str">
        <f t="shared" si="3"/>
        <v>#N/A</v>
      </c>
      <c r="E55" s="23">
        <v>0.24513888888888888</v>
      </c>
      <c r="F55" s="26" t="s">
        <v>284</v>
      </c>
      <c r="G55" s="25"/>
      <c r="H55" s="25"/>
      <c r="I55" s="25">
        <v>0.2048611111111111</v>
      </c>
      <c r="J55" s="25">
        <v>0.2152777777777778</v>
      </c>
      <c r="K55" s="25" t="e">
        <v>#N/A</v>
      </c>
      <c r="L55" s="25">
        <v>0.31180555555555556</v>
      </c>
      <c r="M55" s="26" t="s">
        <v>316</v>
      </c>
      <c r="N55" s="25"/>
      <c r="O55" s="25"/>
      <c r="P55" s="23"/>
      <c r="Q55" s="23">
        <v>0.22013888888888888</v>
      </c>
      <c r="R55" s="25"/>
      <c r="S55" s="25">
        <v>0.2076388888888889</v>
      </c>
      <c r="T55" s="116" t="e">
        <v>#N/A</v>
      </c>
      <c r="U55" s="142"/>
      <c r="V55" s="143"/>
      <c r="W55" s="116">
        <v>0.22361111111111112</v>
      </c>
      <c r="X55" s="116"/>
      <c r="Y55" s="116">
        <v>0.1701388888888889</v>
      </c>
      <c r="Z55" s="116">
        <v>0.2076388888888889</v>
      </c>
      <c r="AA55" s="114" t="s">
        <v>316</v>
      </c>
      <c r="AB55" s="142"/>
      <c r="AC55" s="143"/>
      <c r="AD55" s="116">
        <v>0.20694444444444443</v>
      </c>
      <c r="AE55" s="116">
        <v>0.21666666666666667</v>
      </c>
      <c r="AF55" s="115"/>
      <c r="AG55" s="116"/>
      <c r="AH55" s="116"/>
      <c r="AI55" s="143"/>
    </row>
    <row r="56">
      <c r="A56" s="32"/>
      <c r="B56" s="167">
        <v>54.0</v>
      </c>
      <c r="C56" s="150" t="s">
        <v>120</v>
      </c>
      <c r="D56" s="22" t="str">
        <f t="shared" si="3"/>
        <v>#N/A</v>
      </c>
      <c r="E56" s="23">
        <v>0.4173611111111111</v>
      </c>
      <c r="F56" s="26" t="s">
        <v>284</v>
      </c>
      <c r="G56" s="25"/>
      <c r="H56" s="25"/>
      <c r="I56" s="25">
        <v>0.3993055555555556</v>
      </c>
      <c r="J56" s="25">
        <v>0.3798611111111111</v>
      </c>
      <c r="K56" s="25" t="e">
        <v>#N/A</v>
      </c>
      <c r="L56" s="25">
        <v>0.3506944444444444</v>
      </c>
      <c r="M56" s="25"/>
      <c r="N56" s="25"/>
      <c r="O56" s="25"/>
      <c r="P56" s="23">
        <v>0.4013888888888889</v>
      </c>
      <c r="Q56" s="23" t="e">
        <v>#N/A</v>
      </c>
      <c r="R56" s="25">
        <v>0.4013888888888889</v>
      </c>
      <c r="S56" s="25">
        <v>0.38055555555555554</v>
      </c>
      <c r="T56" s="116">
        <v>0.3840277777777778</v>
      </c>
      <c r="U56" s="142"/>
      <c r="V56" s="143"/>
      <c r="W56" s="116">
        <v>0.3736111111111111</v>
      </c>
      <c r="X56" s="116">
        <v>0.3784722222222222</v>
      </c>
      <c r="Y56" s="116">
        <v>0.3888888888888889</v>
      </c>
      <c r="Z56" s="116"/>
      <c r="AA56" s="116">
        <v>0.3770833333333333</v>
      </c>
      <c r="AB56" s="142"/>
      <c r="AC56" s="143"/>
      <c r="AD56" s="116">
        <v>0.36875</v>
      </c>
      <c r="AE56" s="116">
        <v>0.3770833333333333</v>
      </c>
      <c r="AF56" s="115"/>
      <c r="AG56" s="116">
        <v>0.4152777777777778</v>
      </c>
      <c r="AH56" s="116"/>
      <c r="AI56" s="143"/>
    </row>
    <row r="57">
      <c r="A57" s="32"/>
      <c r="B57" s="167">
        <v>55.0</v>
      </c>
      <c r="C57" s="168" t="s">
        <v>123</v>
      </c>
      <c r="D57" s="22" t="str">
        <f t="shared" si="3"/>
        <v>#N/A</v>
      </c>
      <c r="E57" s="23">
        <v>0.42916666666666664</v>
      </c>
      <c r="F57" s="26" t="s">
        <v>284</v>
      </c>
      <c r="G57" s="25"/>
      <c r="H57" s="25"/>
      <c r="I57" s="25">
        <v>0.3902777777777778</v>
      </c>
      <c r="J57" s="25">
        <v>0.3909722222222222</v>
      </c>
      <c r="K57" s="25" t="e">
        <v>#N/A</v>
      </c>
      <c r="L57" s="25">
        <v>0.34305555555555556</v>
      </c>
      <c r="M57" s="25"/>
      <c r="N57" s="25"/>
      <c r="O57" s="25"/>
      <c r="P57" s="23"/>
      <c r="Q57" s="23"/>
      <c r="R57" s="25"/>
      <c r="S57" s="25">
        <v>0.3590277777777778</v>
      </c>
      <c r="T57" s="116">
        <v>0.37083333333333335</v>
      </c>
      <c r="U57" s="142"/>
      <c r="V57" s="143"/>
      <c r="W57" s="116">
        <v>0.35138888888888886</v>
      </c>
      <c r="X57" s="116">
        <v>0.3875</v>
      </c>
      <c r="Y57" s="116">
        <v>0.3854166666666667</v>
      </c>
      <c r="Z57" s="116">
        <v>0.3701388888888889</v>
      </c>
      <c r="AA57" s="116">
        <v>0.3472222222222222</v>
      </c>
      <c r="AB57" s="142"/>
      <c r="AC57" s="143"/>
      <c r="AD57" s="116">
        <v>0.37222222222222223</v>
      </c>
      <c r="AE57" s="116">
        <v>0.38055555555555554</v>
      </c>
      <c r="AF57" s="115"/>
      <c r="AG57" s="116">
        <v>0.3875</v>
      </c>
      <c r="AH57" s="116"/>
      <c r="AI57" s="143"/>
    </row>
    <row r="58">
      <c r="A58" s="32"/>
      <c r="B58" s="167">
        <v>56.0</v>
      </c>
      <c r="C58" s="150" t="s">
        <v>111</v>
      </c>
      <c r="D58" s="22" t="str">
        <f t="shared" si="3"/>
        <v>#N/A</v>
      </c>
      <c r="E58" s="23">
        <v>0.3527777777777778</v>
      </c>
      <c r="F58" s="25">
        <v>0.3645833333333333</v>
      </c>
      <c r="G58" s="25">
        <v>0.34652777777777777</v>
      </c>
      <c r="H58" s="25"/>
      <c r="I58" s="25">
        <v>0.38680555555555557</v>
      </c>
      <c r="J58" s="25">
        <v>0.42430555555555555</v>
      </c>
      <c r="K58" s="25" t="e">
        <v>#N/A</v>
      </c>
      <c r="L58" s="25">
        <v>0.37430555555555556</v>
      </c>
      <c r="M58" s="25">
        <v>0.3416666666666667</v>
      </c>
      <c r="N58" s="25">
        <v>0.35555555555555557</v>
      </c>
      <c r="O58" s="25"/>
      <c r="P58" s="23">
        <v>0.3423611111111111</v>
      </c>
      <c r="Q58" s="23">
        <v>0.3736111111111111</v>
      </c>
      <c r="R58" s="25">
        <v>0.3423611111111111</v>
      </c>
      <c r="S58" s="25">
        <v>0.3451388888888889</v>
      </c>
      <c r="T58" s="116">
        <v>0.34444444444444444</v>
      </c>
      <c r="U58" s="142"/>
      <c r="V58" s="143"/>
      <c r="W58" s="116">
        <v>0.34375</v>
      </c>
      <c r="X58" s="116">
        <v>0.3736111111111111</v>
      </c>
      <c r="Y58" s="116">
        <v>0.34097222222222223</v>
      </c>
      <c r="Z58" s="116">
        <v>0.36527777777777776</v>
      </c>
      <c r="AA58" s="116">
        <v>0.4597222222222222</v>
      </c>
      <c r="AB58" s="142"/>
      <c r="AC58" s="146"/>
      <c r="AD58" s="116">
        <v>0.3527777777777778</v>
      </c>
      <c r="AE58" s="116">
        <v>0.5805555555555556</v>
      </c>
      <c r="AF58" s="115"/>
      <c r="AG58" s="116">
        <v>0.3451388888888889</v>
      </c>
      <c r="AH58" s="116"/>
      <c r="AI58" s="143"/>
    </row>
    <row r="59">
      <c r="A59" s="32"/>
      <c r="B59" s="167">
        <v>57.0</v>
      </c>
      <c r="C59" s="168" t="s">
        <v>114</v>
      </c>
      <c r="D59" s="22" t="str">
        <f t="shared" si="3"/>
        <v>#N/A</v>
      </c>
      <c r="E59" s="23">
        <v>0.36666666666666664</v>
      </c>
      <c r="F59" s="25">
        <v>0.39305555555555555</v>
      </c>
      <c r="G59" s="25">
        <v>0.35694444444444445</v>
      </c>
      <c r="H59" s="25">
        <v>0.3590277777777778</v>
      </c>
      <c r="I59" s="25">
        <v>0.33611111111111114</v>
      </c>
      <c r="J59" s="25">
        <v>0.34791666666666665</v>
      </c>
      <c r="K59" s="25" t="e">
        <v>#N/A</v>
      </c>
      <c r="L59" s="25" t="e">
        <v>#N/A</v>
      </c>
      <c r="M59" s="25">
        <v>0.3486111111111111</v>
      </c>
      <c r="N59" s="25">
        <v>0.43680555555555556</v>
      </c>
      <c r="O59" s="25"/>
      <c r="P59" s="23">
        <v>0.27569444444444446</v>
      </c>
      <c r="Q59" s="23">
        <v>0.36319444444444443</v>
      </c>
      <c r="R59" s="25">
        <v>0.27569444444444446</v>
      </c>
      <c r="S59" s="25" t="e">
        <v>#N/A</v>
      </c>
      <c r="T59" s="116">
        <v>0.3909722222222222</v>
      </c>
      <c r="U59" s="142"/>
      <c r="V59" s="143"/>
      <c r="W59" s="116">
        <v>0.33819444444444446</v>
      </c>
      <c r="X59" s="116">
        <v>0.3590277777777778</v>
      </c>
      <c r="Y59" s="116">
        <v>0.3590277777777778</v>
      </c>
      <c r="Z59" s="116" t="e">
        <v>#N/A</v>
      </c>
      <c r="AA59" s="116">
        <v>0.35625</v>
      </c>
      <c r="AB59" s="142"/>
      <c r="AC59" s="143"/>
      <c r="AD59" s="116">
        <v>0.36736111111111114</v>
      </c>
      <c r="AE59" s="116">
        <v>0.34652777777777777</v>
      </c>
      <c r="AF59" s="115"/>
      <c r="AG59" s="116" t="e">
        <v>#N/A</v>
      </c>
      <c r="AH59" s="116"/>
      <c r="AI59" s="143"/>
    </row>
    <row r="60">
      <c r="A60" s="32"/>
      <c r="B60" s="167">
        <v>58.0</v>
      </c>
      <c r="C60" s="168" t="s">
        <v>129</v>
      </c>
      <c r="D60" s="22" t="str">
        <f t="shared" si="3"/>
        <v>#N/A</v>
      </c>
      <c r="E60" s="23">
        <v>0.3486111111111111</v>
      </c>
      <c r="F60" s="25">
        <v>0.35208333333333336</v>
      </c>
      <c r="G60" s="25">
        <v>0.34652777777777777</v>
      </c>
      <c r="H60" s="25" t="e">
        <v>#N/A</v>
      </c>
      <c r="I60" s="25">
        <v>0.2569444444444444</v>
      </c>
      <c r="J60" s="25">
        <v>0.3416666666666667</v>
      </c>
      <c r="K60" s="25">
        <v>0.34375</v>
      </c>
      <c r="L60" s="25">
        <v>0.34652777777777777</v>
      </c>
      <c r="M60" s="25">
        <v>0.34097222222222223</v>
      </c>
      <c r="N60" s="25">
        <v>0.35833333333333334</v>
      </c>
      <c r="O60" s="25">
        <v>0.3506944444444444</v>
      </c>
      <c r="P60" s="23" t="e">
        <v>#N/A</v>
      </c>
      <c r="Q60" s="23">
        <v>0.3625</v>
      </c>
      <c r="R60" s="25" t="e">
        <v>#N/A</v>
      </c>
      <c r="S60" s="25">
        <v>0.35138888888888886</v>
      </c>
      <c r="T60" s="116">
        <v>0.25763888888888886</v>
      </c>
      <c r="U60" s="142"/>
      <c r="V60" s="143"/>
      <c r="W60" s="116" t="e">
        <v>#N/A</v>
      </c>
      <c r="X60" s="116">
        <v>0.25763888888888886</v>
      </c>
      <c r="Y60" s="116">
        <v>0.35</v>
      </c>
      <c r="Z60" s="116">
        <v>0.3527777777777778</v>
      </c>
      <c r="AA60" s="116">
        <v>0.3402777777777778</v>
      </c>
      <c r="AB60" s="142"/>
      <c r="AC60" s="143"/>
      <c r="AD60" s="115" t="e">
        <v>#N/A</v>
      </c>
      <c r="AE60" s="116">
        <v>0.3541666666666667</v>
      </c>
      <c r="AF60" s="115"/>
      <c r="AG60" s="116">
        <v>0.34652777777777777</v>
      </c>
      <c r="AH60" s="116"/>
      <c r="AI60" s="143"/>
    </row>
    <row r="61">
      <c r="A61" s="32"/>
      <c r="B61" s="167">
        <v>59.0</v>
      </c>
      <c r="C61" s="150" t="s">
        <v>126</v>
      </c>
      <c r="D61" s="22">
        <f t="shared" si="3"/>
        <v>9.827777778</v>
      </c>
      <c r="E61" s="23">
        <v>0.35138888888888886</v>
      </c>
      <c r="F61" s="25">
        <v>0.36041666666666666</v>
      </c>
      <c r="G61" s="25"/>
      <c r="H61" s="25">
        <v>0.4173611111111111</v>
      </c>
      <c r="I61" s="25">
        <v>0.4048611111111111</v>
      </c>
      <c r="J61" s="25">
        <v>0.40208333333333335</v>
      </c>
      <c r="K61" s="25">
        <v>0.44166666666666665</v>
      </c>
      <c r="L61" s="25">
        <v>0.6388888888888888</v>
      </c>
      <c r="M61" s="25"/>
      <c r="N61" s="25"/>
      <c r="O61" s="25">
        <v>0.48819444444444443</v>
      </c>
      <c r="P61" s="23">
        <v>0.5215277777777778</v>
      </c>
      <c r="Q61" s="23">
        <v>0.38055555555555554</v>
      </c>
      <c r="R61" s="25">
        <v>0.5215277777777778</v>
      </c>
      <c r="S61" s="25">
        <v>0.5159722222222223</v>
      </c>
      <c r="T61" s="116">
        <v>0.3888888888888889</v>
      </c>
      <c r="U61" s="142"/>
      <c r="V61" s="146"/>
      <c r="W61" s="116">
        <v>0.46111111111111114</v>
      </c>
      <c r="X61" s="116">
        <v>0.5</v>
      </c>
      <c r="Y61" s="116">
        <v>0.51875</v>
      </c>
      <c r="Z61" s="116">
        <v>0.5020833333333333</v>
      </c>
      <c r="AA61" s="116">
        <v>0.42083333333333334</v>
      </c>
      <c r="AB61" s="142"/>
      <c r="AC61" s="146"/>
      <c r="AD61" s="116">
        <v>0.5083333333333333</v>
      </c>
      <c r="AE61" s="116">
        <v>0.5506944444444445</v>
      </c>
      <c r="AF61" s="115"/>
      <c r="AG61" s="116">
        <v>0.5326388888888889</v>
      </c>
      <c r="AH61" s="116"/>
      <c r="AI61" s="146"/>
    </row>
    <row r="62">
      <c r="A62" s="32"/>
      <c r="B62" s="167">
        <v>60.0</v>
      </c>
      <c r="C62" s="150" t="s">
        <v>287</v>
      </c>
      <c r="D62" s="22">
        <f t="shared" si="3"/>
        <v>0</v>
      </c>
      <c r="E62" s="23"/>
      <c r="F62" s="26" t="s">
        <v>284</v>
      </c>
      <c r="G62" s="25"/>
      <c r="H62" s="25"/>
      <c r="I62" s="25"/>
      <c r="J62" s="25"/>
      <c r="K62" s="25"/>
      <c r="L62" s="25"/>
      <c r="M62" s="25"/>
      <c r="N62" s="25"/>
      <c r="O62" s="25"/>
      <c r="P62" s="23"/>
      <c r="Q62" s="23"/>
      <c r="R62" s="25"/>
      <c r="S62" s="25"/>
      <c r="T62" s="116"/>
      <c r="U62" s="142"/>
      <c r="V62" s="143"/>
      <c r="W62" s="116"/>
      <c r="X62" s="116"/>
      <c r="Y62" s="116"/>
      <c r="Z62" s="116"/>
      <c r="AA62" s="116"/>
      <c r="AB62" s="142"/>
      <c r="AC62" s="143"/>
      <c r="AD62" s="116"/>
      <c r="AE62" s="116"/>
      <c r="AF62" s="115"/>
      <c r="AG62" s="116"/>
      <c r="AH62" s="116"/>
      <c r="AI62" s="143"/>
    </row>
    <row r="63">
      <c r="A63" s="32"/>
      <c r="B63" s="167">
        <v>61.0</v>
      </c>
      <c r="C63" s="169" t="s">
        <v>162</v>
      </c>
      <c r="D63" s="22">
        <f t="shared" si="3"/>
        <v>6.5375</v>
      </c>
      <c r="E63" s="23"/>
      <c r="F63" s="25">
        <v>0.37916666666666665</v>
      </c>
      <c r="G63" s="25">
        <v>0.2763888888888889</v>
      </c>
      <c r="H63" s="25"/>
      <c r="I63" s="25">
        <v>0.4263888888888889</v>
      </c>
      <c r="J63" s="25">
        <v>0.42083333333333334</v>
      </c>
      <c r="K63" s="25">
        <v>0.37569444444444444</v>
      </c>
      <c r="L63" s="25">
        <v>0.35347222222222224</v>
      </c>
      <c r="M63" s="25"/>
      <c r="N63" s="25"/>
      <c r="O63" s="25"/>
      <c r="P63" s="23">
        <v>0.3770833333333333</v>
      </c>
      <c r="Q63" s="23">
        <v>0.35138888888888886</v>
      </c>
      <c r="R63" s="25">
        <v>0.3770833333333333</v>
      </c>
      <c r="S63" s="25">
        <v>0.44583333333333336</v>
      </c>
      <c r="T63" s="116">
        <v>0.4270833333333333</v>
      </c>
      <c r="U63" s="142"/>
      <c r="V63" s="143"/>
      <c r="W63" s="116">
        <v>0.41041666666666665</v>
      </c>
      <c r="X63" s="116">
        <v>0.37916666666666665</v>
      </c>
      <c r="Y63" s="116"/>
      <c r="Z63" s="116">
        <v>0.3958333333333333</v>
      </c>
      <c r="AA63" s="116"/>
      <c r="AB63" s="142"/>
      <c r="AC63" s="143"/>
      <c r="AD63" s="116">
        <v>0.42916666666666664</v>
      </c>
      <c r="AE63" s="116">
        <v>0.3763888888888889</v>
      </c>
      <c r="AF63" s="115"/>
      <c r="AG63" s="116">
        <v>0.33611111111111114</v>
      </c>
      <c r="AH63" s="116"/>
      <c r="AI63" s="143"/>
    </row>
    <row r="64">
      <c r="A64" s="32"/>
      <c r="B64" s="167">
        <v>62.0</v>
      </c>
      <c r="C64" s="150" t="s">
        <v>38</v>
      </c>
      <c r="D64" s="22" t="str">
        <f t="shared" si="3"/>
        <v>#N/A</v>
      </c>
      <c r="E64" s="23">
        <v>0.3729166666666667</v>
      </c>
      <c r="F64" s="26" t="s">
        <v>284</v>
      </c>
      <c r="G64" s="25"/>
      <c r="H64" s="25"/>
      <c r="I64" s="25">
        <v>0.3541666666666667</v>
      </c>
      <c r="J64" s="25">
        <v>0.3590277777777778</v>
      </c>
      <c r="K64" s="25"/>
      <c r="L64" s="25">
        <v>0.36944444444444446</v>
      </c>
      <c r="M64" s="25"/>
      <c r="N64" s="25"/>
      <c r="O64" s="25"/>
      <c r="P64" s="23">
        <v>0.3729166666666667</v>
      </c>
      <c r="Q64" s="23">
        <v>0.375</v>
      </c>
      <c r="R64" s="25">
        <v>0.3729166666666667</v>
      </c>
      <c r="S64" s="25"/>
      <c r="T64" s="116" t="e">
        <v>#N/A</v>
      </c>
      <c r="U64" s="142"/>
      <c r="V64" s="143"/>
      <c r="W64" s="116">
        <v>0.3638888888888889</v>
      </c>
      <c r="X64" s="116">
        <v>0.3541666666666667</v>
      </c>
      <c r="Y64" s="116">
        <v>0.36736111111111114</v>
      </c>
      <c r="Z64" s="116">
        <v>0.3729166666666667</v>
      </c>
      <c r="AA64" s="114" t="s">
        <v>316</v>
      </c>
      <c r="AB64" s="142"/>
      <c r="AC64" s="143"/>
      <c r="AD64" s="116">
        <v>0.37083333333333335</v>
      </c>
      <c r="AE64" s="116">
        <v>0.36875</v>
      </c>
      <c r="AF64" s="115"/>
      <c r="AG64" s="116">
        <v>0.3645833333333333</v>
      </c>
      <c r="AH64" s="116"/>
      <c r="AI64" s="143"/>
    </row>
    <row r="65">
      <c r="A65" s="32"/>
      <c r="B65" s="167">
        <v>63.0</v>
      </c>
      <c r="C65" s="150" t="s">
        <v>117</v>
      </c>
      <c r="D65" s="22" t="str">
        <f t="shared" si="3"/>
        <v>#N/A</v>
      </c>
      <c r="E65" s="23">
        <v>0.4125</v>
      </c>
      <c r="F65" s="26" t="s">
        <v>284</v>
      </c>
      <c r="G65" s="25"/>
      <c r="H65" s="25"/>
      <c r="I65" s="25">
        <v>0.3458333333333333</v>
      </c>
      <c r="J65" s="25">
        <v>0.29097222222222224</v>
      </c>
      <c r="K65" s="25"/>
      <c r="L65" s="25">
        <v>0.3333333333333333</v>
      </c>
      <c r="M65" s="25"/>
      <c r="N65" s="25"/>
      <c r="O65" s="25"/>
      <c r="P65" s="23">
        <v>0.4486111111111111</v>
      </c>
      <c r="Q65" s="23"/>
      <c r="R65" s="25">
        <v>0.4486111111111111</v>
      </c>
      <c r="S65" s="25">
        <v>0.35</v>
      </c>
      <c r="T65" s="116">
        <v>0.3951388888888889</v>
      </c>
      <c r="U65" s="142"/>
      <c r="V65" s="143"/>
      <c r="W65" s="116"/>
      <c r="X65" s="116"/>
      <c r="Y65" s="116">
        <v>0.4076388888888889</v>
      </c>
      <c r="Z65" s="116" t="e">
        <v>#N/A</v>
      </c>
      <c r="AA65" s="114" t="s">
        <v>316</v>
      </c>
      <c r="AB65" s="142"/>
      <c r="AC65" s="143"/>
      <c r="AD65" s="115" t="e">
        <v>#N/A</v>
      </c>
      <c r="AE65" s="115" t="e">
        <v>#N/A</v>
      </c>
      <c r="AF65" s="115"/>
      <c r="AG65" s="116">
        <v>0.5118055555555555</v>
      </c>
      <c r="AH65" s="116"/>
      <c r="AI65" s="143"/>
    </row>
    <row r="66">
      <c r="A66" s="32"/>
      <c r="B66" s="167">
        <v>64.0</v>
      </c>
      <c r="C66" s="150" t="s">
        <v>237</v>
      </c>
      <c r="D66" s="22" t="str">
        <f t="shared" si="3"/>
        <v>#N/A</v>
      </c>
      <c r="E66" s="23">
        <v>0.33541666666666664</v>
      </c>
      <c r="F66" s="25">
        <v>0.3298611111111111</v>
      </c>
      <c r="G66" s="25">
        <v>0.35833333333333334</v>
      </c>
      <c r="H66" s="25">
        <v>0.33611111111111114</v>
      </c>
      <c r="I66" s="25">
        <v>0.3375</v>
      </c>
      <c r="J66" s="25"/>
      <c r="K66" s="25">
        <v>0.33819444444444446</v>
      </c>
      <c r="L66" s="25">
        <v>0.33541666666666664</v>
      </c>
      <c r="M66" s="25">
        <v>0.33611111111111114</v>
      </c>
      <c r="N66" s="25">
        <v>0.33541666666666664</v>
      </c>
      <c r="O66" s="25">
        <v>0.26666666666666666</v>
      </c>
      <c r="P66" s="23">
        <v>0.33055555555555555</v>
      </c>
      <c r="Q66" s="23" t="e">
        <v>#N/A</v>
      </c>
      <c r="R66" s="25">
        <v>0.33055555555555555</v>
      </c>
      <c r="S66" s="25">
        <v>0.3368055555555556</v>
      </c>
      <c r="T66" s="116">
        <v>0.33125</v>
      </c>
      <c r="U66" s="142"/>
      <c r="V66" s="143"/>
      <c r="W66" s="116">
        <v>0.3416666666666667</v>
      </c>
      <c r="X66" s="116">
        <v>0.3263888888888889</v>
      </c>
      <c r="Y66" s="116">
        <v>0.33194444444444443</v>
      </c>
      <c r="Z66" s="116">
        <v>0.33611111111111114</v>
      </c>
      <c r="AA66" s="116"/>
      <c r="AB66" s="142"/>
      <c r="AC66" s="143"/>
      <c r="AD66" s="116"/>
      <c r="AE66" s="116"/>
      <c r="AF66" s="115"/>
      <c r="AG66" s="116">
        <v>0.3333333333333333</v>
      </c>
      <c r="AH66" s="116"/>
      <c r="AI66" s="146"/>
    </row>
    <row r="67">
      <c r="A67" s="15"/>
      <c r="B67" s="149">
        <v>65.0</v>
      </c>
      <c r="C67" s="150" t="s">
        <v>288</v>
      </c>
      <c r="D67" s="22" t="str">
        <f t="shared" si="3"/>
        <v>#N/A</v>
      </c>
      <c r="E67" s="23"/>
      <c r="F67" s="26" t="s">
        <v>284</v>
      </c>
      <c r="G67" s="25">
        <v>0.33541666666666664</v>
      </c>
      <c r="H67" s="25">
        <v>0.34652777777777777</v>
      </c>
      <c r="I67" s="25">
        <v>0.33611111111111114</v>
      </c>
      <c r="J67" s="25">
        <v>0.3326388888888889</v>
      </c>
      <c r="K67" s="25"/>
      <c r="L67" s="25">
        <v>0.3326388888888889</v>
      </c>
      <c r="M67" s="25">
        <v>0.3298611111111111</v>
      </c>
      <c r="N67" s="25">
        <v>0.3375</v>
      </c>
      <c r="O67" s="25">
        <v>0.3576388888888889</v>
      </c>
      <c r="P67" s="23">
        <v>0.3326388888888889</v>
      </c>
      <c r="Q67" s="23">
        <v>0.3284722222222222</v>
      </c>
      <c r="R67" s="25">
        <v>0.3326388888888889</v>
      </c>
      <c r="S67" s="25">
        <v>0.32430555555555557</v>
      </c>
      <c r="T67" s="116"/>
      <c r="U67" s="142"/>
      <c r="V67" s="146"/>
      <c r="W67" s="116">
        <v>0.32569444444444445</v>
      </c>
      <c r="X67" s="116" t="e">
        <v>#N/A</v>
      </c>
      <c r="Y67" s="116">
        <v>0.2847222222222222</v>
      </c>
      <c r="Z67" s="116">
        <v>0.3215277777777778</v>
      </c>
      <c r="AA67" s="116">
        <v>0.32083333333333336</v>
      </c>
      <c r="AB67" s="142"/>
      <c r="AC67" s="143"/>
      <c r="AD67" s="116">
        <v>0.32430555555555557</v>
      </c>
      <c r="AE67" s="115" t="e">
        <v>#N/A</v>
      </c>
      <c r="AF67" s="115"/>
      <c r="AG67" s="116">
        <v>0.3215277777777778</v>
      </c>
      <c r="AH67" s="116"/>
      <c r="AI67" s="146"/>
    </row>
    <row r="68">
      <c r="T68" s="65"/>
      <c r="AD68" s="2"/>
    </row>
    <row r="69">
      <c r="T69" s="65"/>
      <c r="AD69" s="2"/>
    </row>
    <row r="70">
      <c r="T70" s="65"/>
      <c r="AD70" s="2"/>
    </row>
    <row r="71">
      <c r="T71" s="65"/>
      <c r="AD71" s="2"/>
    </row>
    <row r="72">
      <c r="T72" s="65"/>
      <c r="AD72" s="2"/>
    </row>
    <row r="73">
      <c r="T73" s="65"/>
      <c r="AD73" s="2"/>
    </row>
    <row r="74">
      <c r="T74" s="65"/>
      <c r="AD74" s="2"/>
    </row>
    <row r="75">
      <c r="T75" s="65"/>
      <c r="AD75" s="2"/>
    </row>
    <row r="76">
      <c r="T76" s="65"/>
      <c r="AD76" s="2"/>
    </row>
    <row r="77">
      <c r="T77" s="65"/>
      <c r="AD77" s="2"/>
    </row>
    <row r="78">
      <c r="T78" s="65"/>
      <c r="AD78" s="2"/>
    </row>
    <row r="79">
      <c r="T79" s="65"/>
      <c r="AD79" s="2"/>
    </row>
    <row r="80">
      <c r="T80" s="65"/>
      <c r="AD80" s="2"/>
    </row>
    <row r="81">
      <c r="T81" s="65"/>
      <c r="AD81" s="2"/>
    </row>
    <row r="82">
      <c r="T82" s="65"/>
      <c r="AD82" s="2"/>
    </row>
    <row r="83">
      <c r="T83" s="65"/>
      <c r="AD83" s="2"/>
    </row>
    <row r="84">
      <c r="T84" s="65"/>
      <c r="AD84" s="2"/>
    </row>
    <row r="85">
      <c r="T85" s="65"/>
      <c r="AD85" s="2"/>
    </row>
    <row r="86">
      <c r="T86" s="65"/>
      <c r="AD86" s="2"/>
    </row>
    <row r="87">
      <c r="T87" s="65"/>
      <c r="AD87" s="2"/>
    </row>
    <row r="88">
      <c r="T88" s="65"/>
      <c r="AD88" s="2"/>
    </row>
    <row r="89">
      <c r="T89" s="65"/>
      <c r="AD89" s="2"/>
    </row>
    <row r="90">
      <c r="T90" s="65"/>
      <c r="AD90" s="2"/>
    </row>
    <row r="91">
      <c r="T91" s="65"/>
      <c r="AD91" s="2"/>
    </row>
    <row r="92">
      <c r="T92" s="65"/>
      <c r="AD92" s="2"/>
    </row>
    <row r="93">
      <c r="T93" s="65"/>
      <c r="AD93" s="2"/>
    </row>
    <row r="94">
      <c r="T94" s="65"/>
      <c r="AD94" s="2"/>
    </row>
    <row r="95">
      <c r="T95" s="65"/>
      <c r="AD95" s="2"/>
    </row>
    <row r="96">
      <c r="T96" s="65"/>
      <c r="AD96" s="2"/>
    </row>
    <row r="97">
      <c r="T97" s="65"/>
      <c r="AD97" s="2"/>
    </row>
    <row r="98">
      <c r="T98" s="65"/>
      <c r="AD98" s="2"/>
    </row>
    <row r="99">
      <c r="T99" s="65"/>
      <c r="AD99" s="2"/>
    </row>
    <row r="100">
      <c r="T100" s="65"/>
      <c r="AD100" s="2"/>
    </row>
    <row r="101">
      <c r="T101" s="65"/>
      <c r="AD101" s="2"/>
    </row>
    <row r="102">
      <c r="T102" s="65"/>
      <c r="AD102" s="2"/>
    </row>
    <row r="103">
      <c r="T103" s="65"/>
      <c r="AD103" s="2"/>
    </row>
    <row r="104">
      <c r="T104" s="65"/>
      <c r="AD104" s="2"/>
    </row>
    <row r="105">
      <c r="T105" s="65"/>
      <c r="AD105" s="2"/>
    </row>
    <row r="106">
      <c r="T106" s="65"/>
      <c r="AD106" s="2"/>
    </row>
    <row r="107">
      <c r="T107" s="65"/>
      <c r="AD107" s="2"/>
    </row>
    <row r="108">
      <c r="T108" s="65"/>
      <c r="AD108" s="2"/>
    </row>
    <row r="109">
      <c r="T109" s="65"/>
      <c r="AD109" s="2"/>
    </row>
    <row r="110">
      <c r="T110" s="65"/>
      <c r="AD110" s="2"/>
    </row>
    <row r="111">
      <c r="T111" s="65"/>
      <c r="AD111" s="2"/>
    </row>
    <row r="112">
      <c r="T112" s="65"/>
      <c r="AD112" s="2"/>
    </row>
    <row r="113">
      <c r="T113" s="65"/>
      <c r="AD113" s="2"/>
    </row>
    <row r="114">
      <c r="T114" s="65"/>
      <c r="AD114" s="2"/>
    </row>
    <row r="115">
      <c r="T115" s="65"/>
      <c r="AD115" s="2"/>
    </row>
    <row r="116">
      <c r="T116" s="65"/>
    </row>
    <row r="117">
      <c r="T117" s="65"/>
    </row>
    <row r="118">
      <c r="T118" s="65"/>
    </row>
    <row r="119">
      <c r="T119" s="65"/>
    </row>
    <row r="120">
      <c r="T120" s="65"/>
    </row>
    <row r="121">
      <c r="T121" s="65"/>
    </row>
    <row r="122">
      <c r="T122" s="65"/>
    </row>
    <row r="123">
      <c r="T123" s="65"/>
    </row>
    <row r="124">
      <c r="T124" s="65"/>
    </row>
    <row r="125">
      <c r="T125" s="65"/>
    </row>
    <row r="126">
      <c r="T126" s="65"/>
    </row>
    <row r="127">
      <c r="T127" s="65"/>
    </row>
    <row r="128">
      <c r="T128" s="65"/>
    </row>
    <row r="129">
      <c r="T129" s="65"/>
    </row>
    <row r="130">
      <c r="T130" s="65"/>
    </row>
    <row r="131">
      <c r="T131" s="65"/>
    </row>
    <row r="132">
      <c r="T132" s="65"/>
    </row>
    <row r="133">
      <c r="T133" s="65"/>
    </row>
    <row r="134">
      <c r="T134" s="65"/>
    </row>
    <row r="135">
      <c r="T135" s="65"/>
    </row>
    <row r="136">
      <c r="T136" s="65"/>
    </row>
    <row r="137">
      <c r="T137" s="65"/>
    </row>
    <row r="138">
      <c r="T138" s="65"/>
    </row>
    <row r="139">
      <c r="T139" s="65"/>
    </row>
    <row r="140">
      <c r="T140" s="65"/>
    </row>
    <row r="141">
      <c r="T141" s="65"/>
    </row>
    <row r="142">
      <c r="T142" s="65"/>
    </row>
    <row r="143">
      <c r="T143" s="65"/>
    </row>
    <row r="144">
      <c r="T144" s="65"/>
    </row>
    <row r="145">
      <c r="T145" s="65"/>
    </row>
    <row r="146">
      <c r="T146" s="65"/>
    </row>
    <row r="147">
      <c r="T147" s="65"/>
    </row>
    <row r="148">
      <c r="T148" s="65"/>
    </row>
    <row r="149">
      <c r="T149" s="65"/>
    </row>
    <row r="150">
      <c r="T150" s="65"/>
    </row>
    <row r="151">
      <c r="T151" s="65"/>
    </row>
    <row r="152">
      <c r="T152" s="65"/>
    </row>
    <row r="153">
      <c r="T153" s="65"/>
    </row>
    <row r="154">
      <c r="T154" s="65"/>
    </row>
    <row r="155">
      <c r="T155" s="65"/>
    </row>
    <row r="156">
      <c r="T156" s="65"/>
    </row>
    <row r="157">
      <c r="T157" s="65"/>
    </row>
    <row r="158">
      <c r="T158" s="65"/>
    </row>
    <row r="159">
      <c r="T159" s="65"/>
    </row>
    <row r="160">
      <c r="T160" s="65"/>
    </row>
    <row r="161">
      <c r="T161" s="65"/>
    </row>
    <row r="162">
      <c r="T162" s="65"/>
    </row>
    <row r="163">
      <c r="T163" s="65"/>
    </row>
    <row r="164">
      <c r="T164" s="65"/>
    </row>
    <row r="165">
      <c r="T165" s="65"/>
    </row>
    <row r="166">
      <c r="T166" s="65"/>
    </row>
    <row r="167">
      <c r="T167" s="65"/>
    </row>
    <row r="168">
      <c r="T168" s="65"/>
    </row>
    <row r="169">
      <c r="T169" s="65"/>
    </row>
    <row r="170">
      <c r="T170" s="65"/>
    </row>
    <row r="171">
      <c r="T171" s="65"/>
    </row>
    <row r="172">
      <c r="T172" s="65"/>
    </row>
    <row r="173">
      <c r="T173" s="65"/>
    </row>
    <row r="174">
      <c r="T174" s="65"/>
    </row>
    <row r="175">
      <c r="T175" s="65"/>
    </row>
    <row r="176">
      <c r="T176" s="65"/>
    </row>
    <row r="177">
      <c r="T177" s="65"/>
    </row>
    <row r="178">
      <c r="T178" s="65"/>
    </row>
    <row r="179">
      <c r="T179" s="65"/>
    </row>
    <row r="180">
      <c r="T180" s="65"/>
    </row>
    <row r="181">
      <c r="T181" s="65"/>
    </row>
    <row r="182">
      <c r="T182" s="65"/>
    </row>
    <row r="183">
      <c r="T183" s="65"/>
    </row>
    <row r="184">
      <c r="T184" s="65"/>
    </row>
    <row r="185">
      <c r="T185" s="65"/>
    </row>
    <row r="186">
      <c r="T186" s="65"/>
    </row>
    <row r="187">
      <c r="T187" s="65"/>
    </row>
    <row r="188">
      <c r="T188" s="65"/>
    </row>
    <row r="189">
      <c r="T189" s="65"/>
    </row>
    <row r="190">
      <c r="T190" s="65"/>
    </row>
    <row r="191">
      <c r="T191" s="65"/>
    </row>
    <row r="192">
      <c r="T192" s="65"/>
    </row>
    <row r="193">
      <c r="T193" s="65"/>
    </row>
    <row r="194">
      <c r="T194" s="65"/>
    </row>
    <row r="195">
      <c r="T195" s="65"/>
    </row>
    <row r="196">
      <c r="T196" s="65"/>
    </row>
    <row r="197">
      <c r="T197" s="65"/>
    </row>
    <row r="198">
      <c r="T198" s="65"/>
    </row>
    <row r="199">
      <c r="T199" s="65"/>
    </row>
    <row r="200">
      <c r="T200" s="65"/>
    </row>
    <row r="201">
      <c r="T201" s="65"/>
    </row>
    <row r="202">
      <c r="T202" s="65"/>
    </row>
    <row r="203">
      <c r="T203" s="65"/>
    </row>
    <row r="204">
      <c r="T204" s="65"/>
    </row>
    <row r="205">
      <c r="T205" s="65"/>
    </row>
    <row r="206">
      <c r="T206" s="65"/>
    </row>
    <row r="207">
      <c r="T207" s="65"/>
    </row>
    <row r="208">
      <c r="T208" s="65"/>
    </row>
    <row r="209">
      <c r="T209" s="65"/>
    </row>
    <row r="210">
      <c r="T210" s="65"/>
    </row>
    <row r="211">
      <c r="T211" s="65"/>
    </row>
    <row r="212">
      <c r="T212" s="65"/>
    </row>
    <row r="213">
      <c r="T213" s="65"/>
    </row>
    <row r="214">
      <c r="T214" s="65"/>
    </row>
    <row r="215">
      <c r="T215" s="65"/>
    </row>
    <row r="216">
      <c r="T216" s="65"/>
    </row>
    <row r="217">
      <c r="T217" s="65"/>
    </row>
    <row r="218">
      <c r="T218" s="65"/>
    </row>
    <row r="219">
      <c r="T219" s="65"/>
    </row>
    <row r="220">
      <c r="T220" s="65"/>
    </row>
    <row r="221">
      <c r="T221" s="65"/>
    </row>
    <row r="222">
      <c r="T222" s="65"/>
    </row>
    <row r="223">
      <c r="T223" s="65"/>
    </row>
    <row r="224">
      <c r="T224" s="65"/>
    </row>
    <row r="225">
      <c r="T225" s="65"/>
    </row>
    <row r="226">
      <c r="T226" s="65"/>
    </row>
    <row r="227">
      <c r="T227" s="65"/>
    </row>
    <row r="228">
      <c r="T228" s="65"/>
    </row>
    <row r="229">
      <c r="T229" s="65"/>
    </row>
    <row r="230">
      <c r="T230" s="65"/>
    </row>
    <row r="231">
      <c r="T231" s="65"/>
    </row>
    <row r="232">
      <c r="T232" s="65"/>
    </row>
    <row r="233">
      <c r="T233" s="65"/>
    </row>
    <row r="234">
      <c r="T234" s="65"/>
    </row>
    <row r="235">
      <c r="T235" s="65"/>
    </row>
    <row r="236">
      <c r="T236" s="65"/>
    </row>
    <row r="237">
      <c r="T237" s="65"/>
    </row>
    <row r="238">
      <c r="T238" s="65"/>
    </row>
    <row r="239">
      <c r="T239" s="65"/>
    </row>
    <row r="240">
      <c r="T240" s="65"/>
    </row>
    <row r="241">
      <c r="T241" s="65"/>
    </row>
    <row r="242">
      <c r="T242" s="65"/>
    </row>
    <row r="243">
      <c r="T243" s="65"/>
    </row>
    <row r="244">
      <c r="T244" s="65"/>
    </row>
    <row r="245">
      <c r="T245" s="65"/>
    </row>
    <row r="246">
      <c r="T246" s="65"/>
    </row>
    <row r="247">
      <c r="T247" s="65"/>
    </row>
    <row r="248">
      <c r="T248" s="65"/>
    </row>
    <row r="249">
      <c r="T249" s="65"/>
    </row>
    <row r="250">
      <c r="T250" s="65"/>
    </row>
    <row r="251">
      <c r="T251" s="65"/>
    </row>
    <row r="252">
      <c r="T252" s="65"/>
    </row>
    <row r="253">
      <c r="T253" s="65"/>
    </row>
    <row r="254">
      <c r="T254" s="65"/>
    </row>
    <row r="255">
      <c r="T255" s="65"/>
    </row>
    <row r="256">
      <c r="T256" s="65"/>
    </row>
    <row r="257">
      <c r="T257" s="65"/>
    </row>
    <row r="258">
      <c r="T258" s="65"/>
    </row>
    <row r="259">
      <c r="T259" s="65"/>
    </row>
    <row r="260">
      <c r="T260" s="65"/>
    </row>
    <row r="261">
      <c r="T261" s="65"/>
    </row>
    <row r="262">
      <c r="T262" s="65"/>
    </row>
    <row r="263">
      <c r="T263" s="65"/>
    </row>
    <row r="264">
      <c r="T264" s="65"/>
    </row>
    <row r="265">
      <c r="T265" s="65"/>
    </row>
    <row r="266">
      <c r="T266" s="65"/>
    </row>
    <row r="267">
      <c r="T267" s="65"/>
    </row>
    <row r="268">
      <c r="T268" s="65"/>
    </row>
    <row r="269">
      <c r="T269" s="65"/>
    </row>
    <row r="270">
      <c r="T270" s="65"/>
    </row>
    <row r="271">
      <c r="T271" s="65"/>
    </row>
    <row r="272">
      <c r="T272" s="65"/>
    </row>
    <row r="273">
      <c r="T273" s="65"/>
    </row>
    <row r="274">
      <c r="T274" s="65"/>
    </row>
    <row r="275">
      <c r="T275" s="65"/>
    </row>
    <row r="276">
      <c r="T276" s="65"/>
    </row>
    <row r="277">
      <c r="T277" s="65"/>
    </row>
    <row r="278">
      <c r="T278" s="65"/>
    </row>
    <row r="279">
      <c r="T279" s="65"/>
    </row>
    <row r="280">
      <c r="T280" s="65"/>
    </row>
    <row r="281">
      <c r="T281" s="65"/>
    </row>
    <row r="282">
      <c r="T282" s="65"/>
    </row>
    <row r="283">
      <c r="T283" s="65"/>
    </row>
    <row r="284">
      <c r="T284" s="65"/>
    </row>
    <row r="285">
      <c r="T285" s="65"/>
    </row>
    <row r="286">
      <c r="T286" s="65"/>
    </row>
    <row r="287">
      <c r="T287" s="65"/>
    </row>
    <row r="288">
      <c r="T288" s="65"/>
    </row>
    <row r="289">
      <c r="T289" s="65"/>
    </row>
    <row r="290">
      <c r="T290" s="65"/>
    </row>
    <row r="291">
      <c r="T291" s="65"/>
    </row>
    <row r="292">
      <c r="T292" s="65"/>
    </row>
    <row r="293">
      <c r="T293" s="65"/>
    </row>
    <row r="294">
      <c r="T294" s="65"/>
    </row>
    <row r="295">
      <c r="T295" s="65"/>
    </row>
    <row r="296">
      <c r="T296" s="65"/>
    </row>
    <row r="297">
      <c r="T297" s="65"/>
    </row>
    <row r="298">
      <c r="T298" s="65"/>
    </row>
    <row r="299">
      <c r="T299" s="65"/>
    </row>
    <row r="300">
      <c r="T300" s="65"/>
    </row>
    <row r="301">
      <c r="T301" s="65"/>
    </row>
    <row r="302">
      <c r="T302" s="65"/>
    </row>
    <row r="303">
      <c r="T303" s="65"/>
    </row>
    <row r="304">
      <c r="T304" s="65"/>
    </row>
    <row r="305">
      <c r="T305" s="65"/>
    </row>
    <row r="306">
      <c r="T306" s="65"/>
    </row>
    <row r="307">
      <c r="T307" s="65"/>
    </row>
    <row r="308">
      <c r="T308" s="65"/>
    </row>
    <row r="309">
      <c r="T309" s="65"/>
    </row>
    <row r="310">
      <c r="T310" s="65"/>
    </row>
    <row r="311">
      <c r="T311" s="65"/>
    </row>
    <row r="312">
      <c r="T312" s="65"/>
    </row>
    <row r="313">
      <c r="T313" s="65"/>
    </row>
    <row r="314">
      <c r="T314" s="65"/>
    </row>
    <row r="315">
      <c r="T315" s="65"/>
    </row>
    <row r="316">
      <c r="T316" s="65"/>
    </row>
    <row r="317">
      <c r="T317" s="65"/>
    </row>
    <row r="318">
      <c r="T318" s="65"/>
    </row>
    <row r="319">
      <c r="T319" s="65"/>
    </row>
    <row r="320">
      <c r="T320" s="65"/>
    </row>
    <row r="321">
      <c r="T321" s="65"/>
    </row>
    <row r="322">
      <c r="T322" s="65"/>
    </row>
    <row r="323">
      <c r="T323" s="65"/>
    </row>
    <row r="324">
      <c r="T324" s="65"/>
    </row>
    <row r="325">
      <c r="T325" s="65"/>
    </row>
    <row r="326">
      <c r="T326" s="65"/>
    </row>
    <row r="327">
      <c r="T327" s="65"/>
    </row>
    <row r="328">
      <c r="T328" s="65"/>
    </row>
    <row r="329">
      <c r="T329" s="65"/>
    </row>
    <row r="330">
      <c r="T330" s="65"/>
    </row>
    <row r="331">
      <c r="T331" s="65"/>
    </row>
    <row r="332">
      <c r="T332" s="65"/>
    </row>
    <row r="333">
      <c r="T333" s="65"/>
    </row>
    <row r="334">
      <c r="T334" s="65"/>
    </row>
    <row r="335">
      <c r="T335" s="65"/>
    </row>
    <row r="336">
      <c r="T336" s="65"/>
    </row>
    <row r="337">
      <c r="T337" s="65"/>
    </row>
    <row r="338">
      <c r="T338" s="65"/>
    </row>
    <row r="339">
      <c r="T339" s="65"/>
    </row>
    <row r="340">
      <c r="T340" s="65"/>
    </row>
    <row r="341">
      <c r="T341" s="65"/>
    </row>
    <row r="342">
      <c r="T342" s="65"/>
    </row>
    <row r="343">
      <c r="T343" s="65"/>
    </row>
    <row r="344">
      <c r="T344" s="65"/>
    </row>
    <row r="345">
      <c r="T345" s="65"/>
    </row>
    <row r="346">
      <c r="T346" s="65"/>
    </row>
    <row r="347">
      <c r="T347" s="65"/>
    </row>
    <row r="348">
      <c r="T348" s="65"/>
    </row>
    <row r="349">
      <c r="T349" s="65"/>
    </row>
    <row r="350">
      <c r="T350" s="65"/>
    </row>
    <row r="351">
      <c r="T351" s="65"/>
    </row>
    <row r="352">
      <c r="T352" s="65"/>
    </row>
    <row r="353">
      <c r="T353" s="65"/>
    </row>
    <row r="354">
      <c r="T354" s="65"/>
    </row>
    <row r="355">
      <c r="T355" s="65"/>
    </row>
    <row r="356">
      <c r="T356" s="65"/>
    </row>
    <row r="357">
      <c r="T357" s="65"/>
    </row>
    <row r="358">
      <c r="T358" s="65"/>
    </row>
    <row r="359">
      <c r="T359" s="65"/>
    </row>
    <row r="360">
      <c r="T360" s="65"/>
    </row>
    <row r="361">
      <c r="T361" s="65"/>
    </row>
    <row r="362">
      <c r="T362" s="65"/>
    </row>
    <row r="363">
      <c r="T363" s="65"/>
    </row>
    <row r="364">
      <c r="T364" s="65"/>
    </row>
    <row r="365">
      <c r="T365" s="65"/>
    </row>
    <row r="366">
      <c r="T366" s="65"/>
    </row>
    <row r="367">
      <c r="T367" s="65"/>
    </row>
    <row r="368">
      <c r="T368" s="65"/>
    </row>
    <row r="369">
      <c r="T369" s="65"/>
    </row>
    <row r="370">
      <c r="T370" s="65"/>
    </row>
    <row r="371">
      <c r="T371" s="65"/>
    </row>
    <row r="372">
      <c r="T372" s="65"/>
    </row>
    <row r="373">
      <c r="T373" s="65"/>
    </row>
    <row r="374">
      <c r="T374" s="65"/>
    </row>
    <row r="375">
      <c r="T375" s="65"/>
    </row>
    <row r="376">
      <c r="T376" s="65"/>
    </row>
    <row r="377">
      <c r="T377" s="65"/>
    </row>
    <row r="378">
      <c r="T378" s="65"/>
    </row>
    <row r="379">
      <c r="T379" s="65"/>
    </row>
    <row r="380">
      <c r="T380" s="65"/>
    </row>
    <row r="381">
      <c r="T381" s="65"/>
    </row>
    <row r="382">
      <c r="T382" s="65"/>
    </row>
    <row r="383">
      <c r="T383" s="65"/>
    </row>
    <row r="384">
      <c r="T384" s="65"/>
    </row>
    <row r="385">
      <c r="T385" s="65"/>
    </row>
    <row r="386">
      <c r="T386" s="65"/>
    </row>
    <row r="387">
      <c r="T387" s="65"/>
    </row>
    <row r="388">
      <c r="T388" s="65"/>
    </row>
    <row r="389">
      <c r="T389" s="65"/>
    </row>
    <row r="390">
      <c r="T390" s="65"/>
    </row>
    <row r="391">
      <c r="T391" s="65"/>
    </row>
    <row r="392">
      <c r="T392" s="65"/>
    </row>
    <row r="393">
      <c r="T393" s="65"/>
    </row>
    <row r="394">
      <c r="T394" s="65"/>
    </row>
    <row r="395">
      <c r="T395" s="65"/>
    </row>
    <row r="396">
      <c r="T396" s="65"/>
    </row>
    <row r="397">
      <c r="T397" s="65"/>
    </row>
    <row r="398">
      <c r="T398" s="65"/>
    </row>
    <row r="399">
      <c r="T399" s="65"/>
    </row>
    <row r="400">
      <c r="T400" s="65"/>
    </row>
    <row r="401">
      <c r="T401" s="65"/>
    </row>
    <row r="402">
      <c r="T402" s="65"/>
    </row>
    <row r="403">
      <c r="T403" s="65"/>
    </row>
    <row r="404">
      <c r="T404" s="65"/>
    </row>
    <row r="405">
      <c r="T405" s="65"/>
    </row>
    <row r="406">
      <c r="T406" s="65"/>
    </row>
    <row r="407">
      <c r="T407" s="65"/>
    </row>
    <row r="408">
      <c r="T408" s="65"/>
    </row>
    <row r="409">
      <c r="T409" s="65"/>
    </row>
    <row r="410">
      <c r="T410" s="65"/>
    </row>
    <row r="411">
      <c r="T411" s="65"/>
    </row>
    <row r="412">
      <c r="T412" s="65"/>
    </row>
    <row r="413">
      <c r="T413" s="65"/>
    </row>
    <row r="414">
      <c r="T414" s="65"/>
    </row>
    <row r="415">
      <c r="T415" s="65"/>
    </row>
    <row r="416">
      <c r="T416" s="65"/>
    </row>
    <row r="417">
      <c r="T417" s="65"/>
    </row>
    <row r="418">
      <c r="T418" s="65"/>
    </row>
    <row r="419">
      <c r="T419" s="65"/>
    </row>
    <row r="420">
      <c r="T420" s="65"/>
    </row>
    <row r="421">
      <c r="T421" s="65"/>
    </row>
    <row r="422">
      <c r="T422" s="65"/>
    </row>
    <row r="423">
      <c r="T423" s="65"/>
    </row>
    <row r="424">
      <c r="T424" s="65"/>
    </row>
    <row r="425">
      <c r="T425" s="65"/>
    </row>
    <row r="426">
      <c r="T426" s="65"/>
    </row>
    <row r="427">
      <c r="T427" s="65"/>
    </row>
    <row r="428">
      <c r="T428" s="65"/>
    </row>
    <row r="429">
      <c r="T429" s="65"/>
    </row>
    <row r="430">
      <c r="T430" s="65"/>
    </row>
    <row r="431">
      <c r="T431" s="65"/>
    </row>
    <row r="432">
      <c r="T432" s="65"/>
    </row>
    <row r="433">
      <c r="T433" s="65"/>
    </row>
    <row r="434">
      <c r="T434" s="65"/>
    </row>
    <row r="435">
      <c r="T435" s="65"/>
    </row>
    <row r="436">
      <c r="T436" s="65"/>
    </row>
    <row r="437">
      <c r="T437" s="65"/>
    </row>
    <row r="438">
      <c r="T438" s="65"/>
    </row>
    <row r="439">
      <c r="T439" s="65"/>
    </row>
    <row r="440">
      <c r="T440" s="65"/>
    </row>
    <row r="441">
      <c r="T441" s="65"/>
    </row>
    <row r="442">
      <c r="T442" s="65"/>
    </row>
    <row r="443">
      <c r="T443" s="65"/>
    </row>
    <row r="444">
      <c r="T444" s="65"/>
    </row>
    <row r="445">
      <c r="T445" s="65"/>
    </row>
    <row r="446">
      <c r="T446" s="65"/>
    </row>
    <row r="447">
      <c r="T447" s="65"/>
    </row>
    <row r="448">
      <c r="T448" s="65"/>
    </row>
    <row r="449">
      <c r="T449" s="65"/>
    </row>
    <row r="450">
      <c r="T450" s="65"/>
    </row>
    <row r="451">
      <c r="T451" s="65"/>
    </row>
    <row r="452">
      <c r="T452" s="65"/>
    </row>
    <row r="453">
      <c r="T453" s="65"/>
    </row>
    <row r="454">
      <c r="T454" s="65"/>
    </row>
    <row r="455">
      <c r="T455" s="65"/>
    </row>
    <row r="456">
      <c r="T456" s="65"/>
    </row>
    <row r="457">
      <c r="T457" s="65"/>
    </row>
    <row r="458">
      <c r="T458" s="65"/>
    </row>
    <row r="459">
      <c r="T459" s="65"/>
    </row>
    <row r="460">
      <c r="T460" s="65"/>
    </row>
    <row r="461">
      <c r="T461" s="65"/>
    </row>
    <row r="462">
      <c r="T462" s="65"/>
    </row>
    <row r="463">
      <c r="T463" s="65"/>
    </row>
    <row r="464">
      <c r="T464" s="65"/>
    </row>
    <row r="465">
      <c r="T465" s="65"/>
    </row>
    <row r="466">
      <c r="T466" s="65"/>
    </row>
    <row r="467">
      <c r="T467" s="65"/>
    </row>
    <row r="468">
      <c r="T468" s="65"/>
    </row>
    <row r="469">
      <c r="T469" s="65"/>
    </row>
    <row r="470">
      <c r="T470" s="65"/>
    </row>
    <row r="471">
      <c r="T471" s="65"/>
    </row>
    <row r="472">
      <c r="T472" s="65"/>
    </row>
    <row r="473">
      <c r="T473" s="65"/>
    </row>
    <row r="474">
      <c r="T474" s="65"/>
    </row>
    <row r="475">
      <c r="T475" s="65"/>
    </row>
    <row r="476">
      <c r="T476" s="65"/>
    </row>
    <row r="477">
      <c r="T477" s="65"/>
    </row>
    <row r="478">
      <c r="T478" s="65"/>
    </row>
    <row r="479">
      <c r="T479" s="65"/>
    </row>
    <row r="480">
      <c r="T480" s="65"/>
    </row>
    <row r="481">
      <c r="T481" s="65"/>
    </row>
    <row r="482">
      <c r="T482" s="65"/>
    </row>
    <row r="483">
      <c r="T483" s="65"/>
    </row>
    <row r="484">
      <c r="T484" s="65"/>
    </row>
    <row r="485">
      <c r="T485" s="65"/>
    </row>
    <row r="486">
      <c r="T486" s="65"/>
    </row>
    <row r="487">
      <c r="T487" s="65"/>
    </row>
    <row r="488">
      <c r="T488" s="65"/>
    </row>
    <row r="489">
      <c r="T489" s="65"/>
    </row>
    <row r="490">
      <c r="T490" s="65"/>
    </row>
    <row r="491">
      <c r="T491" s="65"/>
    </row>
    <row r="492">
      <c r="T492" s="65"/>
    </row>
    <row r="493">
      <c r="T493" s="65"/>
    </row>
    <row r="494">
      <c r="T494" s="65"/>
    </row>
    <row r="495">
      <c r="T495" s="65"/>
    </row>
    <row r="496">
      <c r="T496" s="65"/>
    </row>
    <row r="497">
      <c r="T497" s="65"/>
    </row>
    <row r="498">
      <c r="T498" s="65"/>
    </row>
    <row r="499">
      <c r="T499" s="65"/>
    </row>
    <row r="500">
      <c r="T500" s="65"/>
    </row>
    <row r="501">
      <c r="T501" s="65"/>
    </row>
    <row r="502">
      <c r="T502" s="65"/>
    </row>
    <row r="503">
      <c r="T503" s="65"/>
    </row>
    <row r="504">
      <c r="T504" s="65"/>
    </row>
    <row r="505">
      <c r="T505" s="65"/>
    </row>
    <row r="506">
      <c r="T506" s="65"/>
    </row>
    <row r="507">
      <c r="T507" s="65"/>
    </row>
    <row r="508">
      <c r="T508" s="65"/>
    </row>
    <row r="509">
      <c r="T509" s="65"/>
    </row>
    <row r="510">
      <c r="T510" s="65"/>
    </row>
    <row r="511">
      <c r="T511" s="65"/>
    </row>
    <row r="512">
      <c r="T512" s="65"/>
    </row>
    <row r="513">
      <c r="T513" s="65"/>
    </row>
    <row r="514">
      <c r="T514" s="65"/>
    </row>
    <row r="515">
      <c r="T515" s="65"/>
    </row>
    <row r="516">
      <c r="T516" s="65"/>
    </row>
    <row r="517">
      <c r="T517" s="65"/>
    </row>
    <row r="518">
      <c r="T518" s="65"/>
    </row>
    <row r="519">
      <c r="T519" s="65"/>
    </row>
    <row r="520">
      <c r="T520" s="65"/>
    </row>
    <row r="521">
      <c r="T521" s="65"/>
    </row>
    <row r="522">
      <c r="T522" s="65"/>
    </row>
    <row r="523">
      <c r="T523" s="65"/>
    </row>
    <row r="524">
      <c r="T524" s="65"/>
    </row>
    <row r="525">
      <c r="T525" s="65"/>
    </row>
    <row r="526">
      <c r="T526" s="65"/>
    </row>
    <row r="527">
      <c r="T527" s="65"/>
    </row>
    <row r="528">
      <c r="T528" s="65"/>
    </row>
    <row r="529">
      <c r="T529" s="65"/>
    </row>
    <row r="530">
      <c r="T530" s="65"/>
    </row>
    <row r="531">
      <c r="T531" s="65"/>
    </row>
    <row r="532">
      <c r="T532" s="65"/>
    </row>
    <row r="533">
      <c r="T533" s="65"/>
    </row>
    <row r="534">
      <c r="T534" s="65"/>
    </row>
    <row r="535">
      <c r="T535" s="65"/>
    </row>
    <row r="536">
      <c r="T536" s="65"/>
    </row>
    <row r="537">
      <c r="T537" s="65"/>
    </row>
    <row r="538">
      <c r="T538" s="65"/>
    </row>
    <row r="539">
      <c r="T539" s="65"/>
    </row>
    <row r="540">
      <c r="T540" s="65"/>
    </row>
    <row r="541">
      <c r="T541" s="65"/>
    </row>
    <row r="542">
      <c r="T542" s="65"/>
    </row>
    <row r="543">
      <c r="T543" s="65"/>
    </row>
    <row r="544">
      <c r="T544" s="65"/>
    </row>
    <row r="545">
      <c r="T545" s="65"/>
    </row>
    <row r="546">
      <c r="T546" s="65"/>
    </row>
    <row r="547">
      <c r="T547" s="65"/>
    </row>
    <row r="548">
      <c r="T548" s="65"/>
    </row>
    <row r="549">
      <c r="T549" s="65"/>
    </row>
    <row r="550">
      <c r="T550" s="65"/>
    </row>
    <row r="551">
      <c r="T551" s="65"/>
    </row>
    <row r="552">
      <c r="T552" s="65"/>
    </row>
    <row r="553">
      <c r="T553" s="65"/>
    </row>
    <row r="554">
      <c r="T554" s="65"/>
    </row>
    <row r="555">
      <c r="T555" s="65"/>
    </row>
    <row r="556">
      <c r="T556" s="65"/>
    </row>
    <row r="557">
      <c r="T557" s="65"/>
    </row>
    <row r="558">
      <c r="T558" s="65"/>
    </row>
    <row r="559">
      <c r="T559" s="65"/>
    </row>
    <row r="560">
      <c r="T560" s="65"/>
    </row>
    <row r="561">
      <c r="T561" s="65"/>
    </row>
    <row r="562">
      <c r="T562" s="65"/>
    </row>
    <row r="563">
      <c r="T563" s="65"/>
    </row>
    <row r="564">
      <c r="T564" s="65"/>
    </row>
    <row r="565">
      <c r="T565" s="65"/>
    </row>
    <row r="566">
      <c r="T566" s="65"/>
    </row>
    <row r="567">
      <c r="T567" s="65"/>
    </row>
    <row r="568">
      <c r="T568" s="65"/>
    </row>
    <row r="569">
      <c r="T569" s="65"/>
    </row>
    <row r="570">
      <c r="T570" s="65"/>
    </row>
    <row r="571">
      <c r="T571" s="65"/>
    </row>
    <row r="572">
      <c r="T572" s="65"/>
    </row>
    <row r="573">
      <c r="T573" s="65"/>
    </row>
    <row r="574">
      <c r="T574" s="65"/>
    </row>
    <row r="575">
      <c r="T575" s="65"/>
    </row>
    <row r="576">
      <c r="T576" s="65"/>
    </row>
    <row r="577">
      <c r="T577" s="65"/>
    </row>
    <row r="578">
      <c r="T578" s="65"/>
    </row>
    <row r="579">
      <c r="T579" s="65"/>
    </row>
    <row r="580">
      <c r="T580" s="65"/>
    </row>
    <row r="581">
      <c r="T581" s="65"/>
    </row>
    <row r="582">
      <c r="T582" s="65"/>
    </row>
    <row r="583">
      <c r="T583" s="65"/>
    </row>
    <row r="584">
      <c r="T584" s="65"/>
    </row>
    <row r="585">
      <c r="T585" s="65"/>
    </row>
    <row r="586">
      <c r="T586" s="65"/>
    </row>
    <row r="587">
      <c r="T587" s="65"/>
    </row>
    <row r="588">
      <c r="T588" s="65"/>
    </row>
    <row r="589">
      <c r="T589" s="65"/>
    </row>
    <row r="590">
      <c r="T590" s="65"/>
    </row>
    <row r="591">
      <c r="T591" s="65"/>
    </row>
    <row r="592">
      <c r="T592" s="65"/>
    </row>
    <row r="593">
      <c r="T593" s="65"/>
    </row>
    <row r="594">
      <c r="T594" s="65"/>
    </row>
    <row r="595">
      <c r="T595" s="65"/>
    </row>
    <row r="596">
      <c r="T596" s="65"/>
    </row>
    <row r="597">
      <c r="T597" s="65"/>
    </row>
    <row r="598">
      <c r="T598" s="65"/>
    </row>
    <row r="599">
      <c r="T599" s="65"/>
    </row>
    <row r="600">
      <c r="T600" s="65"/>
    </row>
    <row r="601">
      <c r="T601" s="65"/>
    </row>
    <row r="602">
      <c r="T602" s="65"/>
    </row>
    <row r="603">
      <c r="T603" s="65"/>
    </row>
    <row r="604">
      <c r="T604" s="65"/>
    </row>
    <row r="605">
      <c r="T605" s="65"/>
    </row>
    <row r="606">
      <c r="T606" s="65"/>
    </row>
    <row r="607">
      <c r="T607" s="65"/>
    </row>
    <row r="608">
      <c r="T608" s="65"/>
    </row>
    <row r="609">
      <c r="T609" s="65"/>
    </row>
    <row r="610">
      <c r="T610" s="65"/>
    </row>
    <row r="611">
      <c r="T611" s="65"/>
    </row>
    <row r="612">
      <c r="T612" s="65"/>
    </row>
    <row r="613">
      <c r="T613" s="65"/>
    </row>
    <row r="614">
      <c r="T614" s="65"/>
    </row>
    <row r="615">
      <c r="T615" s="65"/>
    </row>
    <row r="616">
      <c r="T616" s="65"/>
    </row>
    <row r="617">
      <c r="T617" s="65"/>
    </row>
    <row r="618">
      <c r="T618" s="65"/>
    </row>
    <row r="619">
      <c r="T619" s="65"/>
    </row>
    <row r="620">
      <c r="T620" s="65"/>
    </row>
    <row r="621">
      <c r="T621" s="65"/>
    </row>
    <row r="622">
      <c r="T622" s="65"/>
    </row>
    <row r="623">
      <c r="T623" s="65"/>
    </row>
    <row r="624">
      <c r="T624" s="65"/>
    </row>
    <row r="625">
      <c r="T625" s="65"/>
    </row>
    <row r="626">
      <c r="T626" s="65"/>
    </row>
    <row r="627">
      <c r="T627" s="65"/>
    </row>
    <row r="628">
      <c r="T628" s="65"/>
    </row>
    <row r="629">
      <c r="T629" s="65"/>
    </row>
    <row r="630">
      <c r="T630" s="65"/>
    </row>
    <row r="631">
      <c r="T631" s="65"/>
    </row>
    <row r="632">
      <c r="T632" s="65"/>
    </row>
    <row r="633">
      <c r="T633" s="65"/>
    </row>
    <row r="634">
      <c r="T634" s="65"/>
    </row>
    <row r="635">
      <c r="T635" s="65"/>
    </row>
    <row r="636">
      <c r="T636" s="65"/>
    </row>
    <row r="637">
      <c r="T637" s="65"/>
    </row>
    <row r="638">
      <c r="T638" s="65"/>
    </row>
    <row r="639">
      <c r="T639" s="65"/>
    </row>
    <row r="640">
      <c r="T640" s="65"/>
    </row>
    <row r="641">
      <c r="T641" s="65"/>
    </row>
    <row r="642">
      <c r="T642" s="65"/>
    </row>
    <row r="643">
      <c r="T643" s="65"/>
    </row>
    <row r="644">
      <c r="T644" s="65"/>
    </row>
    <row r="645">
      <c r="T645" s="65"/>
    </row>
    <row r="646">
      <c r="T646" s="65"/>
    </row>
    <row r="647">
      <c r="T647" s="65"/>
    </row>
    <row r="648">
      <c r="T648" s="65"/>
    </row>
    <row r="649">
      <c r="T649" s="65"/>
    </row>
    <row r="650">
      <c r="T650" s="65"/>
    </row>
    <row r="651">
      <c r="T651" s="65"/>
    </row>
    <row r="652">
      <c r="T652" s="65"/>
    </row>
    <row r="653">
      <c r="T653" s="65"/>
    </row>
    <row r="654">
      <c r="T654" s="65"/>
    </row>
    <row r="655">
      <c r="T655" s="65"/>
    </row>
    <row r="656">
      <c r="T656" s="65"/>
    </row>
    <row r="657">
      <c r="T657" s="65"/>
    </row>
    <row r="658">
      <c r="T658" s="65"/>
    </row>
    <row r="659">
      <c r="T659" s="65"/>
    </row>
    <row r="660">
      <c r="T660" s="65"/>
    </row>
    <row r="661">
      <c r="T661" s="65"/>
    </row>
    <row r="662">
      <c r="T662" s="65"/>
    </row>
    <row r="663">
      <c r="T663" s="65"/>
    </row>
    <row r="664">
      <c r="T664" s="65"/>
    </row>
    <row r="665">
      <c r="T665" s="65"/>
    </row>
    <row r="666">
      <c r="T666" s="65"/>
    </row>
    <row r="667">
      <c r="T667" s="65"/>
    </row>
    <row r="668">
      <c r="T668" s="65"/>
    </row>
    <row r="669">
      <c r="T669" s="65"/>
    </row>
    <row r="670">
      <c r="T670" s="65"/>
    </row>
    <row r="671">
      <c r="T671" s="65"/>
    </row>
    <row r="672">
      <c r="T672" s="65"/>
    </row>
    <row r="673">
      <c r="T673" s="65"/>
    </row>
    <row r="674">
      <c r="T674" s="65"/>
    </row>
    <row r="675">
      <c r="T675" s="65"/>
    </row>
    <row r="676">
      <c r="T676" s="65"/>
    </row>
    <row r="677">
      <c r="T677" s="65"/>
    </row>
    <row r="678">
      <c r="T678" s="65"/>
    </row>
    <row r="679">
      <c r="T679" s="65"/>
    </row>
    <row r="680">
      <c r="T680" s="65"/>
    </row>
    <row r="681">
      <c r="T681" s="65"/>
    </row>
    <row r="682">
      <c r="T682" s="65"/>
    </row>
    <row r="683">
      <c r="T683" s="65"/>
    </row>
    <row r="684">
      <c r="T684" s="65"/>
    </row>
    <row r="685">
      <c r="T685" s="65"/>
    </row>
    <row r="686">
      <c r="T686" s="65"/>
    </row>
    <row r="687">
      <c r="T687" s="65"/>
    </row>
    <row r="688">
      <c r="T688" s="65"/>
    </row>
    <row r="689">
      <c r="T689" s="65"/>
    </row>
    <row r="690">
      <c r="T690" s="65"/>
    </row>
    <row r="691">
      <c r="T691" s="65"/>
    </row>
    <row r="692">
      <c r="T692" s="65"/>
    </row>
    <row r="693">
      <c r="T693" s="65"/>
    </row>
    <row r="694">
      <c r="T694" s="65"/>
    </row>
    <row r="695">
      <c r="T695" s="65"/>
    </row>
    <row r="696">
      <c r="T696" s="65"/>
    </row>
    <row r="697">
      <c r="T697" s="65"/>
    </row>
    <row r="698">
      <c r="T698" s="65"/>
    </row>
    <row r="699">
      <c r="T699" s="65"/>
    </row>
    <row r="700">
      <c r="T700" s="65"/>
    </row>
    <row r="701">
      <c r="T701" s="65"/>
    </row>
    <row r="702">
      <c r="T702" s="65"/>
    </row>
    <row r="703">
      <c r="T703" s="65"/>
    </row>
    <row r="704">
      <c r="T704" s="65"/>
    </row>
    <row r="705">
      <c r="T705" s="65"/>
    </row>
    <row r="706">
      <c r="T706" s="65"/>
    </row>
    <row r="707">
      <c r="T707" s="65"/>
    </row>
    <row r="708">
      <c r="T708" s="65"/>
    </row>
    <row r="709">
      <c r="T709" s="65"/>
    </row>
    <row r="710">
      <c r="T710" s="65"/>
    </row>
    <row r="711">
      <c r="T711" s="65"/>
    </row>
    <row r="712">
      <c r="T712" s="65"/>
    </row>
    <row r="713">
      <c r="T713" s="65"/>
    </row>
    <row r="714">
      <c r="T714" s="65"/>
    </row>
    <row r="715">
      <c r="T715" s="65"/>
    </row>
    <row r="716">
      <c r="T716" s="65"/>
    </row>
    <row r="717">
      <c r="T717" s="65"/>
    </row>
    <row r="718">
      <c r="T718" s="65"/>
    </row>
    <row r="719">
      <c r="T719" s="65"/>
    </row>
    <row r="720">
      <c r="T720" s="65"/>
    </row>
    <row r="721">
      <c r="T721" s="65"/>
    </row>
    <row r="722">
      <c r="T722" s="65"/>
    </row>
    <row r="723">
      <c r="T723" s="65"/>
    </row>
    <row r="724">
      <c r="T724" s="65"/>
    </row>
    <row r="725">
      <c r="T725" s="65"/>
    </row>
    <row r="726">
      <c r="T726" s="65"/>
    </row>
    <row r="727">
      <c r="T727" s="65"/>
    </row>
    <row r="728">
      <c r="T728" s="65"/>
    </row>
    <row r="729">
      <c r="T729" s="65"/>
    </row>
    <row r="730">
      <c r="T730" s="65"/>
    </row>
    <row r="731">
      <c r="T731" s="65"/>
    </row>
    <row r="732">
      <c r="T732" s="65"/>
    </row>
    <row r="733">
      <c r="T733" s="65"/>
    </row>
    <row r="734">
      <c r="T734" s="65"/>
    </row>
    <row r="735">
      <c r="T735" s="65"/>
    </row>
    <row r="736">
      <c r="T736" s="65"/>
    </row>
    <row r="737">
      <c r="T737" s="65"/>
    </row>
    <row r="738">
      <c r="T738" s="65"/>
    </row>
    <row r="739">
      <c r="T739" s="65"/>
    </row>
    <row r="740">
      <c r="T740" s="65"/>
    </row>
    <row r="741">
      <c r="T741" s="65"/>
    </row>
    <row r="742">
      <c r="T742" s="65"/>
    </row>
    <row r="743">
      <c r="T743" s="65"/>
    </row>
    <row r="744">
      <c r="T744" s="65"/>
    </row>
    <row r="745">
      <c r="T745" s="65"/>
    </row>
    <row r="746">
      <c r="T746" s="65"/>
    </row>
    <row r="747">
      <c r="T747" s="65"/>
    </row>
    <row r="748">
      <c r="T748" s="65"/>
    </row>
    <row r="749">
      <c r="T749" s="65"/>
    </row>
    <row r="750">
      <c r="T750" s="65"/>
    </row>
    <row r="751">
      <c r="T751" s="65"/>
    </row>
    <row r="752">
      <c r="T752" s="65"/>
    </row>
    <row r="753">
      <c r="T753" s="65"/>
    </row>
    <row r="754">
      <c r="T754" s="65"/>
    </row>
    <row r="755">
      <c r="T755" s="65"/>
    </row>
    <row r="756">
      <c r="T756" s="65"/>
    </row>
    <row r="757">
      <c r="T757" s="65"/>
    </row>
    <row r="758">
      <c r="T758" s="65"/>
    </row>
    <row r="759">
      <c r="T759" s="65"/>
    </row>
    <row r="760">
      <c r="T760" s="65"/>
    </row>
    <row r="761">
      <c r="T761" s="65"/>
    </row>
    <row r="762">
      <c r="T762" s="65"/>
    </row>
    <row r="763">
      <c r="T763" s="65"/>
    </row>
    <row r="764">
      <c r="T764" s="65"/>
    </row>
    <row r="765">
      <c r="T765" s="65"/>
    </row>
    <row r="766">
      <c r="T766" s="65"/>
    </row>
    <row r="767">
      <c r="T767" s="65"/>
    </row>
    <row r="768">
      <c r="T768" s="65"/>
    </row>
    <row r="769">
      <c r="T769" s="65"/>
    </row>
    <row r="770">
      <c r="T770" s="65"/>
    </row>
    <row r="771">
      <c r="T771" s="65"/>
    </row>
    <row r="772">
      <c r="T772" s="65"/>
    </row>
    <row r="773">
      <c r="T773" s="65"/>
    </row>
    <row r="774">
      <c r="T774" s="65"/>
    </row>
    <row r="775">
      <c r="T775" s="65"/>
    </row>
    <row r="776">
      <c r="T776" s="65"/>
    </row>
    <row r="777">
      <c r="T777" s="65"/>
    </row>
    <row r="778">
      <c r="T778" s="65"/>
    </row>
    <row r="779">
      <c r="T779" s="65"/>
    </row>
    <row r="780">
      <c r="T780" s="65"/>
    </row>
    <row r="781">
      <c r="T781" s="65"/>
    </row>
    <row r="782">
      <c r="T782" s="65"/>
    </row>
    <row r="783">
      <c r="T783" s="65"/>
    </row>
    <row r="784">
      <c r="T784" s="65"/>
    </row>
    <row r="785">
      <c r="T785" s="65"/>
    </row>
    <row r="786">
      <c r="T786" s="65"/>
    </row>
    <row r="787">
      <c r="T787" s="65"/>
    </row>
    <row r="788">
      <c r="T788" s="65"/>
    </row>
    <row r="789">
      <c r="T789" s="65"/>
    </row>
    <row r="790">
      <c r="T790" s="65"/>
    </row>
    <row r="791">
      <c r="T791" s="65"/>
    </row>
    <row r="792">
      <c r="T792" s="65"/>
    </row>
    <row r="793">
      <c r="T793" s="65"/>
    </row>
    <row r="794">
      <c r="T794" s="65"/>
    </row>
    <row r="795">
      <c r="T795" s="65"/>
    </row>
    <row r="796">
      <c r="T796" s="65"/>
    </row>
    <row r="797">
      <c r="T797" s="65"/>
    </row>
    <row r="798">
      <c r="T798" s="65"/>
    </row>
    <row r="799">
      <c r="T799" s="65"/>
    </row>
    <row r="800">
      <c r="T800" s="65"/>
    </row>
    <row r="801">
      <c r="T801" s="65"/>
    </row>
    <row r="802">
      <c r="T802" s="65"/>
    </row>
    <row r="803">
      <c r="T803" s="65"/>
    </row>
    <row r="804">
      <c r="T804" s="65"/>
    </row>
    <row r="805">
      <c r="T805" s="65"/>
    </row>
    <row r="806">
      <c r="T806" s="65"/>
    </row>
    <row r="807">
      <c r="T807" s="65"/>
    </row>
    <row r="808">
      <c r="T808" s="65"/>
    </row>
    <row r="809">
      <c r="T809" s="65"/>
    </row>
    <row r="810">
      <c r="T810" s="65"/>
    </row>
    <row r="811">
      <c r="T811" s="65"/>
    </row>
    <row r="812">
      <c r="T812" s="65"/>
    </row>
    <row r="813">
      <c r="T813" s="65"/>
    </row>
    <row r="814">
      <c r="T814" s="65"/>
    </row>
    <row r="815">
      <c r="T815" s="65"/>
    </row>
    <row r="816">
      <c r="T816" s="65"/>
    </row>
    <row r="817">
      <c r="T817" s="65"/>
    </row>
    <row r="818">
      <c r="T818" s="65"/>
    </row>
    <row r="819">
      <c r="T819" s="65"/>
    </row>
    <row r="820">
      <c r="T820" s="65"/>
    </row>
    <row r="821">
      <c r="T821" s="65"/>
    </row>
    <row r="822">
      <c r="T822" s="65"/>
    </row>
    <row r="823">
      <c r="T823" s="65"/>
    </row>
    <row r="824">
      <c r="T824" s="65"/>
    </row>
    <row r="825">
      <c r="T825" s="65"/>
    </row>
    <row r="826">
      <c r="T826" s="65"/>
    </row>
    <row r="827">
      <c r="T827" s="65"/>
    </row>
    <row r="828">
      <c r="T828" s="65"/>
    </row>
    <row r="829">
      <c r="T829" s="65"/>
    </row>
    <row r="830">
      <c r="T830" s="65"/>
    </row>
    <row r="831">
      <c r="T831" s="65"/>
    </row>
    <row r="832">
      <c r="T832" s="65"/>
    </row>
    <row r="833">
      <c r="T833" s="65"/>
    </row>
    <row r="834">
      <c r="T834" s="65"/>
    </row>
    <row r="835">
      <c r="T835" s="65"/>
    </row>
    <row r="836">
      <c r="T836" s="65"/>
    </row>
    <row r="837">
      <c r="T837" s="65"/>
    </row>
    <row r="838">
      <c r="T838" s="65"/>
    </row>
    <row r="839">
      <c r="T839" s="65"/>
    </row>
    <row r="840">
      <c r="T840" s="65"/>
    </row>
    <row r="841">
      <c r="T841" s="65"/>
    </row>
    <row r="842">
      <c r="T842" s="65"/>
    </row>
    <row r="843">
      <c r="T843" s="65"/>
    </row>
    <row r="844">
      <c r="T844" s="65"/>
    </row>
    <row r="845">
      <c r="T845" s="65"/>
    </row>
    <row r="846">
      <c r="T846" s="65"/>
    </row>
    <row r="847">
      <c r="T847" s="65"/>
    </row>
    <row r="848">
      <c r="T848" s="65"/>
    </row>
    <row r="849">
      <c r="T849" s="65"/>
    </row>
    <row r="850">
      <c r="T850" s="65"/>
    </row>
    <row r="851">
      <c r="T851" s="65"/>
    </row>
    <row r="852">
      <c r="T852" s="65"/>
    </row>
    <row r="853">
      <c r="T853" s="65"/>
    </row>
    <row r="854">
      <c r="T854" s="65"/>
    </row>
    <row r="855">
      <c r="T855" s="65"/>
    </row>
    <row r="856">
      <c r="T856" s="65"/>
    </row>
    <row r="857">
      <c r="T857" s="65"/>
    </row>
    <row r="858">
      <c r="T858" s="65"/>
    </row>
    <row r="859">
      <c r="T859" s="65"/>
    </row>
    <row r="860">
      <c r="T860" s="65"/>
    </row>
    <row r="861">
      <c r="T861" s="65"/>
    </row>
    <row r="862">
      <c r="T862" s="65"/>
    </row>
    <row r="863">
      <c r="T863" s="65"/>
    </row>
    <row r="864">
      <c r="T864" s="65"/>
    </row>
    <row r="865">
      <c r="T865" s="65"/>
    </row>
    <row r="866">
      <c r="T866" s="65"/>
    </row>
    <row r="867">
      <c r="T867" s="65"/>
    </row>
    <row r="868">
      <c r="T868" s="65"/>
    </row>
    <row r="869">
      <c r="T869" s="65"/>
    </row>
    <row r="870">
      <c r="T870" s="65"/>
    </row>
    <row r="871">
      <c r="T871" s="65"/>
    </row>
    <row r="872">
      <c r="T872" s="65"/>
    </row>
    <row r="873">
      <c r="T873" s="65"/>
    </row>
    <row r="874">
      <c r="T874" s="65"/>
    </row>
    <row r="875">
      <c r="T875" s="65"/>
    </row>
    <row r="876">
      <c r="T876" s="65"/>
    </row>
    <row r="877">
      <c r="T877" s="65"/>
    </row>
    <row r="878">
      <c r="T878" s="65"/>
    </row>
    <row r="879">
      <c r="T879" s="65"/>
    </row>
    <row r="880">
      <c r="T880" s="65"/>
    </row>
    <row r="881">
      <c r="T881" s="65"/>
    </row>
    <row r="882">
      <c r="T882" s="65"/>
    </row>
    <row r="883">
      <c r="T883" s="65"/>
    </row>
    <row r="884">
      <c r="T884" s="65"/>
    </row>
    <row r="885">
      <c r="T885" s="65"/>
    </row>
    <row r="886">
      <c r="T886" s="65"/>
    </row>
    <row r="887">
      <c r="T887" s="65"/>
    </row>
    <row r="888">
      <c r="T888" s="65"/>
    </row>
    <row r="889">
      <c r="T889" s="65"/>
    </row>
    <row r="890">
      <c r="T890" s="65"/>
    </row>
    <row r="891">
      <c r="T891" s="65"/>
    </row>
    <row r="892">
      <c r="T892" s="65"/>
    </row>
    <row r="893">
      <c r="T893" s="65"/>
    </row>
    <row r="894">
      <c r="T894" s="65"/>
    </row>
    <row r="895">
      <c r="T895" s="65"/>
    </row>
    <row r="896">
      <c r="T896" s="65"/>
    </row>
    <row r="897">
      <c r="T897" s="65"/>
    </row>
    <row r="898">
      <c r="T898" s="65"/>
    </row>
    <row r="899">
      <c r="T899" s="65"/>
    </row>
    <row r="900">
      <c r="T900" s="65"/>
    </row>
    <row r="901">
      <c r="T901" s="65"/>
    </row>
    <row r="902">
      <c r="T902" s="65"/>
    </row>
    <row r="903">
      <c r="T903" s="65"/>
    </row>
    <row r="904">
      <c r="T904" s="65"/>
    </row>
    <row r="905">
      <c r="T905" s="65"/>
    </row>
    <row r="906">
      <c r="T906" s="65"/>
    </row>
    <row r="907">
      <c r="T907" s="65"/>
    </row>
    <row r="908">
      <c r="T908" s="65"/>
    </row>
    <row r="909">
      <c r="T909" s="65"/>
    </row>
    <row r="910">
      <c r="T910" s="65"/>
    </row>
    <row r="911">
      <c r="T911" s="65"/>
    </row>
    <row r="912">
      <c r="T912" s="65"/>
    </row>
    <row r="913">
      <c r="T913" s="65"/>
    </row>
    <row r="914">
      <c r="T914" s="65"/>
    </row>
    <row r="915">
      <c r="T915" s="65"/>
    </row>
    <row r="916">
      <c r="T916" s="65"/>
    </row>
    <row r="917">
      <c r="T917" s="65"/>
    </row>
    <row r="918">
      <c r="T918" s="65"/>
    </row>
    <row r="919">
      <c r="T919" s="65"/>
    </row>
    <row r="920">
      <c r="T920" s="65"/>
    </row>
    <row r="921">
      <c r="T921" s="65"/>
    </row>
    <row r="922">
      <c r="T922" s="65"/>
    </row>
    <row r="923">
      <c r="T923" s="65"/>
    </row>
    <row r="924">
      <c r="T924" s="65"/>
    </row>
    <row r="925">
      <c r="T925" s="65"/>
    </row>
    <row r="926">
      <c r="T926" s="65"/>
    </row>
    <row r="927">
      <c r="T927" s="65"/>
    </row>
    <row r="928">
      <c r="T928" s="65"/>
    </row>
    <row r="929">
      <c r="T929" s="65"/>
    </row>
    <row r="930">
      <c r="T930" s="65"/>
    </row>
    <row r="931">
      <c r="T931" s="65"/>
    </row>
    <row r="932">
      <c r="T932" s="65"/>
    </row>
    <row r="933">
      <c r="T933" s="65"/>
    </row>
    <row r="934">
      <c r="T934" s="65"/>
    </row>
    <row r="935">
      <c r="T935" s="65"/>
    </row>
    <row r="936">
      <c r="T936" s="65"/>
    </row>
    <row r="937">
      <c r="T937" s="65"/>
    </row>
    <row r="938">
      <c r="T938" s="65"/>
    </row>
    <row r="939">
      <c r="T939" s="65"/>
    </row>
    <row r="940">
      <c r="T940" s="65"/>
    </row>
    <row r="941">
      <c r="T941" s="65"/>
    </row>
    <row r="942">
      <c r="T942" s="65"/>
    </row>
    <row r="943">
      <c r="T943" s="65"/>
    </row>
    <row r="944">
      <c r="T944" s="65"/>
    </row>
    <row r="945">
      <c r="T945" s="65"/>
    </row>
    <row r="946">
      <c r="T946" s="65"/>
    </row>
    <row r="947">
      <c r="T947" s="65"/>
    </row>
    <row r="948">
      <c r="T948" s="65"/>
    </row>
    <row r="949">
      <c r="T949" s="65"/>
    </row>
    <row r="950">
      <c r="T950" s="65"/>
    </row>
    <row r="951">
      <c r="T951" s="65"/>
    </row>
    <row r="952">
      <c r="T952" s="65"/>
    </row>
    <row r="953">
      <c r="T953" s="65"/>
    </row>
    <row r="954">
      <c r="T954" s="65"/>
    </row>
    <row r="955">
      <c r="T955" s="65"/>
    </row>
    <row r="956">
      <c r="T956" s="65"/>
    </row>
    <row r="957">
      <c r="T957" s="65"/>
    </row>
    <row r="958">
      <c r="T958" s="65"/>
    </row>
    <row r="959">
      <c r="T959" s="65"/>
    </row>
    <row r="960">
      <c r="T960" s="65"/>
    </row>
    <row r="961">
      <c r="T961" s="65"/>
    </row>
    <row r="962">
      <c r="T962" s="65"/>
    </row>
    <row r="963">
      <c r="T963" s="65"/>
    </row>
    <row r="964">
      <c r="T964" s="65"/>
    </row>
    <row r="965">
      <c r="T965" s="65"/>
    </row>
    <row r="966">
      <c r="T966" s="65"/>
    </row>
    <row r="967">
      <c r="T967" s="65"/>
    </row>
    <row r="968">
      <c r="T968" s="65"/>
    </row>
    <row r="969">
      <c r="T969" s="65"/>
    </row>
    <row r="970">
      <c r="T970" s="65"/>
    </row>
    <row r="971">
      <c r="T971" s="65"/>
    </row>
    <row r="972">
      <c r="T972" s="65"/>
    </row>
    <row r="973">
      <c r="T973" s="65"/>
    </row>
    <row r="974">
      <c r="T974" s="65"/>
    </row>
    <row r="975">
      <c r="T975" s="65"/>
    </row>
    <row r="976">
      <c r="T976" s="65"/>
    </row>
    <row r="977">
      <c r="T977" s="65"/>
    </row>
    <row r="978">
      <c r="T978" s="65"/>
    </row>
    <row r="979">
      <c r="T979" s="65"/>
    </row>
    <row r="980">
      <c r="T980" s="65"/>
    </row>
    <row r="981">
      <c r="T981" s="65"/>
    </row>
    <row r="982">
      <c r="T982" s="65"/>
    </row>
    <row r="983">
      <c r="T983" s="65"/>
    </row>
    <row r="984">
      <c r="T984" s="65"/>
    </row>
    <row r="985">
      <c r="T985" s="65"/>
    </row>
    <row r="986">
      <c r="T986" s="65"/>
    </row>
    <row r="987">
      <c r="T987" s="65"/>
    </row>
    <row r="988">
      <c r="T988" s="65"/>
    </row>
    <row r="989">
      <c r="T989" s="65"/>
    </row>
    <row r="990">
      <c r="T990" s="65"/>
    </row>
    <row r="991">
      <c r="T991" s="65"/>
    </row>
    <row r="992">
      <c r="T992" s="65"/>
    </row>
    <row r="993">
      <c r="T993" s="65"/>
    </row>
    <row r="994">
      <c r="T994" s="65"/>
    </row>
    <row r="995">
      <c r="T995" s="65"/>
    </row>
    <row r="996">
      <c r="T996" s="65"/>
    </row>
    <row r="997">
      <c r="T997" s="65"/>
    </row>
    <row r="998">
      <c r="T998" s="65"/>
    </row>
    <row r="999">
      <c r="T999" s="65"/>
    </row>
    <row r="1000">
      <c r="T1000" s="65"/>
    </row>
  </sheetData>
  <mergeCells count="10">
    <mergeCell ref="A34:A45"/>
    <mergeCell ref="A46:A51"/>
    <mergeCell ref="A53:A67"/>
    <mergeCell ref="A1:A2"/>
    <mergeCell ref="B1:B2"/>
    <mergeCell ref="C1:C2"/>
    <mergeCell ref="D1:D2"/>
    <mergeCell ref="A3:A4"/>
    <mergeCell ref="A5:A17"/>
    <mergeCell ref="A18:A33"/>
  </mergeCells>
  <conditionalFormatting sqref="D3:D67">
    <cfRule type="cellIs" dxfId="4" priority="1" operator="between">
      <formula>"08:00:00"</formula>
      <formula>"07:00:00"</formula>
    </cfRule>
  </conditionalFormatting>
  <conditionalFormatting sqref="D3:D67">
    <cfRule type="cellIs" dxfId="5" priority="2" operator="between">
      <formula>"07:00:00"</formula>
      <formula>"00:00:01"</formula>
    </cfRule>
  </conditionalFormatting>
  <conditionalFormatting sqref="D3:D67">
    <cfRule type="containsText" dxfId="6" priority="3" operator="containsText" text="Leave">
      <formula>NOT(ISERROR(SEARCH(("Leave"),(D3))))</formula>
    </cfRule>
  </conditionalFormatting>
  <conditionalFormatting sqref="E3:AI67">
    <cfRule type="notContainsText" dxfId="8" priority="4" operator="notContains" text="0">
      <formula>ISERROR(SEARCH(("0"),(E3)))</formula>
    </cfRule>
  </conditionalFormatting>
  <conditionalFormatting sqref="D3:AI67">
    <cfRule type="cellIs" dxfId="2" priority="5" operator="greaterThanOrEqual">
      <formula>"08:45:00"</formula>
    </cfRule>
  </conditionalFormatting>
  <conditionalFormatting sqref="D3:AI67">
    <cfRule type="cellIs" dxfId="3" priority="6" operator="between">
      <formula>"08:44:00"</formula>
      <formula>"08:00:00"</formula>
    </cfRule>
  </conditionalFormatting>
  <conditionalFormatting sqref="E3:AI67">
    <cfRule type="cellIs" dxfId="9" priority="7" operator="between">
      <formula>"07:59:00"</formula>
      <formula>"07:00:00"</formula>
    </cfRule>
  </conditionalFormatting>
  <conditionalFormatting sqref="E3:AI67">
    <cfRule type="cellIs" dxfId="5" priority="8" operator="between">
      <formula>"06:59:00"</formula>
      <formula>"00:00:01"</formula>
    </cfRule>
  </conditionalFormatting>
  <conditionalFormatting sqref="E3:AI67">
    <cfRule type="notContainsBlanks" dxfId="10" priority="9">
      <formula>LEN(TRIM(E3))&gt;0</formula>
    </cfRule>
  </conditionalFormatting>
  <conditionalFormatting sqref="E3:AI67">
    <cfRule type="containsText" dxfId="11" priority="10" operator="containsText" text="Leave">
      <formula>NOT(ISERROR(SEARCH(("Leave"),(E3))))</formula>
    </cfRule>
  </conditionalFormatting>
  <conditionalFormatting sqref="D3:AI67">
    <cfRule type="notContainsBlanks" dxfId="7" priority="11">
      <formula>LEN(TRIM(D3))&gt;0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63"/>
    <col customWidth="1" min="3" max="3" width="17.88"/>
    <col customWidth="1" min="13" max="13" width="6.5"/>
    <col customWidth="1" min="14" max="14" width="21.63"/>
    <col customWidth="1" min="19" max="19" width="13.88"/>
  </cols>
  <sheetData>
    <row r="1">
      <c r="A1" s="67"/>
      <c r="B1" s="68"/>
      <c r="C1" s="69" t="s">
        <v>345</v>
      </c>
      <c r="D1" s="68"/>
      <c r="E1" s="68"/>
      <c r="F1" s="68"/>
      <c r="G1" s="68"/>
      <c r="H1" s="68"/>
      <c r="I1" s="68"/>
      <c r="J1" s="68"/>
      <c r="K1" s="70"/>
      <c r="M1" s="170" t="s">
        <v>346</v>
      </c>
      <c r="N1" s="171"/>
      <c r="O1" s="171"/>
      <c r="P1" s="171"/>
      <c r="Q1" s="171"/>
      <c r="R1" s="171"/>
      <c r="S1" s="171"/>
      <c r="T1" s="171"/>
      <c r="U1" s="171"/>
      <c r="V1" s="172"/>
    </row>
    <row r="2">
      <c r="A2" s="173" t="s">
        <v>290</v>
      </c>
      <c r="B2" s="174" t="s">
        <v>2</v>
      </c>
      <c r="C2" s="174" t="s">
        <v>291</v>
      </c>
      <c r="D2" s="173" t="s">
        <v>292</v>
      </c>
      <c r="E2" s="173" t="s">
        <v>293</v>
      </c>
      <c r="F2" s="173" t="s">
        <v>294</v>
      </c>
      <c r="G2" s="175" t="s">
        <v>347</v>
      </c>
      <c r="H2" s="173" t="s">
        <v>296</v>
      </c>
      <c r="I2" s="176" t="s">
        <v>297</v>
      </c>
      <c r="J2" s="176" t="s">
        <v>298</v>
      </c>
      <c r="K2" s="177" t="s">
        <v>348</v>
      </c>
      <c r="M2" s="178" t="s">
        <v>290</v>
      </c>
      <c r="N2" s="178" t="s">
        <v>2</v>
      </c>
      <c r="O2" s="179" t="s">
        <v>349</v>
      </c>
      <c r="P2" s="179" t="s">
        <v>350</v>
      </c>
      <c r="Q2" s="179" t="s">
        <v>351</v>
      </c>
      <c r="R2" s="179" t="s">
        <v>352</v>
      </c>
      <c r="S2" s="179" t="s">
        <v>353</v>
      </c>
      <c r="T2" s="179" t="s">
        <v>354</v>
      </c>
      <c r="U2" s="178" t="s">
        <v>297</v>
      </c>
      <c r="V2" s="178" t="s">
        <v>298</v>
      </c>
    </row>
    <row r="3">
      <c r="A3" s="80">
        <v>1.0</v>
      </c>
      <c r="B3" s="78" t="s">
        <v>26</v>
      </c>
      <c r="C3" s="80" t="s">
        <v>305</v>
      </c>
      <c r="D3" s="80">
        <v>20.0</v>
      </c>
      <c r="E3" s="81"/>
      <c r="F3" s="80"/>
      <c r="G3" s="82"/>
      <c r="H3" s="83"/>
      <c r="I3" s="87">
        <v>7.5</v>
      </c>
      <c r="J3" s="85"/>
      <c r="K3" s="82"/>
      <c r="M3" s="80">
        <v>1.0</v>
      </c>
      <c r="N3" s="93" t="s">
        <v>246</v>
      </c>
      <c r="O3" s="80" t="s">
        <v>355</v>
      </c>
      <c r="P3" s="80">
        <v>15.0</v>
      </c>
      <c r="Q3" s="180">
        <f t="shared" ref="Q3:Q5" si="1">P3-(R3+S3)</f>
        <v>12</v>
      </c>
      <c r="R3" s="180">
        <v>2.0</v>
      </c>
      <c r="S3" s="181">
        <v>1.0</v>
      </c>
      <c r="T3" s="182">
        <v>4.5</v>
      </c>
      <c r="U3" s="95">
        <v>4.070138888888889</v>
      </c>
      <c r="V3" s="95">
        <f t="shared" ref="V3:V19" si="2">U3-T3</f>
        <v>-0.4298611111</v>
      </c>
    </row>
    <row r="4">
      <c r="A4" s="79">
        <v>2.0</v>
      </c>
      <c r="B4" s="86" t="s">
        <v>356</v>
      </c>
      <c r="C4" s="79" t="s">
        <v>301</v>
      </c>
      <c r="D4" s="80">
        <v>20.0</v>
      </c>
      <c r="E4" s="82">
        <v>12.0</v>
      </c>
      <c r="F4" s="80">
        <v>4.0</v>
      </c>
      <c r="G4" s="82">
        <v>2.0</v>
      </c>
      <c r="H4" s="89">
        <v>4.25</v>
      </c>
      <c r="I4" s="84">
        <v>4.430555555555555</v>
      </c>
      <c r="J4" s="88">
        <f t="shared" ref="J4:J37" si="3">I4-H4</f>
        <v>0.1805555556</v>
      </c>
      <c r="K4" s="82">
        <v>10.0</v>
      </c>
      <c r="M4" s="80">
        <v>2.0</v>
      </c>
      <c r="N4" s="98" t="s">
        <v>216</v>
      </c>
      <c r="O4" s="80" t="s">
        <v>355</v>
      </c>
      <c r="P4" s="80">
        <v>15.0</v>
      </c>
      <c r="Q4" s="180">
        <f t="shared" si="1"/>
        <v>9</v>
      </c>
      <c r="R4" s="180">
        <v>5.0</v>
      </c>
      <c r="S4" s="181">
        <v>1.0</v>
      </c>
      <c r="T4" s="182">
        <v>3.375</v>
      </c>
      <c r="U4" s="95">
        <v>3.084722222222222</v>
      </c>
      <c r="V4" s="85">
        <f t="shared" si="2"/>
        <v>-0.2902777778</v>
      </c>
    </row>
    <row r="5">
      <c r="A5" s="79">
        <v>3.0</v>
      </c>
      <c r="B5" s="86" t="s">
        <v>78</v>
      </c>
      <c r="C5" s="80" t="s">
        <v>303</v>
      </c>
      <c r="D5" s="80">
        <v>20.0</v>
      </c>
      <c r="E5" s="81">
        <f t="shared" ref="E5:E63" si="4">D5-K5</f>
        <v>20</v>
      </c>
      <c r="F5" s="80">
        <v>4.0</v>
      </c>
      <c r="G5" s="82">
        <v>4.0</v>
      </c>
      <c r="H5" s="89">
        <v>6.729166666666667</v>
      </c>
      <c r="I5" s="84">
        <v>6.3395833333333345</v>
      </c>
      <c r="J5" s="88">
        <f t="shared" si="3"/>
        <v>-0.3895833333</v>
      </c>
      <c r="K5" s="97">
        <v>0.0</v>
      </c>
      <c r="M5" s="80">
        <v>3.0</v>
      </c>
      <c r="N5" s="86" t="s">
        <v>32</v>
      </c>
      <c r="O5" s="80" t="s">
        <v>357</v>
      </c>
      <c r="P5" s="80">
        <v>15.0</v>
      </c>
      <c r="Q5" s="180">
        <f t="shared" si="1"/>
        <v>11</v>
      </c>
      <c r="R5" s="180">
        <v>2.0</v>
      </c>
      <c r="S5" s="181">
        <v>2.0</v>
      </c>
      <c r="T5" s="182">
        <v>4.125</v>
      </c>
      <c r="U5" s="95">
        <v>3.4819444444444443</v>
      </c>
      <c r="V5" s="85">
        <f t="shared" si="2"/>
        <v>-0.6430555556</v>
      </c>
    </row>
    <row r="6">
      <c r="A6" s="80">
        <v>4.0</v>
      </c>
      <c r="B6" s="86" t="s">
        <v>132</v>
      </c>
      <c r="C6" s="80" t="s">
        <v>303</v>
      </c>
      <c r="D6" s="80">
        <v>20.0</v>
      </c>
      <c r="E6" s="81">
        <f t="shared" si="4"/>
        <v>18</v>
      </c>
      <c r="F6" s="80">
        <v>4.0</v>
      </c>
      <c r="G6" s="82">
        <v>3.0</v>
      </c>
      <c r="H6" s="89">
        <v>6.729166666666667</v>
      </c>
      <c r="I6" s="84">
        <v>0.0</v>
      </c>
      <c r="J6" s="85">
        <f t="shared" si="3"/>
        <v>-6.729166667</v>
      </c>
      <c r="K6" s="82">
        <v>2.0</v>
      </c>
      <c r="M6" s="80">
        <v>4.0</v>
      </c>
      <c r="N6" s="93" t="s">
        <v>213</v>
      </c>
      <c r="O6" s="80" t="s">
        <v>357</v>
      </c>
      <c r="P6" s="80">
        <v>15.0</v>
      </c>
      <c r="Q6" s="180">
        <v>10.0</v>
      </c>
      <c r="R6" s="180">
        <v>2.0</v>
      </c>
      <c r="S6" s="181" t="s">
        <v>358</v>
      </c>
      <c r="T6" s="182">
        <v>3.75</v>
      </c>
      <c r="U6" s="95">
        <v>2.857638888888889</v>
      </c>
      <c r="V6" s="85">
        <f t="shared" si="2"/>
        <v>-0.8923611111</v>
      </c>
    </row>
    <row r="7">
      <c r="A7" s="79">
        <v>5.0</v>
      </c>
      <c r="B7" s="86" t="s">
        <v>99</v>
      </c>
      <c r="C7" s="80" t="s">
        <v>305</v>
      </c>
      <c r="D7" s="80">
        <v>20.0</v>
      </c>
      <c r="E7" s="81">
        <f t="shared" si="4"/>
        <v>19</v>
      </c>
      <c r="F7" s="80">
        <v>4.0</v>
      </c>
      <c r="G7" s="82">
        <v>3.0</v>
      </c>
      <c r="H7" s="89">
        <v>6.375</v>
      </c>
      <c r="I7" s="84">
        <v>6.390277777777778</v>
      </c>
      <c r="J7" s="85">
        <f t="shared" si="3"/>
        <v>0.01527777778</v>
      </c>
      <c r="K7" s="82">
        <v>1.0</v>
      </c>
      <c r="M7" s="80">
        <v>5.0</v>
      </c>
      <c r="N7" s="100" t="s">
        <v>54</v>
      </c>
      <c r="O7" s="80" t="s">
        <v>357</v>
      </c>
      <c r="P7" s="80">
        <v>15.0</v>
      </c>
      <c r="Q7" s="180">
        <f t="shared" ref="Q7:Q15" si="5">P7-(R7+S7)</f>
        <v>12</v>
      </c>
      <c r="R7" s="180">
        <v>2.0</v>
      </c>
      <c r="S7" s="181">
        <v>1.0</v>
      </c>
      <c r="T7" s="182">
        <v>4.5</v>
      </c>
      <c r="U7" s="95">
        <v>4.247916666666667</v>
      </c>
      <c r="V7" s="88">
        <f t="shared" si="2"/>
        <v>-0.2520833333</v>
      </c>
    </row>
    <row r="8">
      <c r="A8" s="79">
        <v>6.0</v>
      </c>
      <c r="B8" s="93" t="s">
        <v>93</v>
      </c>
      <c r="C8" s="80" t="s">
        <v>303</v>
      </c>
      <c r="D8" s="80">
        <v>20.0</v>
      </c>
      <c r="E8" s="81">
        <f t="shared" si="4"/>
        <v>20</v>
      </c>
      <c r="F8" s="80">
        <v>4.0</v>
      </c>
      <c r="G8" s="82">
        <v>3.0</v>
      </c>
      <c r="H8" s="94">
        <v>6.729166666666667</v>
      </c>
      <c r="I8" s="84">
        <v>6.921527777777779</v>
      </c>
      <c r="J8" s="95">
        <f t="shared" si="3"/>
        <v>0.1923611111</v>
      </c>
      <c r="K8" s="97">
        <v>0.0</v>
      </c>
      <c r="M8" s="80">
        <v>6.0</v>
      </c>
      <c r="N8" s="100" t="s">
        <v>159</v>
      </c>
      <c r="O8" s="80" t="s">
        <v>357</v>
      </c>
      <c r="P8" s="80">
        <v>15.0</v>
      </c>
      <c r="Q8" s="180">
        <f t="shared" si="5"/>
        <v>12</v>
      </c>
      <c r="R8" s="180">
        <v>2.0</v>
      </c>
      <c r="S8" s="181">
        <v>1.0</v>
      </c>
      <c r="T8" s="182">
        <v>4.5</v>
      </c>
      <c r="U8" s="95">
        <v>4.238194444444445</v>
      </c>
      <c r="V8" s="85">
        <f t="shared" si="2"/>
        <v>-0.2618055556</v>
      </c>
    </row>
    <row r="9">
      <c r="A9" s="80">
        <v>7.0</v>
      </c>
      <c r="B9" s="86" t="s">
        <v>135</v>
      </c>
      <c r="C9" s="80" t="s">
        <v>303</v>
      </c>
      <c r="D9" s="80">
        <v>20.0</v>
      </c>
      <c r="E9" s="81">
        <f t="shared" si="4"/>
        <v>19</v>
      </c>
      <c r="F9" s="80">
        <v>4.0</v>
      </c>
      <c r="G9" s="82">
        <v>2.0</v>
      </c>
      <c r="H9" s="89">
        <v>6.375</v>
      </c>
      <c r="I9" s="84">
        <v>6.5159722222222225</v>
      </c>
      <c r="J9" s="85">
        <f t="shared" si="3"/>
        <v>0.1409722222</v>
      </c>
      <c r="K9" s="82">
        <v>1.0</v>
      </c>
      <c r="M9" s="80">
        <v>7.0</v>
      </c>
      <c r="N9" s="93" t="s">
        <v>156</v>
      </c>
      <c r="O9" s="80" t="s">
        <v>357</v>
      </c>
      <c r="P9" s="80">
        <v>15.0</v>
      </c>
      <c r="Q9" s="180">
        <f t="shared" si="5"/>
        <v>13</v>
      </c>
      <c r="R9" s="180">
        <v>2.0</v>
      </c>
      <c r="S9" s="181">
        <v>0.0</v>
      </c>
      <c r="T9" s="182">
        <v>4.875</v>
      </c>
      <c r="U9" s="95">
        <v>5.077083333333333</v>
      </c>
      <c r="V9" s="88">
        <f t="shared" si="2"/>
        <v>0.2020833333</v>
      </c>
    </row>
    <row r="10">
      <c r="A10" s="79">
        <v>8.0</v>
      </c>
      <c r="B10" s="101" t="s">
        <v>177</v>
      </c>
      <c r="C10" s="80" t="s">
        <v>303</v>
      </c>
      <c r="D10" s="80">
        <v>20.0</v>
      </c>
      <c r="E10" s="81">
        <f t="shared" si="4"/>
        <v>20</v>
      </c>
      <c r="F10" s="80">
        <v>4.0</v>
      </c>
      <c r="G10" s="82">
        <v>0.0</v>
      </c>
      <c r="H10" s="89">
        <v>6.729166666666667</v>
      </c>
      <c r="I10" s="84">
        <v>7.1944444444444455</v>
      </c>
      <c r="J10" s="85">
        <f t="shared" si="3"/>
        <v>0.4652777778</v>
      </c>
      <c r="K10" s="97">
        <v>0.0</v>
      </c>
      <c r="M10" s="80">
        <v>8.0</v>
      </c>
      <c r="N10" s="86" t="s">
        <v>359</v>
      </c>
      <c r="O10" s="80" t="s">
        <v>357</v>
      </c>
      <c r="P10" s="80">
        <v>15.0</v>
      </c>
      <c r="Q10" s="180">
        <f t="shared" si="5"/>
        <v>12</v>
      </c>
      <c r="R10" s="180">
        <v>2.0</v>
      </c>
      <c r="S10" s="181">
        <v>1.0</v>
      </c>
      <c r="T10" s="182">
        <v>4.5</v>
      </c>
      <c r="U10" s="95">
        <v>4.5458333333333325</v>
      </c>
      <c r="V10" s="88">
        <f t="shared" si="2"/>
        <v>0.04583333333</v>
      </c>
    </row>
    <row r="11">
      <c r="A11" s="79">
        <v>9.0</v>
      </c>
      <c r="B11" s="86" t="s">
        <v>360</v>
      </c>
      <c r="C11" s="80" t="s">
        <v>303</v>
      </c>
      <c r="D11" s="80">
        <v>20.0</v>
      </c>
      <c r="E11" s="81">
        <f t="shared" si="4"/>
        <v>20</v>
      </c>
      <c r="F11" s="80">
        <v>4.0</v>
      </c>
      <c r="G11" s="82">
        <v>6.0</v>
      </c>
      <c r="H11" s="89">
        <v>6.729166666666667</v>
      </c>
      <c r="I11" s="84">
        <v>6.888888888888888</v>
      </c>
      <c r="J11" s="88">
        <f t="shared" si="3"/>
        <v>0.1597222222</v>
      </c>
      <c r="K11" s="97">
        <v>0.0</v>
      </c>
      <c r="M11" s="80">
        <v>9.0</v>
      </c>
      <c r="N11" s="91" t="s">
        <v>279</v>
      </c>
      <c r="O11" s="80" t="s">
        <v>361</v>
      </c>
      <c r="P11" s="80">
        <v>15.0</v>
      </c>
      <c r="Q11" s="180">
        <f t="shared" si="5"/>
        <v>13</v>
      </c>
      <c r="R11" s="180">
        <v>2.0</v>
      </c>
      <c r="S11" s="181">
        <v>0.0</v>
      </c>
      <c r="T11" s="182">
        <v>4.875</v>
      </c>
      <c r="U11" s="95">
        <v>4.6</v>
      </c>
      <c r="V11" s="85">
        <f t="shared" si="2"/>
        <v>-0.275</v>
      </c>
    </row>
    <row r="12">
      <c r="A12" s="80">
        <v>10.0</v>
      </c>
      <c r="B12" s="98" t="s">
        <v>186</v>
      </c>
      <c r="C12" s="80" t="s">
        <v>303</v>
      </c>
      <c r="D12" s="80">
        <v>20.0</v>
      </c>
      <c r="E12" s="81">
        <f t="shared" si="4"/>
        <v>19</v>
      </c>
      <c r="F12" s="80">
        <v>4.0</v>
      </c>
      <c r="G12" s="82">
        <v>5.0</v>
      </c>
      <c r="H12" s="89">
        <v>6.375</v>
      </c>
      <c r="I12" s="84">
        <v>7.011805555555556</v>
      </c>
      <c r="J12" s="85">
        <f t="shared" si="3"/>
        <v>0.6368055556</v>
      </c>
      <c r="K12" s="82">
        <v>1.0</v>
      </c>
      <c r="M12" s="80">
        <v>10.0</v>
      </c>
      <c r="N12" s="86" t="s">
        <v>362</v>
      </c>
      <c r="O12" s="80" t="s">
        <v>361</v>
      </c>
      <c r="P12" s="80">
        <v>15.0</v>
      </c>
      <c r="Q12" s="180">
        <f t="shared" si="5"/>
        <v>12</v>
      </c>
      <c r="R12" s="180">
        <v>2.0</v>
      </c>
      <c r="S12" s="181">
        <v>1.0</v>
      </c>
      <c r="T12" s="182">
        <v>4.5</v>
      </c>
      <c r="U12" s="95">
        <v>4.704166666666667</v>
      </c>
      <c r="V12" s="85">
        <f t="shared" si="2"/>
        <v>0.2041666667</v>
      </c>
    </row>
    <row r="13">
      <c r="A13" s="79">
        <v>11.0</v>
      </c>
      <c r="B13" s="183" t="s">
        <v>363</v>
      </c>
      <c r="C13" s="79" t="s">
        <v>302</v>
      </c>
      <c r="D13" s="80">
        <v>20.0</v>
      </c>
      <c r="E13" s="81">
        <f t="shared" si="4"/>
        <v>20</v>
      </c>
      <c r="F13" s="80">
        <v>4.0</v>
      </c>
      <c r="G13" s="82">
        <v>4.0</v>
      </c>
      <c r="H13" s="89">
        <v>6.729166666666667</v>
      </c>
      <c r="I13" s="84">
        <v>6.309027777777778</v>
      </c>
      <c r="J13" s="85">
        <f t="shared" si="3"/>
        <v>-0.4201388889</v>
      </c>
      <c r="K13" s="97">
        <v>0.0</v>
      </c>
      <c r="M13" s="80">
        <v>11.0</v>
      </c>
      <c r="N13" s="86" t="s">
        <v>201</v>
      </c>
      <c r="O13" s="80" t="s">
        <v>361</v>
      </c>
      <c r="P13" s="80">
        <v>15.0</v>
      </c>
      <c r="Q13" s="180">
        <f t="shared" si="5"/>
        <v>10.5</v>
      </c>
      <c r="R13" s="180">
        <v>3.0</v>
      </c>
      <c r="S13" s="181">
        <v>1.5</v>
      </c>
      <c r="T13" s="182">
        <v>3.9166666666666665</v>
      </c>
      <c r="U13" s="95">
        <v>3.4229166666666666</v>
      </c>
      <c r="V13" s="85">
        <f t="shared" si="2"/>
        <v>-0.49375</v>
      </c>
    </row>
    <row r="14">
      <c r="A14" s="79">
        <v>12.0</v>
      </c>
      <c r="B14" s="93" t="s">
        <v>364</v>
      </c>
      <c r="C14" s="79" t="s">
        <v>301</v>
      </c>
      <c r="D14" s="80">
        <v>20.0</v>
      </c>
      <c r="E14" s="81">
        <f t="shared" si="4"/>
        <v>17</v>
      </c>
      <c r="F14" s="80">
        <v>4.0</v>
      </c>
      <c r="G14" s="82">
        <v>5.0</v>
      </c>
      <c r="H14" s="89">
        <v>5.666666666666667</v>
      </c>
      <c r="I14" s="84">
        <v>5.557638888888889</v>
      </c>
      <c r="J14" s="85">
        <f t="shared" si="3"/>
        <v>-0.1090277778</v>
      </c>
      <c r="K14" s="82">
        <v>3.0</v>
      </c>
      <c r="M14" s="80">
        <v>12.0</v>
      </c>
      <c r="N14" s="93" t="s">
        <v>324</v>
      </c>
      <c r="O14" s="80" t="s">
        <v>361</v>
      </c>
      <c r="P14" s="80">
        <v>15.0</v>
      </c>
      <c r="Q14" s="180">
        <f t="shared" si="5"/>
        <v>12</v>
      </c>
      <c r="R14" s="180">
        <v>3.0</v>
      </c>
      <c r="S14" s="181">
        <v>0.0</v>
      </c>
      <c r="T14" s="182">
        <v>4.5</v>
      </c>
      <c r="U14" s="95">
        <v>4.030555555555555</v>
      </c>
      <c r="V14" s="85">
        <f t="shared" si="2"/>
        <v>-0.4694444444</v>
      </c>
    </row>
    <row r="15">
      <c r="A15" s="80">
        <v>13.0</v>
      </c>
      <c r="B15" s="93" t="s">
        <v>365</v>
      </c>
      <c r="C15" s="79" t="s">
        <v>303</v>
      </c>
      <c r="D15" s="80">
        <v>20.0</v>
      </c>
      <c r="E15" s="81">
        <f t="shared" si="4"/>
        <v>20</v>
      </c>
      <c r="F15" s="80">
        <v>4.0</v>
      </c>
      <c r="G15" s="82">
        <v>4.0</v>
      </c>
      <c r="H15" s="89">
        <v>6.729166666666667</v>
      </c>
      <c r="I15" s="84">
        <v>6.863194444444445</v>
      </c>
      <c r="J15" s="85">
        <f t="shared" si="3"/>
        <v>0.1340277778</v>
      </c>
      <c r="K15" s="97">
        <v>0.0</v>
      </c>
      <c r="M15" s="80">
        <v>13.0</v>
      </c>
      <c r="N15" s="86" t="s">
        <v>23</v>
      </c>
      <c r="O15" s="80" t="s">
        <v>366</v>
      </c>
      <c r="P15" s="80">
        <v>15.0</v>
      </c>
      <c r="Q15" s="180">
        <f t="shared" si="5"/>
        <v>12</v>
      </c>
      <c r="R15" s="180">
        <v>2.0</v>
      </c>
      <c r="S15" s="181">
        <v>1.0</v>
      </c>
      <c r="T15" s="182">
        <v>4.5</v>
      </c>
      <c r="U15" s="95">
        <v>3.4229166666666666</v>
      </c>
      <c r="V15" s="85">
        <f t="shared" si="2"/>
        <v>-1.077083333</v>
      </c>
    </row>
    <row r="16">
      <c r="A16" s="79">
        <v>14.0</v>
      </c>
      <c r="B16" s="93" t="s">
        <v>198</v>
      </c>
      <c r="C16" s="80" t="s">
        <v>303</v>
      </c>
      <c r="D16" s="80">
        <v>20.0</v>
      </c>
      <c r="E16" s="81">
        <f t="shared" si="4"/>
        <v>19</v>
      </c>
      <c r="F16" s="80">
        <v>4.0</v>
      </c>
      <c r="G16" s="82">
        <v>5.0</v>
      </c>
      <c r="H16" s="89">
        <v>6.375</v>
      </c>
      <c r="I16" s="84">
        <v>6.263888888888889</v>
      </c>
      <c r="J16" s="85">
        <f t="shared" si="3"/>
        <v>-0.1111111111</v>
      </c>
      <c r="K16" s="82">
        <v>1.0</v>
      </c>
      <c r="M16" s="80">
        <v>14.0</v>
      </c>
      <c r="N16" s="100" t="s">
        <v>150</v>
      </c>
      <c r="O16" s="80" t="s">
        <v>366</v>
      </c>
      <c r="P16" s="80">
        <v>15.0</v>
      </c>
      <c r="Q16" s="180">
        <v>8.0</v>
      </c>
      <c r="R16" s="180">
        <v>1.0</v>
      </c>
      <c r="S16" s="181" t="s">
        <v>367</v>
      </c>
      <c r="T16" s="182">
        <v>3.0</v>
      </c>
      <c r="U16" s="95">
        <v>3.2736111111111112</v>
      </c>
      <c r="V16" s="88">
        <f t="shared" si="2"/>
        <v>0.2736111111</v>
      </c>
    </row>
    <row r="17">
      <c r="A17" s="79">
        <v>15.0</v>
      </c>
      <c r="B17" s="93" t="s">
        <v>153</v>
      </c>
      <c r="C17" s="79" t="s">
        <v>304</v>
      </c>
      <c r="D17" s="80">
        <v>20.0</v>
      </c>
      <c r="E17" s="81">
        <f t="shared" si="4"/>
        <v>18</v>
      </c>
      <c r="F17" s="80">
        <v>4.0</v>
      </c>
      <c r="G17" s="82">
        <v>5.0</v>
      </c>
      <c r="H17" s="94">
        <v>6.020833333333333</v>
      </c>
      <c r="I17" s="84">
        <v>6.699305555555556</v>
      </c>
      <c r="J17" s="85">
        <f t="shared" si="3"/>
        <v>0.6784722222</v>
      </c>
      <c r="K17" s="82">
        <v>2.0</v>
      </c>
      <c r="M17" s="80">
        <v>15.0</v>
      </c>
      <c r="N17" s="86" t="s">
        <v>105</v>
      </c>
      <c r="O17" s="80" t="s">
        <v>366</v>
      </c>
      <c r="P17" s="80">
        <v>15.0</v>
      </c>
      <c r="Q17" s="180">
        <f>P17-(R17+S17)</f>
        <v>13</v>
      </c>
      <c r="R17" s="180">
        <v>1.0</v>
      </c>
      <c r="S17" s="181">
        <v>1.0</v>
      </c>
      <c r="T17" s="182">
        <v>4.875</v>
      </c>
      <c r="U17" s="95">
        <v>4.995833333333333</v>
      </c>
      <c r="V17" s="85">
        <f t="shared" si="2"/>
        <v>0.1208333333</v>
      </c>
    </row>
    <row r="18">
      <c r="A18" s="80">
        <v>16.0</v>
      </c>
      <c r="B18" s="86" t="s">
        <v>231</v>
      </c>
      <c r="C18" s="79" t="s">
        <v>304</v>
      </c>
      <c r="D18" s="80">
        <v>20.0</v>
      </c>
      <c r="E18" s="81">
        <f t="shared" si="4"/>
        <v>17</v>
      </c>
      <c r="F18" s="80">
        <v>4.0</v>
      </c>
      <c r="G18" s="82">
        <v>9.0</v>
      </c>
      <c r="H18" s="94">
        <v>5.666666666666667</v>
      </c>
      <c r="I18" s="84">
        <v>5.377083333333334</v>
      </c>
      <c r="J18" s="88">
        <f t="shared" si="3"/>
        <v>-0.2895833333</v>
      </c>
      <c r="K18" s="82">
        <v>3.0</v>
      </c>
      <c r="M18" s="80">
        <v>16.0</v>
      </c>
      <c r="N18" s="93" t="s">
        <v>29</v>
      </c>
      <c r="O18" s="80" t="s">
        <v>366</v>
      </c>
      <c r="P18" s="80">
        <v>15.0</v>
      </c>
      <c r="Q18" s="180">
        <v>3.0</v>
      </c>
      <c r="R18" s="180">
        <v>4.0</v>
      </c>
      <c r="S18" s="181" t="s">
        <v>368</v>
      </c>
      <c r="T18" s="182">
        <v>1.125</v>
      </c>
      <c r="U18" s="95">
        <v>1.0</v>
      </c>
      <c r="V18" s="85">
        <f t="shared" si="2"/>
        <v>-0.125</v>
      </c>
    </row>
    <row r="19">
      <c r="A19" s="79">
        <v>17.0</v>
      </c>
      <c r="B19" s="86" t="s">
        <v>369</v>
      </c>
      <c r="C19" s="79" t="s">
        <v>301</v>
      </c>
      <c r="D19" s="80">
        <v>20.0</v>
      </c>
      <c r="E19" s="81">
        <f t="shared" si="4"/>
        <v>18</v>
      </c>
      <c r="F19" s="80">
        <v>4.0</v>
      </c>
      <c r="G19" s="82">
        <v>5.0</v>
      </c>
      <c r="H19" s="89">
        <v>6.020833333333333</v>
      </c>
      <c r="I19" s="84">
        <v>6.4222222222222225</v>
      </c>
      <c r="J19" s="85">
        <f t="shared" si="3"/>
        <v>0.4013888889</v>
      </c>
      <c r="K19" s="82">
        <v>2.0</v>
      </c>
      <c r="M19" s="80">
        <v>17.0</v>
      </c>
      <c r="N19" s="86" t="s">
        <v>17</v>
      </c>
      <c r="O19" s="80" t="s">
        <v>366</v>
      </c>
      <c r="P19" s="80">
        <v>15.0</v>
      </c>
      <c r="Q19" s="180">
        <f>P19-(R19+S19)</f>
        <v>14</v>
      </c>
      <c r="R19" s="180">
        <v>1.0</v>
      </c>
      <c r="S19" s="181">
        <v>0.0</v>
      </c>
      <c r="T19" s="182">
        <v>5.25</v>
      </c>
      <c r="U19" s="95">
        <v>5.204166666666667</v>
      </c>
      <c r="V19" s="85">
        <f t="shared" si="2"/>
        <v>-0.04583333333</v>
      </c>
    </row>
    <row r="20">
      <c r="A20" s="79">
        <v>18.0</v>
      </c>
      <c r="B20" s="93" t="s">
        <v>54</v>
      </c>
      <c r="C20" s="79" t="s">
        <v>301</v>
      </c>
      <c r="D20" s="80">
        <v>20.0</v>
      </c>
      <c r="E20" s="81">
        <f t="shared" si="4"/>
        <v>20</v>
      </c>
      <c r="F20" s="80">
        <v>4.0</v>
      </c>
      <c r="G20" s="82">
        <v>3.0</v>
      </c>
      <c r="H20" s="94">
        <v>6.729166666666667</v>
      </c>
      <c r="I20" s="84">
        <v>6.954861111111112</v>
      </c>
      <c r="J20" s="88">
        <f t="shared" si="3"/>
        <v>0.2256944444</v>
      </c>
      <c r="K20" s="97">
        <v>0.0</v>
      </c>
    </row>
    <row r="21">
      <c r="A21" s="80">
        <v>19.0</v>
      </c>
      <c r="B21" s="101" t="s">
        <v>359</v>
      </c>
      <c r="C21" s="79" t="s">
        <v>301</v>
      </c>
      <c r="D21" s="80">
        <v>20.0</v>
      </c>
      <c r="E21" s="81">
        <f t="shared" si="4"/>
        <v>19</v>
      </c>
      <c r="F21" s="80">
        <v>4.0</v>
      </c>
      <c r="G21" s="82">
        <v>2.0</v>
      </c>
      <c r="H21" s="94">
        <v>6.375</v>
      </c>
      <c r="I21" s="84">
        <v>6.220833333333334</v>
      </c>
      <c r="J21" s="85">
        <f t="shared" si="3"/>
        <v>-0.1541666667</v>
      </c>
      <c r="K21" s="82">
        <v>1.0</v>
      </c>
    </row>
    <row r="22">
      <c r="A22" s="79">
        <v>20.0</v>
      </c>
      <c r="B22" s="86" t="s">
        <v>370</v>
      </c>
      <c r="C22" s="79" t="s">
        <v>303</v>
      </c>
      <c r="D22" s="80">
        <v>20.0</v>
      </c>
      <c r="E22" s="81">
        <f t="shared" si="4"/>
        <v>20</v>
      </c>
      <c r="F22" s="80">
        <v>4.0</v>
      </c>
      <c r="G22" s="82">
        <v>6.0</v>
      </c>
      <c r="H22" s="89">
        <v>6.729166666666667</v>
      </c>
      <c r="I22" s="84">
        <v>6.242361111111111</v>
      </c>
      <c r="J22" s="88">
        <f t="shared" si="3"/>
        <v>-0.4868055556</v>
      </c>
      <c r="K22" s="97">
        <v>0.0</v>
      </c>
    </row>
    <row r="23">
      <c r="A23" s="79">
        <v>21.0</v>
      </c>
      <c r="B23" s="93" t="s">
        <v>159</v>
      </c>
      <c r="C23" s="79" t="s">
        <v>302</v>
      </c>
      <c r="D23" s="80">
        <v>20.0</v>
      </c>
      <c r="E23" s="81">
        <f t="shared" si="4"/>
        <v>18</v>
      </c>
      <c r="F23" s="80">
        <v>4.0</v>
      </c>
      <c r="G23" s="82">
        <v>6.0</v>
      </c>
      <c r="H23" s="89">
        <v>6.020833333333333</v>
      </c>
      <c r="I23" s="84">
        <v>7.1708333333333325</v>
      </c>
      <c r="J23" s="85">
        <f t="shared" si="3"/>
        <v>1.15</v>
      </c>
      <c r="K23" s="82">
        <v>2.0</v>
      </c>
    </row>
    <row r="24">
      <c r="A24" s="80">
        <v>22.0</v>
      </c>
      <c r="B24" s="86" t="s">
        <v>371</v>
      </c>
      <c r="C24" s="79" t="s">
        <v>303</v>
      </c>
      <c r="D24" s="80">
        <v>20.0</v>
      </c>
      <c r="E24" s="81">
        <f t="shared" si="4"/>
        <v>19</v>
      </c>
      <c r="F24" s="80">
        <v>4.0</v>
      </c>
      <c r="G24" s="82">
        <v>9.0</v>
      </c>
      <c r="H24" s="89">
        <v>6.375</v>
      </c>
      <c r="I24" s="84">
        <v>6.5888888888888895</v>
      </c>
      <c r="J24" s="85">
        <f t="shared" si="3"/>
        <v>0.2138888889</v>
      </c>
      <c r="K24" s="82">
        <v>1.0</v>
      </c>
    </row>
    <row r="25">
      <c r="A25" s="79">
        <v>23.0</v>
      </c>
      <c r="B25" s="86" t="s">
        <v>216</v>
      </c>
      <c r="C25" s="79" t="s">
        <v>303</v>
      </c>
      <c r="D25" s="80">
        <v>20.0</v>
      </c>
      <c r="E25" s="81">
        <f t="shared" si="4"/>
        <v>19</v>
      </c>
      <c r="F25" s="80">
        <v>4.0</v>
      </c>
      <c r="G25" s="82">
        <v>3.0</v>
      </c>
      <c r="H25" s="89">
        <v>6.375</v>
      </c>
      <c r="I25" s="84">
        <v>7.4125</v>
      </c>
      <c r="J25" s="85">
        <f t="shared" si="3"/>
        <v>1.0375</v>
      </c>
      <c r="K25" s="82">
        <v>1.0</v>
      </c>
    </row>
    <row r="26">
      <c r="A26" s="79">
        <v>24.0</v>
      </c>
      <c r="B26" s="86" t="s">
        <v>372</v>
      </c>
      <c r="C26" s="79" t="s">
        <v>303</v>
      </c>
      <c r="D26" s="80">
        <v>20.0</v>
      </c>
      <c r="E26" s="81">
        <f t="shared" si="4"/>
        <v>20</v>
      </c>
      <c r="F26" s="80">
        <v>4.0</v>
      </c>
      <c r="G26" s="82">
        <v>5.0</v>
      </c>
      <c r="H26" s="89">
        <v>6.729166666666667</v>
      </c>
      <c r="I26" s="84">
        <v>6.424305555555554</v>
      </c>
      <c r="J26" s="85">
        <f t="shared" si="3"/>
        <v>-0.3048611111</v>
      </c>
      <c r="K26" s="97">
        <v>0.0</v>
      </c>
    </row>
    <row r="27">
      <c r="A27" s="80">
        <v>25.0</v>
      </c>
      <c r="B27" s="86" t="s">
        <v>29</v>
      </c>
      <c r="C27" s="79" t="s">
        <v>303</v>
      </c>
      <c r="D27" s="80">
        <v>20.0</v>
      </c>
      <c r="E27" s="81">
        <f t="shared" si="4"/>
        <v>19</v>
      </c>
      <c r="F27" s="80">
        <v>4.0</v>
      </c>
      <c r="G27" s="82">
        <v>6.0</v>
      </c>
      <c r="H27" s="89">
        <v>6.375</v>
      </c>
      <c r="I27" s="84">
        <v>5.839583333333333</v>
      </c>
      <c r="J27" s="85">
        <f t="shared" si="3"/>
        <v>-0.5354166667</v>
      </c>
      <c r="K27" s="82">
        <v>1.0</v>
      </c>
    </row>
    <row r="28">
      <c r="A28" s="79">
        <v>26.0</v>
      </c>
      <c r="B28" s="86" t="s">
        <v>150</v>
      </c>
      <c r="C28" s="79" t="s">
        <v>305</v>
      </c>
      <c r="D28" s="80">
        <v>20.0</v>
      </c>
      <c r="E28" s="81">
        <f t="shared" si="4"/>
        <v>20</v>
      </c>
      <c r="F28" s="80">
        <v>4.0</v>
      </c>
      <c r="G28" s="82">
        <v>3.0</v>
      </c>
      <c r="H28" s="89">
        <v>6.729166666666667</v>
      </c>
      <c r="I28" s="84">
        <v>7.931944444444444</v>
      </c>
      <c r="J28" s="85">
        <f t="shared" si="3"/>
        <v>1.202777778</v>
      </c>
      <c r="K28" s="97">
        <v>0.0</v>
      </c>
    </row>
    <row r="29">
      <c r="A29" s="79">
        <v>27.0</v>
      </c>
      <c r="B29" s="86" t="s">
        <v>17</v>
      </c>
      <c r="C29" s="79" t="s">
        <v>303</v>
      </c>
      <c r="D29" s="80">
        <v>20.0</v>
      </c>
      <c r="E29" s="81">
        <f t="shared" si="4"/>
        <v>19</v>
      </c>
      <c r="F29" s="80">
        <v>4.0</v>
      </c>
      <c r="G29" s="82">
        <v>5.0</v>
      </c>
      <c r="H29" s="89">
        <v>6.375</v>
      </c>
      <c r="I29" s="84">
        <v>7.033333333333333</v>
      </c>
      <c r="J29" s="85">
        <f t="shared" si="3"/>
        <v>0.6583333333</v>
      </c>
      <c r="K29" s="82">
        <v>1.0</v>
      </c>
    </row>
    <row r="30">
      <c r="A30" s="80">
        <v>28.0</v>
      </c>
      <c r="B30" s="86" t="s">
        <v>105</v>
      </c>
      <c r="C30" s="79" t="s">
        <v>303</v>
      </c>
      <c r="D30" s="80">
        <v>20.0</v>
      </c>
      <c r="E30" s="81">
        <f t="shared" si="4"/>
        <v>19</v>
      </c>
      <c r="F30" s="80">
        <v>4.0</v>
      </c>
      <c r="G30" s="82">
        <v>4.0</v>
      </c>
      <c r="H30" s="89">
        <v>6.375</v>
      </c>
      <c r="I30" s="84">
        <v>7.355555555555555</v>
      </c>
      <c r="J30" s="85">
        <f t="shared" si="3"/>
        <v>0.9805555556</v>
      </c>
      <c r="K30" s="82">
        <v>1.0</v>
      </c>
    </row>
    <row r="31">
      <c r="A31" s="79">
        <v>29.0</v>
      </c>
      <c r="B31" s="86" t="s">
        <v>373</v>
      </c>
      <c r="C31" s="79" t="s">
        <v>303</v>
      </c>
      <c r="D31" s="80">
        <v>20.0</v>
      </c>
      <c r="E31" s="81">
        <f t="shared" si="4"/>
        <v>18</v>
      </c>
      <c r="F31" s="80">
        <v>4.0</v>
      </c>
      <c r="G31" s="82">
        <v>14.0</v>
      </c>
      <c r="H31" s="89">
        <v>6.020833333333333</v>
      </c>
      <c r="I31" s="84">
        <v>5.877083333333333</v>
      </c>
      <c r="J31" s="85">
        <f t="shared" si="3"/>
        <v>-0.14375</v>
      </c>
      <c r="K31" s="82">
        <v>2.0</v>
      </c>
    </row>
    <row r="32">
      <c r="A32" s="79">
        <v>30.0</v>
      </c>
      <c r="B32" s="86" t="s">
        <v>84</v>
      </c>
      <c r="C32" s="79" t="s">
        <v>303</v>
      </c>
      <c r="D32" s="80">
        <v>20.0</v>
      </c>
      <c r="E32" s="81">
        <f t="shared" si="4"/>
        <v>19</v>
      </c>
      <c r="F32" s="80">
        <v>4.0</v>
      </c>
      <c r="G32" s="82">
        <v>5.0</v>
      </c>
      <c r="H32" s="89">
        <v>6.375</v>
      </c>
      <c r="I32" s="84">
        <v>6.522916666666666</v>
      </c>
      <c r="J32" s="85">
        <f t="shared" si="3"/>
        <v>0.1479166667</v>
      </c>
      <c r="K32" s="82">
        <v>1.0</v>
      </c>
    </row>
    <row r="33">
      <c r="A33" s="80">
        <v>31.0</v>
      </c>
      <c r="B33" s="86" t="s">
        <v>201</v>
      </c>
      <c r="C33" s="79" t="s">
        <v>300</v>
      </c>
      <c r="D33" s="80">
        <v>20.0</v>
      </c>
      <c r="E33" s="81">
        <f t="shared" si="4"/>
        <v>19</v>
      </c>
      <c r="F33" s="80">
        <v>4.0</v>
      </c>
      <c r="G33" s="82">
        <v>5.0</v>
      </c>
      <c r="H33" s="89">
        <v>6.375</v>
      </c>
      <c r="I33" s="84">
        <v>6.35625</v>
      </c>
      <c r="J33" s="85">
        <f t="shared" si="3"/>
        <v>-0.01875</v>
      </c>
      <c r="K33" s="82">
        <v>1.0</v>
      </c>
    </row>
    <row r="34">
      <c r="A34" s="79">
        <v>32.0</v>
      </c>
      <c r="B34" s="86" t="s">
        <v>374</v>
      </c>
      <c r="C34" s="79" t="s">
        <v>303</v>
      </c>
      <c r="D34" s="80">
        <v>20.0</v>
      </c>
      <c r="E34" s="81">
        <f t="shared" si="4"/>
        <v>18</v>
      </c>
      <c r="F34" s="80">
        <v>4.0</v>
      </c>
      <c r="G34" s="82">
        <v>3.0</v>
      </c>
      <c r="H34" s="89">
        <v>6.020833333333333</v>
      </c>
      <c r="I34" s="84">
        <v>6.129166666666666</v>
      </c>
      <c r="J34" s="85">
        <f t="shared" si="3"/>
        <v>0.1083333333</v>
      </c>
      <c r="K34" s="82">
        <v>2.0</v>
      </c>
    </row>
    <row r="35">
      <c r="A35" s="79">
        <v>33.0</v>
      </c>
      <c r="B35" s="86" t="s">
        <v>174</v>
      </c>
      <c r="C35" s="79" t="s">
        <v>302</v>
      </c>
      <c r="D35" s="80">
        <v>20.0</v>
      </c>
      <c r="E35" s="81">
        <f t="shared" si="4"/>
        <v>20</v>
      </c>
      <c r="F35" s="80">
        <v>4.0</v>
      </c>
      <c r="G35" s="82">
        <v>1.0</v>
      </c>
      <c r="H35" s="89">
        <v>6.729166666666667</v>
      </c>
      <c r="I35" s="84">
        <v>6.869444444444444</v>
      </c>
      <c r="J35" s="85">
        <f t="shared" si="3"/>
        <v>0.1402777778</v>
      </c>
      <c r="K35" s="97">
        <v>0.0</v>
      </c>
    </row>
    <row r="36">
      <c r="A36" s="80">
        <v>34.0</v>
      </c>
      <c r="B36" s="86" t="s">
        <v>204</v>
      </c>
      <c r="C36" s="79" t="s">
        <v>300</v>
      </c>
      <c r="D36" s="80">
        <v>20.0</v>
      </c>
      <c r="E36" s="81">
        <f t="shared" si="4"/>
        <v>19</v>
      </c>
      <c r="F36" s="80">
        <v>4.0</v>
      </c>
      <c r="G36" s="82">
        <v>2.0</v>
      </c>
      <c r="H36" s="94">
        <v>6.375</v>
      </c>
      <c r="I36" s="84">
        <v>7.278472222222222</v>
      </c>
      <c r="J36" s="95">
        <f t="shared" si="3"/>
        <v>0.9034722222</v>
      </c>
      <c r="K36" s="82">
        <v>1.0</v>
      </c>
    </row>
    <row r="37">
      <c r="A37" s="79">
        <v>35.0</v>
      </c>
      <c r="B37" s="86" t="s">
        <v>375</v>
      </c>
      <c r="C37" s="79" t="s">
        <v>300</v>
      </c>
      <c r="D37" s="80">
        <v>20.0</v>
      </c>
      <c r="E37" s="81">
        <f t="shared" si="4"/>
        <v>19</v>
      </c>
      <c r="F37" s="80">
        <v>4.0</v>
      </c>
      <c r="G37" s="82">
        <v>5.0</v>
      </c>
      <c r="H37" s="89">
        <v>6.375</v>
      </c>
      <c r="I37" s="84">
        <v>6.448611111111109</v>
      </c>
      <c r="J37" s="85">
        <f t="shared" si="3"/>
        <v>0.07361111111</v>
      </c>
      <c r="K37" s="82">
        <v>1.0</v>
      </c>
    </row>
    <row r="38">
      <c r="A38" s="79">
        <v>36.0</v>
      </c>
      <c r="B38" s="86" t="s">
        <v>234</v>
      </c>
      <c r="C38" s="79" t="s">
        <v>300</v>
      </c>
      <c r="D38" s="80">
        <v>20.0</v>
      </c>
      <c r="E38" s="81">
        <f t="shared" si="4"/>
        <v>20</v>
      </c>
      <c r="F38" s="80">
        <v>4.0</v>
      </c>
      <c r="G38" s="82"/>
      <c r="H38" s="89">
        <v>6.729166666666667</v>
      </c>
      <c r="I38" s="84">
        <v>1.797222222222222</v>
      </c>
      <c r="J38" s="88"/>
      <c r="K38" s="97"/>
    </row>
    <row r="39">
      <c r="A39" s="80">
        <v>37.0</v>
      </c>
      <c r="B39" s="86" t="s">
        <v>376</v>
      </c>
      <c r="C39" s="79" t="s">
        <v>300</v>
      </c>
      <c r="D39" s="80">
        <v>20.0</v>
      </c>
      <c r="E39" s="81">
        <f t="shared" si="4"/>
        <v>19</v>
      </c>
      <c r="F39" s="80">
        <v>4.0</v>
      </c>
      <c r="G39" s="82">
        <v>5.0</v>
      </c>
      <c r="H39" s="89">
        <v>6.375</v>
      </c>
      <c r="I39" s="84">
        <v>6.097222222222222</v>
      </c>
      <c r="J39" s="85">
        <f t="shared" ref="J39:J63" si="6">I39-H39</f>
        <v>-0.2777777778</v>
      </c>
      <c r="K39" s="97">
        <v>1.0</v>
      </c>
    </row>
    <row r="40">
      <c r="A40" s="79">
        <v>38.0</v>
      </c>
      <c r="B40" s="86" t="s">
        <v>138</v>
      </c>
      <c r="C40" s="79" t="s">
        <v>300</v>
      </c>
      <c r="D40" s="80">
        <v>20.0</v>
      </c>
      <c r="E40" s="81">
        <f t="shared" si="4"/>
        <v>17</v>
      </c>
      <c r="F40" s="80">
        <v>4.0</v>
      </c>
      <c r="G40" s="82">
        <v>7.0</v>
      </c>
      <c r="H40" s="89">
        <v>5.666666666666667</v>
      </c>
      <c r="I40" s="84">
        <v>5.943749999999999</v>
      </c>
      <c r="J40" s="85">
        <f t="shared" si="6"/>
        <v>0.2770833333</v>
      </c>
      <c r="K40" s="82">
        <v>3.0</v>
      </c>
    </row>
    <row r="41">
      <c r="A41" s="79">
        <v>39.0</v>
      </c>
      <c r="B41" s="107" t="s">
        <v>228</v>
      </c>
      <c r="C41" s="79" t="s">
        <v>300</v>
      </c>
      <c r="D41" s="80">
        <v>20.0</v>
      </c>
      <c r="E41" s="81">
        <f t="shared" si="4"/>
        <v>20</v>
      </c>
      <c r="F41" s="80">
        <v>4.0</v>
      </c>
      <c r="G41" s="82">
        <v>3.0</v>
      </c>
      <c r="H41" s="89">
        <v>6.729166666666667</v>
      </c>
      <c r="I41" s="84">
        <v>7.4534722222222225</v>
      </c>
      <c r="J41" s="85">
        <f t="shared" si="6"/>
        <v>0.7243055556</v>
      </c>
      <c r="K41" s="97">
        <v>0.0</v>
      </c>
    </row>
    <row r="42">
      <c r="A42" s="80">
        <v>40.0</v>
      </c>
      <c r="B42" s="86" t="s">
        <v>75</v>
      </c>
      <c r="C42" s="79" t="s">
        <v>300</v>
      </c>
      <c r="D42" s="80">
        <v>20.0</v>
      </c>
      <c r="E42" s="81">
        <f t="shared" si="4"/>
        <v>18</v>
      </c>
      <c r="F42" s="80">
        <v>4.0</v>
      </c>
      <c r="G42" s="82">
        <v>5.0</v>
      </c>
      <c r="H42" s="89">
        <v>6.020833333333333</v>
      </c>
      <c r="I42" s="84">
        <v>6.247916666666667</v>
      </c>
      <c r="J42" s="85">
        <f t="shared" si="6"/>
        <v>0.2270833333</v>
      </c>
      <c r="K42" s="82">
        <v>2.0</v>
      </c>
    </row>
    <row r="43">
      <c r="A43" s="79">
        <v>41.0</v>
      </c>
      <c r="B43" s="86" t="s">
        <v>377</v>
      </c>
      <c r="C43" s="79" t="s">
        <v>301</v>
      </c>
      <c r="D43" s="80">
        <v>20.0</v>
      </c>
      <c r="E43" s="81">
        <f t="shared" si="4"/>
        <v>19</v>
      </c>
      <c r="F43" s="80">
        <v>4.0</v>
      </c>
      <c r="G43" s="82">
        <v>7.0</v>
      </c>
      <c r="H43" s="89">
        <v>6.375</v>
      </c>
      <c r="I43" s="84">
        <v>6.482638888888889</v>
      </c>
      <c r="J43" s="85">
        <f t="shared" si="6"/>
        <v>0.1076388889</v>
      </c>
      <c r="K43" s="82">
        <v>1.0</v>
      </c>
    </row>
    <row r="44">
      <c r="A44" s="79">
        <v>42.0</v>
      </c>
      <c r="B44" s="86" t="s">
        <v>6</v>
      </c>
      <c r="C44" s="79" t="s">
        <v>301</v>
      </c>
      <c r="D44" s="80">
        <v>20.0</v>
      </c>
      <c r="E44" s="81">
        <f t="shared" si="4"/>
        <v>19</v>
      </c>
      <c r="F44" s="80">
        <v>4.0</v>
      </c>
      <c r="G44" s="82">
        <v>4.0</v>
      </c>
      <c r="H44" s="89">
        <v>6.375</v>
      </c>
      <c r="I44" s="84">
        <v>5.852083333333334</v>
      </c>
      <c r="J44" s="85">
        <f t="shared" si="6"/>
        <v>-0.5229166667</v>
      </c>
      <c r="K44" s="82">
        <v>1.0</v>
      </c>
    </row>
    <row r="45">
      <c r="A45" s="80">
        <v>43.0</v>
      </c>
      <c r="B45" s="93" t="s">
        <v>378</v>
      </c>
      <c r="C45" s="79" t="s">
        <v>301</v>
      </c>
      <c r="D45" s="80">
        <v>20.0</v>
      </c>
      <c r="E45" s="81">
        <f t="shared" si="4"/>
        <v>20</v>
      </c>
      <c r="F45" s="80">
        <v>4.0</v>
      </c>
      <c r="G45" s="82">
        <v>14.0</v>
      </c>
      <c r="H45" s="89">
        <v>6.729166666666667</v>
      </c>
      <c r="I45" s="84">
        <v>6.152777777777777</v>
      </c>
      <c r="J45" s="85">
        <f t="shared" si="6"/>
        <v>-0.5763888889</v>
      </c>
      <c r="K45" s="97">
        <v>0.0</v>
      </c>
    </row>
    <row r="46">
      <c r="A46" s="79">
        <v>44.0</v>
      </c>
      <c r="B46" s="93" t="s">
        <v>123</v>
      </c>
      <c r="C46" s="80" t="s">
        <v>301</v>
      </c>
      <c r="D46" s="80">
        <v>20.0</v>
      </c>
      <c r="E46" s="81">
        <f t="shared" si="4"/>
        <v>19</v>
      </c>
      <c r="F46" s="80">
        <v>3.0</v>
      </c>
      <c r="G46" s="82">
        <v>2.0</v>
      </c>
      <c r="H46" s="89">
        <v>4.958333333333333</v>
      </c>
      <c r="I46" s="84">
        <v>4.607638888888889</v>
      </c>
      <c r="J46" s="85">
        <f t="shared" si="6"/>
        <v>-0.3506944444</v>
      </c>
      <c r="K46" s="82">
        <v>1.0</v>
      </c>
    </row>
    <row r="47">
      <c r="A47" s="79">
        <v>45.0</v>
      </c>
      <c r="B47" s="86" t="s">
        <v>379</v>
      </c>
      <c r="C47" s="79" t="s">
        <v>305</v>
      </c>
      <c r="D47" s="80">
        <v>20.0</v>
      </c>
      <c r="E47" s="81">
        <f t="shared" si="4"/>
        <v>19</v>
      </c>
      <c r="F47" s="80">
        <v>4.0</v>
      </c>
      <c r="G47" s="82">
        <v>4.0</v>
      </c>
      <c r="H47" s="89">
        <v>6.375</v>
      </c>
      <c r="I47" s="84">
        <v>9.005555555555556</v>
      </c>
      <c r="J47" s="85">
        <f t="shared" si="6"/>
        <v>2.630555556</v>
      </c>
      <c r="K47" s="82">
        <v>1.0</v>
      </c>
    </row>
    <row r="48">
      <c r="A48" s="80">
        <v>46.0</v>
      </c>
      <c r="B48" s="86" t="s">
        <v>114</v>
      </c>
      <c r="C48" s="79" t="s">
        <v>301</v>
      </c>
      <c r="D48" s="80">
        <v>20.0</v>
      </c>
      <c r="E48" s="81">
        <f t="shared" si="4"/>
        <v>18</v>
      </c>
      <c r="F48" s="80">
        <v>4.0</v>
      </c>
      <c r="G48" s="82">
        <v>2.0</v>
      </c>
      <c r="H48" s="89">
        <v>6.020833333333333</v>
      </c>
      <c r="I48" s="84">
        <v>4.801388888888888</v>
      </c>
      <c r="J48" s="85">
        <f t="shared" si="6"/>
        <v>-1.219444444</v>
      </c>
      <c r="K48" s="82">
        <v>2.0</v>
      </c>
    </row>
    <row r="49">
      <c r="A49" s="79">
        <v>47.0</v>
      </c>
      <c r="B49" s="107" t="s">
        <v>129</v>
      </c>
      <c r="C49" s="79" t="s">
        <v>300</v>
      </c>
      <c r="D49" s="80">
        <v>20.0</v>
      </c>
      <c r="E49" s="81">
        <f t="shared" si="4"/>
        <v>18</v>
      </c>
      <c r="F49" s="80">
        <v>4.0</v>
      </c>
      <c r="G49" s="82">
        <v>5.0</v>
      </c>
      <c r="H49" s="89">
        <v>6.020833333333333</v>
      </c>
      <c r="I49" s="84">
        <v>6.356944444444443</v>
      </c>
      <c r="J49" s="85">
        <f t="shared" si="6"/>
        <v>0.3361111111</v>
      </c>
      <c r="K49" s="82">
        <v>2.0</v>
      </c>
    </row>
    <row r="50">
      <c r="A50" s="79">
        <v>48.0</v>
      </c>
      <c r="B50" s="86" t="s">
        <v>380</v>
      </c>
      <c r="C50" s="79" t="s">
        <v>300</v>
      </c>
      <c r="D50" s="80">
        <v>20.0</v>
      </c>
      <c r="E50" s="81">
        <f t="shared" si="4"/>
        <v>20</v>
      </c>
      <c r="F50" s="80">
        <v>4.0</v>
      </c>
      <c r="G50" s="82">
        <v>4.0</v>
      </c>
      <c r="H50" s="89">
        <v>6.729166666666667</v>
      </c>
      <c r="I50" s="84">
        <v>7.457638888888887</v>
      </c>
      <c r="J50" s="88">
        <f t="shared" si="6"/>
        <v>0.7284722222</v>
      </c>
      <c r="K50" s="97">
        <v>0.0</v>
      </c>
    </row>
    <row r="51">
      <c r="A51" s="80">
        <v>49.0</v>
      </c>
      <c r="B51" s="86" t="s">
        <v>381</v>
      </c>
      <c r="C51" s="79" t="s">
        <v>300</v>
      </c>
      <c r="D51" s="80">
        <v>20.0</v>
      </c>
      <c r="E51" s="81">
        <f t="shared" si="4"/>
        <v>20</v>
      </c>
      <c r="F51" s="80">
        <v>4.0</v>
      </c>
      <c r="G51" s="82">
        <v>7.0</v>
      </c>
      <c r="H51" s="89">
        <v>6.729166666666667</v>
      </c>
      <c r="I51" s="84">
        <v>6.149999999999999</v>
      </c>
      <c r="J51" s="85">
        <f t="shared" si="6"/>
        <v>-0.5791666667</v>
      </c>
      <c r="K51" s="97">
        <v>0.0</v>
      </c>
    </row>
    <row r="52">
      <c r="A52" s="79">
        <v>50.0</v>
      </c>
      <c r="B52" s="86" t="s">
        <v>147</v>
      </c>
      <c r="C52" s="79" t="s">
        <v>300</v>
      </c>
      <c r="D52" s="80">
        <v>20.0</v>
      </c>
      <c r="E52" s="81">
        <f t="shared" si="4"/>
        <v>19</v>
      </c>
      <c r="F52" s="80">
        <v>4.0</v>
      </c>
      <c r="G52" s="82">
        <v>4.0</v>
      </c>
      <c r="H52" s="89">
        <v>6.375</v>
      </c>
      <c r="I52" s="84">
        <v>7.029861111111112</v>
      </c>
      <c r="J52" s="85">
        <f t="shared" si="6"/>
        <v>0.6548611111</v>
      </c>
      <c r="K52" s="82">
        <v>1.0</v>
      </c>
    </row>
    <row r="53">
      <c r="A53" s="79">
        <v>51.0</v>
      </c>
      <c r="B53" s="86" t="s">
        <v>38</v>
      </c>
      <c r="C53" s="79" t="s">
        <v>300</v>
      </c>
      <c r="D53" s="80">
        <v>20.0</v>
      </c>
      <c r="E53" s="81">
        <f t="shared" si="4"/>
        <v>20</v>
      </c>
      <c r="F53" s="80">
        <v>4.0</v>
      </c>
      <c r="G53" s="82">
        <v>0.0</v>
      </c>
      <c r="H53" s="89">
        <v>6.729166666666667</v>
      </c>
      <c r="I53" s="84">
        <v>9.30138888888889</v>
      </c>
      <c r="J53" s="85">
        <f t="shared" si="6"/>
        <v>2.572222222</v>
      </c>
      <c r="K53" s="97">
        <v>0.0</v>
      </c>
    </row>
    <row r="54">
      <c r="A54" s="80">
        <v>52.0</v>
      </c>
      <c r="B54" s="108" t="s">
        <v>35</v>
      </c>
      <c r="C54" s="79" t="s">
        <v>305</v>
      </c>
      <c r="D54" s="80">
        <v>20.0</v>
      </c>
      <c r="E54" s="81">
        <f t="shared" si="4"/>
        <v>19</v>
      </c>
      <c r="F54" s="80">
        <v>4.0</v>
      </c>
      <c r="G54" s="82">
        <v>3.0</v>
      </c>
      <c r="H54" s="89">
        <v>6.375</v>
      </c>
      <c r="I54" s="84">
        <v>5.672916666666667</v>
      </c>
      <c r="J54" s="85">
        <f t="shared" si="6"/>
        <v>-0.7020833333</v>
      </c>
      <c r="K54" s="82">
        <v>1.0</v>
      </c>
    </row>
    <row r="55">
      <c r="A55" s="79">
        <v>53.0</v>
      </c>
      <c r="B55" s="78" t="s">
        <v>382</v>
      </c>
      <c r="C55" s="79" t="s">
        <v>301</v>
      </c>
      <c r="D55" s="80">
        <v>20.0</v>
      </c>
      <c r="E55" s="81">
        <f t="shared" si="4"/>
        <v>20</v>
      </c>
      <c r="F55" s="80">
        <v>4.0</v>
      </c>
      <c r="G55" s="82">
        <v>0.0</v>
      </c>
      <c r="H55" s="89">
        <v>6.729166666666667</v>
      </c>
      <c r="I55" s="84">
        <v>7.394444444444446</v>
      </c>
      <c r="J55" s="85">
        <f t="shared" si="6"/>
        <v>0.6652777778</v>
      </c>
      <c r="K55" s="97">
        <v>0.0</v>
      </c>
    </row>
    <row r="56">
      <c r="A56" s="79">
        <v>54.0</v>
      </c>
      <c r="B56" s="184" t="s">
        <v>237</v>
      </c>
      <c r="C56" s="79" t="s">
        <v>303</v>
      </c>
      <c r="D56" s="80">
        <v>20.0</v>
      </c>
      <c r="E56" s="81">
        <f t="shared" si="4"/>
        <v>20</v>
      </c>
      <c r="F56" s="80">
        <v>4.0</v>
      </c>
      <c r="G56" s="82">
        <v>0.0</v>
      </c>
      <c r="H56" s="89">
        <v>6.729166666666667</v>
      </c>
      <c r="I56" s="84">
        <v>7.163194444444445</v>
      </c>
      <c r="J56" s="88">
        <f t="shared" si="6"/>
        <v>0.4340277778</v>
      </c>
      <c r="K56" s="97">
        <v>0.0</v>
      </c>
    </row>
    <row r="57">
      <c r="A57" s="80">
        <v>55.0</v>
      </c>
      <c r="B57" s="108" t="s">
        <v>240</v>
      </c>
      <c r="C57" s="79" t="s">
        <v>303</v>
      </c>
      <c r="D57" s="80">
        <v>20.0</v>
      </c>
      <c r="E57" s="81">
        <f t="shared" si="4"/>
        <v>15</v>
      </c>
      <c r="F57" s="79">
        <v>0.0</v>
      </c>
      <c r="G57" s="82">
        <v>0.0</v>
      </c>
      <c r="H57" s="89">
        <v>6.729166666666667</v>
      </c>
      <c r="I57" s="84">
        <v>5.986805555555556</v>
      </c>
      <c r="J57" s="85">
        <f t="shared" si="6"/>
        <v>-0.7423611111</v>
      </c>
      <c r="K57" s="82">
        <v>5.0</v>
      </c>
    </row>
    <row r="58">
      <c r="A58" s="79">
        <v>56.0</v>
      </c>
      <c r="B58" s="184" t="s">
        <v>287</v>
      </c>
      <c r="C58" s="79" t="s">
        <v>303</v>
      </c>
      <c r="D58" s="80">
        <v>20.0</v>
      </c>
      <c r="E58" s="81">
        <f t="shared" si="4"/>
        <v>17</v>
      </c>
      <c r="F58" s="79">
        <v>0.0</v>
      </c>
      <c r="G58" s="82">
        <v>0.0</v>
      </c>
      <c r="H58" s="89">
        <v>7.4375</v>
      </c>
      <c r="I58" s="84">
        <v>7.75763888888889</v>
      </c>
      <c r="J58" s="85">
        <f t="shared" si="6"/>
        <v>0.3201388889</v>
      </c>
      <c r="K58" s="82">
        <v>3.0</v>
      </c>
    </row>
    <row r="59">
      <c r="A59" s="79">
        <v>57.0</v>
      </c>
      <c r="B59" s="184" t="s">
        <v>275</v>
      </c>
      <c r="C59" s="79" t="s">
        <v>303</v>
      </c>
      <c r="D59" s="80">
        <v>20.0</v>
      </c>
      <c r="E59" s="81">
        <f t="shared" si="4"/>
        <v>15</v>
      </c>
      <c r="F59" s="79">
        <v>0.0</v>
      </c>
      <c r="G59" s="82">
        <v>0.0</v>
      </c>
      <c r="H59" s="89">
        <v>6.729166666666667</v>
      </c>
      <c r="I59" s="84">
        <v>7.191666666666666</v>
      </c>
      <c r="J59" s="85">
        <f t="shared" si="6"/>
        <v>0.4625</v>
      </c>
      <c r="K59" s="82">
        <v>5.0</v>
      </c>
    </row>
    <row r="60">
      <c r="A60" s="80">
        <v>58.0</v>
      </c>
      <c r="B60" s="78" t="s">
        <v>246</v>
      </c>
      <c r="C60" s="79" t="s">
        <v>303</v>
      </c>
      <c r="D60" s="80">
        <v>20.0</v>
      </c>
      <c r="E60" s="81">
        <f t="shared" si="4"/>
        <v>7</v>
      </c>
      <c r="F60" s="79">
        <v>0.0</v>
      </c>
      <c r="G60" s="82">
        <v>0.0</v>
      </c>
      <c r="H60" s="89">
        <v>3.8958333333333335</v>
      </c>
      <c r="I60" s="84">
        <v>4.022916666666667</v>
      </c>
      <c r="J60" s="85">
        <f t="shared" si="6"/>
        <v>0.1270833333</v>
      </c>
      <c r="K60" s="82">
        <v>13.0</v>
      </c>
    </row>
    <row r="61">
      <c r="A61" s="79">
        <v>59.0</v>
      </c>
      <c r="B61" s="78" t="s">
        <v>249</v>
      </c>
      <c r="C61" s="79" t="s">
        <v>303</v>
      </c>
      <c r="D61" s="80">
        <v>20.0</v>
      </c>
      <c r="E61" s="81">
        <f t="shared" si="4"/>
        <v>17</v>
      </c>
      <c r="F61" s="79">
        <v>0.0</v>
      </c>
      <c r="G61" s="82">
        <v>0.0</v>
      </c>
      <c r="H61" s="89">
        <v>7.4375</v>
      </c>
      <c r="I61" s="84">
        <v>7.69722222222222</v>
      </c>
      <c r="J61" s="85">
        <f t="shared" si="6"/>
        <v>0.2597222222</v>
      </c>
      <c r="K61" s="82">
        <v>3.0</v>
      </c>
    </row>
    <row r="62">
      <c r="A62" s="79">
        <v>60.0</v>
      </c>
      <c r="B62" s="98" t="s">
        <v>383</v>
      </c>
      <c r="C62" s="79" t="s">
        <v>303</v>
      </c>
      <c r="D62" s="80">
        <v>20.0</v>
      </c>
      <c r="E62" s="81">
        <f t="shared" si="4"/>
        <v>15</v>
      </c>
      <c r="F62" s="79">
        <v>0.0</v>
      </c>
      <c r="G62" s="82">
        <v>0.0</v>
      </c>
      <c r="H62" s="89">
        <v>6.729166666666667</v>
      </c>
      <c r="I62" s="84">
        <v>8.38611111111111</v>
      </c>
      <c r="J62" s="85">
        <f t="shared" si="6"/>
        <v>1.656944444</v>
      </c>
      <c r="K62" s="82">
        <v>5.0</v>
      </c>
    </row>
    <row r="63">
      <c r="A63" s="80">
        <v>61.0</v>
      </c>
      <c r="B63" s="108" t="s">
        <v>254</v>
      </c>
      <c r="C63" s="79" t="s">
        <v>303</v>
      </c>
      <c r="D63" s="80">
        <v>20.0</v>
      </c>
      <c r="E63" s="81">
        <f t="shared" si="4"/>
        <v>15</v>
      </c>
      <c r="F63" s="79">
        <v>0.0</v>
      </c>
      <c r="G63" s="82">
        <v>2.0</v>
      </c>
      <c r="H63" s="89">
        <v>4.958333333333333</v>
      </c>
      <c r="I63" s="84">
        <v>5.523611111111111</v>
      </c>
      <c r="J63" s="85">
        <f t="shared" si="6"/>
        <v>0.5652777778</v>
      </c>
      <c r="K63" s="82">
        <v>5.0</v>
      </c>
    </row>
    <row r="64">
      <c r="A64" s="79">
        <v>62.0</v>
      </c>
      <c r="B64" s="98" t="s">
        <v>257</v>
      </c>
      <c r="C64" s="79" t="s">
        <v>303</v>
      </c>
      <c r="D64" s="80">
        <v>20.0</v>
      </c>
      <c r="E64" s="81"/>
      <c r="F64" s="79"/>
      <c r="G64" s="82"/>
      <c r="H64" s="89"/>
      <c r="I64" s="84">
        <v>0.0</v>
      </c>
      <c r="J64" s="85"/>
      <c r="K64" s="97"/>
    </row>
    <row r="65">
      <c r="A65" s="79">
        <v>63.0</v>
      </c>
      <c r="B65" s="108" t="s">
        <v>260</v>
      </c>
      <c r="C65" s="79" t="s">
        <v>303</v>
      </c>
      <c r="D65" s="80">
        <v>20.0</v>
      </c>
      <c r="E65" s="81">
        <f t="shared" ref="E65:E67" si="7">D65-K65</f>
        <v>19</v>
      </c>
      <c r="F65" s="80">
        <v>4.0</v>
      </c>
      <c r="G65" s="82">
        <v>0.0</v>
      </c>
      <c r="H65" s="89">
        <v>6.375</v>
      </c>
      <c r="I65" s="84">
        <v>8.886111111111111</v>
      </c>
      <c r="J65" s="85">
        <f t="shared" ref="J65:J67" si="8">I65-H65</f>
        <v>2.511111111</v>
      </c>
      <c r="K65" s="82">
        <v>1.0</v>
      </c>
    </row>
    <row r="66">
      <c r="A66" s="80">
        <v>64.0</v>
      </c>
      <c r="B66" s="78" t="s">
        <v>263</v>
      </c>
      <c r="C66" s="79" t="s">
        <v>303</v>
      </c>
      <c r="D66" s="80">
        <v>20.0</v>
      </c>
      <c r="E66" s="81">
        <f t="shared" si="7"/>
        <v>17</v>
      </c>
      <c r="F66" s="79">
        <v>0.0</v>
      </c>
      <c r="G66" s="82">
        <v>0.0</v>
      </c>
      <c r="H66" s="89">
        <v>7.4375</v>
      </c>
      <c r="I66" s="84">
        <v>7.949305555555554</v>
      </c>
      <c r="J66" s="111">
        <f t="shared" si="8"/>
        <v>0.5118055556</v>
      </c>
      <c r="K66" s="82">
        <v>3.0</v>
      </c>
    </row>
    <row r="67">
      <c r="A67" s="79">
        <v>65.0</v>
      </c>
      <c r="B67" s="78" t="s">
        <v>332</v>
      </c>
      <c r="C67" s="79" t="s">
        <v>303</v>
      </c>
      <c r="D67" s="80">
        <v>20.0</v>
      </c>
      <c r="E67" s="81">
        <f t="shared" si="7"/>
        <v>16</v>
      </c>
      <c r="F67" s="79">
        <v>0.0</v>
      </c>
      <c r="G67" s="82">
        <v>0.0</v>
      </c>
      <c r="H67" s="89">
        <v>7.083333333333333</v>
      </c>
      <c r="I67" s="84">
        <v>7.48263888888889</v>
      </c>
      <c r="J67" s="85">
        <f t="shared" si="8"/>
        <v>0.3993055556</v>
      </c>
      <c r="K67" s="82">
        <v>4.0</v>
      </c>
    </row>
    <row r="68">
      <c r="A68" s="79">
        <v>66.0</v>
      </c>
      <c r="B68" s="6" t="s">
        <v>337</v>
      </c>
      <c r="C68" s="79" t="s">
        <v>303</v>
      </c>
      <c r="D68" s="80">
        <v>20.0</v>
      </c>
    </row>
    <row r="69">
      <c r="A69" s="79">
        <v>67.0</v>
      </c>
      <c r="B69" s="6" t="s">
        <v>336</v>
      </c>
      <c r="C69" s="79" t="s">
        <v>303</v>
      </c>
      <c r="D69" s="80">
        <v>20.0</v>
      </c>
    </row>
  </sheetData>
  <mergeCells count="3">
    <mergeCell ref="A1:B1"/>
    <mergeCell ref="C1:K1"/>
    <mergeCell ref="M1:V1"/>
  </mergeCells>
  <conditionalFormatting sqref="J3:J67 V3:V24">
    <cfRule type="cellIs" dxfId="12" priority="1" operator="lessThan">
      <formula>"00:00:00"</formula>
    </cfRule>
  </conditionalFormatting>
  <conditionalFormatting sqref="J3:J67 V3:V24">
    <cfRule type="cellIs" dxfId="7" priority="2" operator="greaterThan">
      <formula>"00:00:00"</formula>
    </cfRule>
  </conditionalFormatting>
  <conditionalFormatting sqref="R3:R24">
    <cfRule type="cellIs" dxfId="12" priority="3" operator="greaterThan">
      <formula>2</formula>
    </cfRule>
  </conditionalFormatting>
  <conditionalFormatting sqref="R3:R24">
    <cfRule type="cellIs" dxfId="13" priority="4" operator="lessThanOrEqual">
      <formula>2</formula>
    </cfRule>
  </conditionalFormatting>
  <dataValidations>
    <dataValidation type="list" allowBlank="1" showErrorMessage="1" sqref="C3:C69">
      <formula1>"JetClass,FAMS,DevOps,Voltro,SS,Special Projects"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63"/>
    <col customWidth="1" min="2" max="2" width="3.63"/>
    <col customWidth="1" min="3" max="3" width="21.63"/>
    <col customWidth="1" min="35" max="35" width="3.25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135" t="str">
        <f t="shared" ref="E1:AH1" si="1">text(E2, "ddd")</f>
        <v>Sun</v>
      </c>
      <c r="F1" s="134" t="str">
        <f t="shared" si="1"/>
        <v>Mon</v>
      </c>
      <c r="G1" s="134" t="str">
        <f t="shared" si="1"/>
        <v>Tue</v>
      </c>
      <c r="H1" s="134" t="str">
        <f t="shared" si="1"/>
        <v>Wed</v>
      </c>
      <c r="I1" s="134" t="str">
        <f t="shared" si="1"/>
        <v>Thu</v>
      </c>
      <c r="J1" s="134" t="str">
        <f t="shared" si="1"/>
        <v>Fri</v>
      </c>
      <c r="K1" s="135" t="str">
        <f t="shared" si="1"/>
        <v>Sat</v>
      </c>
      <c r="L1" s="135" t="str">
        <f t="shared" si="1"/>
        <v>Sun</v>
      </c>
      <c r="M1" s="134" t="str">
        <f t="shared" si="1"/>
        <v>Mon</v>
      </c>
      <c r="N1" s="134" t="str">
        <f t="shared" si="1"/>
        <v>Tue</v>
      </c>
      <c r="O1" s="134" t="str">
        <f t="shared" si="1"/>
        <v>Wed</v>
      </c>
      <c r="P1" s="134" t="str">
        <f t="shared" si="1"/>
        <v>Thu</v>
      </c>
      <c r="Q1" s="134" t="str">
        <f t="shared" si="1"/>
        <v>Fri</v>
      </c>
      <c r="R1" s="135" t="str">
        <f t="shared" si="1"/>
        <v>Sat</v>
      </c>
      <c r="S1" s="135" t="str">
        <f t="shared" si="1"/>
        <v>Sun</v>
      </c>
      <c r="T1" s="134" t="str">
        <f t="shared" si="1"/>
        <v>Mon</v>
      </c>
      <c r="U1" s="134" t="str">
        <f t="shared" si="1"/>
        <v>Tue</v>
      </c>
      <c r="V1" s="134" t="str">
        <f t="shared" si="1"/>
        <v>Wed</v>
      </c>
      <c r="W1" s="134" t="str">
        <f t="shared" si="1"/>
        <v>Thu</v>
      </c>
      <c r="X1" s="134" t="str">
        <f t="shared" si="1"/>
        <v>Fri</v>
      </c>
      <c r="Y1" s="135" t="str">
        <f t="shared" si="1"/>
        <v>Sat</v>
      </c>
      <c r="Z1" s="135" t="str">
        <f t="shared" si="1"/>
        <v>Sun</v>
      </c>
      <c r="AA1" s="134" t="str">
        <f t="shared" si="1"/>
        <v>Mon</v>
      </c>
      <c r="AB1" s="134" t="str">
        <f t="shared" si="1"/>
        <v>Tue</v>
      </c>
      <c r="AC1" s="134" t="str">
        <f t="shared" si="1"/>
        <v>Wed</v>
      </c>
      <c r="AD1" s="134" t="str">
        <f t="shared" si="1"/>
        <v>Thu</v>
      </c>
      <c r="AE1" s="134" t="str">
        <f t="shared" si="1"/>
        <v>Fri</v>
      </c>
      <c r="AF1" s="135" t="str">
        <f t="shared" si="1"/>
        <v>Sat</v>
      </c>
      <c r="AG1" s="135" t="str">
        <f t="shared" si="1"/>
        <v>Sun</v>
      </c>
      <c r="AH1" s="134" t="str">
        <f t="shared" si="1"/>
        <v>Mon</v>
      </c>
      <c r="AI1" s="134"/>
    </row>
    <row r="2">
      <c r="B2" s="15"/>
      <c r="C2" s="15"/>
      <c r="D2" s="15"/>
      <c r="E2" s="137">
        <v>45809.0</v>
      </c>
      <c r="F2" s="136">
        <v>45810.0</v>
      </c>
      <c r="G2" s="136">
        <v>45811.0</v>
      </c>
      <c r="H2" s="136">
        <v>45812.0</v>
      </c>
      <c r="I2" s="136">
        <v>45813.0</v>
      </c>
      <c r="J2" s="136">
        <v>45814.0</v>
      </c>
      <c r="K2" s="137">
        <v>45815.0</v>
      </c>
      <c r="L2" s="137">
        <v>45816.0</v>
      </c>
      <c r="M2" s="136">
        <v>45817.0</v>
      </c>
      <c r="N2" s="136">
        <v>45818.0</v>
      </c>
      <c r="O2" s="136">
        <v>45819.0</v>
      </c>
      <c r="P2" s="136">
        <v>45820.0</v>
      </c>
      <c r="Q2" s="136">
        <v>45821.0</v>
      </c>
      <c r="R2" s="137">
        <v>45822.0</v>
      </c>
      <c r="S2" s="137">
        <v>45823.0</v>
      </c>
      <c r="T2" s="136">
        <v>45824.0</v>
      </c>
      <c r="U2" s="136">
        <v>45825.0</v>
      </c>
      <c r="V2" s="136">
        <v>45826.0</v>
      </c>
      <c r="W2" s="136">
        <v>45827.0</v>
      </c>
      <c r="X2" s="136">
        <v>45828.0</v>
      </c>
      <c r="Y2" s="137">
        <v>45829.0</v>
      </c>
      <c r="Z2" s="137">
        <v>45830.0</v>
      </c>
      <c r="AA2" s="136">
        <v>45831.0</v>
      </c>
      <c r="AB2" s="136">
        <v>45832.0</v>
      </c>
      <c r="AC2" s="136">
        <v>45833.0</v>
      </c>
      <c r="AD2" s="136">
        <v>45834.0</v>
      </c>
      <c r="AE2" s="136">
        <v>45835.0</v>
      </c>
      <c r="AF2" s="137">
        <v>45836.0</v>
      </c>
      <c r="AG2" s="137">
        <v>45837.0</v>
      </c>
      <c r="AH2" s="136">
        <v>45838.0</v>
      </c>
      <c r="AI2" s="136"/>
    </row>
    <row r="3">
      <c r="A3" s="138">
        <v>45452.0</v>
      </c>
      <c r="B3" s="139">
        <v>1.0</v>
      </c>
      <c r="C3" s="140" t="s">
        <v>222</v>
      </c>
      <c r="D3" s="22">
        <f t="shared" ref="D3:D67" si="2">sum(E3:AI3)</f>
        <v>0</v>
      </c>
      <c r="E3" s="185"/>
      <c r="F3" s="26"/>
      <c r="G3" s="25"/>
      <c r="H3" s="25"/>
      <c r="I3" s="25"/>
      <c r="J3" s="25"/>
      <c r="K3" s="25"/>
      <c r="L3" s="141"/>
      <c r="M3" s="26"/>
      <c r="N3" s="25"/>
      <c r="O3" s="25"/>
      <c r="P3" s="23"/>
      <c r="Q3" s="23"/>
      <c r="R3" s="23"/>
      <c r="S3" s="23"/>
      <c r="T3" s="114"/>
      <c r="U3" s="142"/>
      <c r="V3" s="143"/>
      <c r="W3" s="116"/>
      <c r="X3" s="116"/>
      <c r="Y3" s="116"/>
      <c r="Z3" s="116"/>
      <c r="AA3" s="114"/>
      <c r="AB3" s="142"/>
      <c r="AC3" s="143"/>
      <c r="AD3" s="116"/>
      <c r="AE3" s="116"/>
      <c r="AF3" s="115"/>
      <c r="AG3" s="116"/>
      <c r="AH3" s="116"/>
      <c r="AI3" s="143"/>
    </row>
    <row r="4">
      <c r="A4" s="15"/>
      <c r="B4" s="139">
        <v>2.0</v>
      </c>
      <c r="C4" s="140" t="s">
        <v>41</v>
      </c>
      <c r="D4" s="22">
        <f t="shared" si="2"/>
        <v>0</v>
      </c>
      <c r="E4" s="23"/>
      <c r="F4" s="26"/>
      <c r="G4" s="25"/>
      <c r="H4" s="25"/>
      <c r="I4" s="25"/>
      <c r="J4" s="23"/>
      <c r="K4" s="23"/>
      <c r="L4" s="23"/>
      <c r="M4" s="26"/>
      <c r="N4" s="25"/>
      <c r="O4" s="25"/>
      <c r="P4" s="23"/>
      <c r="Q4" s="23"/>
      <c r="R4" s="23"/>
      <c r="S4" s="25"/>
      <c r="T4" s="114"/>
      <c r="U4" s="142"/>
      <c r="V4" s="143"/>
      <c r="W4" s="116"/>
      <c r="X4" s="117"/>
      <c r="Y4" s="116"/>
      <c r="Z4" s="116"/>
      <c r="AA4" s="114"/>
      <c r="AB4" s="142"/>
      <c r="AC4" s="143"/>
      <c r="AD4" s="116"/>
      <c r="AE4" s="116"/>
      <c r="AF4" s="115"/>
      <c r="AG4" s="116"/>
      <c r="AH4" s="116"/>
      <c r="AI4" s="143"/>
    </row>
    <row r="5">
      <c r="A5" s="144">
        <v>45483.0</v>
      </c>
      <c r="B5" s="145">
        <v>3.0</v>
      </c>
      <c r="C5" s="126" t="s">
        <v>234</v>
      </c>
      <c r="D5" s="22">
        <f t="shared" si="2"/>
        <v>0</v>
      </c>
      <c r="E5" s="23"/>
      <c r="F5" s="26"/>
      <c r="G5" s="25"/>
      <c r="H5" s="25"/>
      <c r="I5" s="23"/>
      <c r="J5" s="23"/>
      <c r="K5" s="23"/>
      <c r="L5" s="26"/>
      <c r="M5" s="26"/>
      <c r="N5" s="25"/>
      <c r="O5" s="25"/>
      <c r="P5" s="23"/>
      <c r="Q5" s="23"/>
      <c r="R5" s="26"/>
      <c r="S5" s="23"/>
      <c r="T5" s="117"/>
      <c r="U5" s="142"/>
      <c r="V5" s="146"/>
      <c r="W5" s="114"/>
      <c r="X5" s="117"/>
      <c r="Y5" s="114"/>
      <c r="Z5" s="117"/>
      <c r="AA5" s="117"/>
      <c r="AB5" s="142"/>
      <c r="AC5" s="146"/>
      <c r="AD5" s="147"/>
      <c r="AE5" s="115"/>
      <c r="AF5" s="115"/>
      <c r="AG5" s="116"/>
      <c r="AH5" s="116"/>
      <c r="AI5" s="146"/>
    </row>
    <row r="6">
      <c r="A6" s="32"/>
      <c r="B6" s="186">
        <v>4.0</v>
      </c>
      <c r="C6" s="126" t="s">
        <v>201</v>
      </c>
      <c r="D6" s="22">
        <f t="shared" si="2"/>
        <v>0</v>
      </c>
      <c r="E6" s="23"/>
      <c r="F6" s="26"/>
      <c r="G6" s="25"/>
      <c r="H6" s="25"/>
      <c r="I6" s="23"/>
      <c r="J6" s="25"/>
      <c r="K6" s="25"/>
      <c r="L6" s="25"/>
      <c r="M6" s="26"/>
      <c r="N6" s="25"/>
      <c r="O6" s="25"/>
      <c r="P6" s="23"/>
      <c r="Q6" s="23"/>
      <c r="R6" s="26"/>
      <c r="S6" s="25"/>
      <c r="T6" s="114"/>
      <c r="U6" s="142"/>
      <c r="V6" s="143"/>
      <c r="W6" s="116"/>
      <c r="X6" s="117"/>
      <c r="Y6" s="116"/>
      <c r="Z6" s="114"/>
      <c r="AA6" s="116"/>
      <c r="AB6" s="142"/>
      <c r="AC6" s="143"/>
      <c r="AD6" s="116"/>
      <c r="AE6" s="116"/>
      <c r="AF6" s="115"/>
      <c r="AG6" s="116"/>
      <c r="AH6" s="116"/>
      <c r="AI6" s="143"/>
    </row>
    <row r="7">
      <c r="A7" s="32"/>
      <c r="B7" s="186">
        <v>5.0</v>
      </c>
      <c r="C7" s="126" t="s">
        <v>246</v>
      </c>
      <c r="D7" s="22">
        <f t="shared" si="2"/>
        <v>0</v>
      </c>
      <c r="E7" s="23"/>
      <c r="F7" s="26"/>
      <c r="G7" s="25"/>
      <c r="H7" s="25"/>
      <c r="I7" s="25"/>
      <c r="J7" s="25"/>
      <c r="K7" s="26"/>
      <c r="L7" s="23"/>
      <c r="M7" s="26"/>
      <c r="N7" s="25"/>
      <c r="O7" s="25"/>
      <c r="P7" s="23"/>
      <c r="Q7" s="23"/>
      <c r="R7" s="25"/>
      <c r="S7" s="25"/>
      <c r="T7" s="114"/>
      <c r="U7" s="142"/>
      <c r="V7" s="143"/>
      <c r="W7" s="116"/>
      <c r="X7" s="116"/>
      <c r="Y7" s="116"/>
      <c r="Z7" s="116"/>
      <c r="AA7" s="114"/>
      <c r="AB7" s="142"/>
      <c r="AC7" s="143"/>
      <c r="AD7" s="116"/>
      <c r="AE7" s="116"/>
      <c r="AF7" s="115"/>
      <c r="AG7" s="116"/>
      <c r="AH7" s="116"/>
      <c r="AI7" s="143"/>
    </row>
    <row r="8">
      <c r="A8" s="32"/>
      <c r="B8" s="145">
        <v>6.0</v>
      </c>
      <c r="C8" s="126" t="s">
        <v>231</v>
      </c>
      <c r="D8" s="22">
        <f t="shared" si="2"/>
        <v>0</v>
      </c>
      <c r="E8" s="23"/>
      <c r="F8" s="26"/>
      <c r="G8" s="25"/>
      <c r="H8" s="25"/>
      <c r="I8" s="26"/>
      <c r="J8" s="25"/>
      <c r="K8" s="23"/>
      <c r="L8" s="25"/>
      <c r="M8" s="26"/>
      <c r="N8" s="25"/>
      <c r="O8" s="25"/>
      <c r="P8" s="23"/>
      <c r="Q8" s="23"/>
      <c r="R8" s="25"/>
      <c r="S8" s="25"/>
      <c r="T8" s="114"/>
      <c r="U8" s="142"/>
      <c r="V8" s="143"/>
      <c r="W8" s="116"/>
      <c r="X8" s="116"/>
      <c r="Y8" s="116"/>
      <c r="Z8" s="116"/>
      <c r="AA8" s="114"/>
      <c r="AB8" s="142"/>
      <c r="AC8" s="143"/>
      <c r="AD8" s="116"/>
      <c r="AE8" s="116"/>
      <c r="AF8" s="115"/>
      <c r="AG8" s="116"/>
      <c r="AH8" s="116"/>
      <c r="AI8" s="143"/>
    </row>
    <row r="9">
      <c r="A9" s="32"/>
      <c r="B9" s="186">
        <v>7.0</v>
      </c>
      <c r="C9" s="148" t="s">
        <v>147</v>
      </c>
      <c r="D9" s="22">
        <f t="shared" si="2"/>
        <v>0</v>
      </c>
      <c r="E9" s="23"/>
      <c r="F9" s="26"/>
      <c r="G9" s="25"/>
      <c r="H9" s="25"/>
      <c r="I9" s="25"/>
      <c r="J9" s="25"/>
      <c r="K9" s="25"/>
      <c r="L9" s="25"/>
      <c r="M9" s="25"/>
      <c r="N9" s="25"/>
      <c r="O9" s="25"/>
      <c r="P9" s="23"/>
      <c r="Q9" s="23"/>
      <c r="R9" s="25"/>
      <c r="S9" s="25"/>
      <c r="T9" s="116"/>
      <c r="U9" s="142"/>
      <c r="V9" s="143"/>
      <c r="W9" s="116"/>
      <c r="X9" s="116"/>
      <c r="Y9" s="116"/>
      <c r="Z9" s="116"/>
      <c r="AA9" s="116"/>
      <c r="AB9" s="142"/>
      <c r="AC9" s="143"/>
      <c r="AD9" s="116"/>
      <c r="AE9" s="116"/>
      <c r="AF9" s="115"/>
      <c r="AG9" s="116"/>
      <c r="AH9" s="116"/>
      <c r="AI9" s="143"/>
    </row>
    <row r="10">
      <c r="A10" s="32"/>
      <c r="B10" s="186">
        <v>8.0</v>
      </c>
      <c r="C10" s="126" t="s">
        <v>177</v>
      </c>
      <c r="D10" s="22">
        <f t="shared" si="2"/>
        <v>0</v>
      </c>
      <c r="E10" s="23"/>
      <c r="F10" s="26"/>
      <c r="G10" s="25"/>
      <c r="H10" s="25"/>
      <c r="I10" s="25"/>
      <c r="J10" s="25"/>
      <c r="K10" s="25"/>
      <c r="L10" s="25"/>
      <c r="M10" s="26"/>
      <c r="N10" s="25"/>
      <c r="O10" s="25"/>
      <c r="P10" s="23"/>
      <c r="Q10" s="23"/>
      <c r="R10" s="25"/>
      <c r="S10" s="25"/>
      <c r="T10" s="114"/>
      <c r="U10" s="142"/>
      <c r="V10" s="143"/>
      <c r="W10" s="116"/>
      <c r="X10" s="116"/>
      <c r="Y10" s="116"/>
      <c r="Z10" s="116"/>
      <c r="AA10" s="114"/>
      <c r="AB10" s="142"/>
      <c r="AC10" s="143"/>
      <c r="AD10" s="114"/>
      <c r="AE10" s="116"/>
      <c r="AF10" s="115"/>
      <c r="AG10" s="116"/>
      <c r="AH10" s="116"/>
      <c r="AI10" s="143"/>
    </row>
    <row r="11">
      <c r="A11" s="32"/>
      <c r="B11" s="145">
        <v>9.0</v>
      </c>
      <c r="C11" s="148" t="s">
        <v>216</v>
      </c>
      <c r="D11" s="22">
        <f t="shared" si="2"/>
        <v>0</v>
      </c>
      <c r="E11" s="23"/>
      <c r="F11" s="26"/>
      <c r="G11" s="25"/>
      <c r="H11" s="25"/>
      <c r="I11" s="25"/>
      <c r="J11" s="25"/>
      <c r="K11" s="26"/>
      <c r="L11" s="26"/>
      <c r="M11" s="26"/>
      <c r="N11" s="25"/>
      <c r="O11" s="25"/>
      <c r="P11" s="23"/>
      <c r="Q11" s="26"/>
      <c r="R11" s="25"/>
      <c r="S11" s="26"/>
      <c r="T11" s="114"/>
      <c r="U11" s="142"/>
      <c r="V11" s="143"/>
      <c r="W11" s="116"/>
      <c r="X11" s="116"/>
      <c r="Y11" s="116"/>
      <c r="Z11" s="116"/>
      <c r="AA11" s="114"/>
      <c r="AB11" s="142"/>
      <c r="AC11" s="143"/>
      <c r="AD11" s="116"/>
      <c r="AE11" s="116"/>
      <c r="AF11" s="115"/>
      <c r="AG11" s="116"/>
      <c r="AH11" s="116"/>
      <c r="AI11" s="143"/>
    </row>
    <row r="12">
      <c r="A12" s="32"/>
      <c r="B12" s="186">
        <v>10.0</v>
      </c>
      <c r="C12" s="126" t="s">
        <v>254</v>
      </c>
      <c r="D12" s="22">
        <f t="shared" si="2"/>
        <v>0</v>
      </c>
      <c r="E12" s="23"/>
      <c r="F12" s="26"/>
      <c r="G12" s="25"/>
      <c r="H12" s="25"/>
      <c r="I12" s="25"/>
      <c r="J12" s="25"/>
      <c r="K12" s="25"/>
      <c r="L12" s="26"/>
      <c r="M12" s="26"/>
      <c r="N12" s="25"/>
      <c r="O12" s="25"/>
      <c r="P12" s="23"/>
      <c r="Q12" s="23"/>
      <c r="R12" s="25"/>
      <c r="S12" s="25"/>
      <c r="T12" s="114"/>
      <c r="U12" s="142"/>
      <c r="V12" s="143"/>
      <c r="W12" s="116"/>
      <c r="X12" s="116"/>
      <c r="Y12" s="116"/>
      <c r="Z12" s="116"/>
      <c r="AA12" s="114"/>
      <c r="AB12" s="142"/>
      <c r="AC12" s="143"/>
      <c r="AD12" s="114"/>
      <c r="AE12" s="116"/>
      <c r="AF12" s="115"/>
      <c r="AG12" s="116"/>
      <c r="AH12" s="116"/>
      <c r="AI12" s="143"/>
    </row>
    <row r="13">
      <c r="A13" s="32"/>
      <c r="B13" s="186">
        <v>11.0</v>
      </c>
      <c r="C13" s="152" t="s">
        <v>336</v>
      </c>
      <c r="D13" s="22">
        <f t="shared" si="2"/>
        <v>0</v>
      </c>
      <c r="E13" s="23"/>
      <c r="F13" s="26"/>
      <c r="G13" s="25"/>
      <c r="H13" s="25"/>
      <c r="I13" s="25"/>
      <c r="J13" s="25"/>
      <c r="K13" s="25"/>
      <c r="L13" s="25"/>
      <c r="M13" s="26"/>
      <c r="N13" s="25"/>
      <c r="O13" s="25"/>
      <c r="P13" s="23"/>
      <c r="Q13" s="23"/>
      <c r="R13" s="25"/>
      <c r="S13" s="25"/>
      <c r="T13" s="116"/>
      <c r="U13" s="142"/>
      <c r="V13" s="143"/>
      <c r="W13" s="116"/>
      <c r="X13" s="116"/>
      <c r="Y13" s="116"/>
      <c r="Z13" s="116"/>
      <c r="AA13" s="116"/>
      <c r="AB13" s="142"/>
      <c r="AC13" s="143"/>
      <c r="AD13" s="116"/>
      <c r="AE13" s="116"/>
      <c r="AF13" s="115"/>
      <c r="AG13" s="116"/>
      <c r="AH13" s="116"/>
      <c r="AI13" s="143"/>
    </row>
    <row r="14">
      <c r="A14" s="32"/>
      <c r="B14" s="145">
        <v>12.0</v>
      </c>
      <c r="C14" s="152" t="s">
        <v>337</v>
      </c>
      <c r="D14" s="22">
        <f t="shared" si="2"/>
        <v>0</v>
      </c>
      <c r="E14" s="23"/>
      <c r="F14" s="26"/>
      <c r="G14" s="25"/>
      <c r="H14" s="25"/>
      <c r="I14" s="25"/>
      <c r="J14" s="25"/>
      <c r="K14" s="25"/>
      <c r="L14" s="25"/>
      <c r="M14" s="26"/>
      <c r="N14" s="25"/>
      <c r="O14" s="25"/>
      <c r="P14" s="23"/>
      <c r="Q14" s="23"/>
      <c r="R14" s="25"/>
      <c r="S14" s="25"/>
      <c r="T14" s="116"/>
      <c r="U14" s="142"/>
      <c r="V14" s="143"/>
      <c r="W14" s="116"/>
      <c r="X14" s="116"/>
      <c r="Y14" s="116"/>
      <c r="Z14" s="116"/>
      <c r="AA14" s="116"/>
      <c r="AB14" s="142"/>
      <c r="AC14" s="143"/>
      <c r="AD14" s="116"/>
      <c r="AE14" s="116"/>
      <c r="AF14" s="115"/>
      <c r="AG14" s="116"/>
      <c r="AH14" s="116"/>
      <c r="AI14" s="143"/>
    </row>
    <row r="15">
      <c r="A15" s="32"/>
      <c r="B15" s="187">
        <v>13.0</v>
      </c>
      <c r="C15" s="39" t="s">
        <v>150</v>
      </c>
      <c r="D15" s="22">
        <f t="shared" si="2"/>
        <v>0</v>
      </c>
      <c r="E15" s="23"/>
      <c r="F15" s="26"/>
      <c r="G15" s="25"/>
      <c r="H15" s="25"/>
      <c r="I15" s="25"/>
      <c r="J15" s="25"/>
      <c r="K15" s="25"/>
      <c r="L15" s="25"/>
      <c r="M15" s="26"/>
      <c r="N15" s="25"/>
      <c r="O15" s="25"/>
      <c r="P15" s="23"/>
      <c r="Q15" s="23"/>
      <c r="R15" s="25"/>
      <c r="S15" s="25"/>
      <c r="T15" s="116"/>
      <c r="U15" s="142"/>
      <c r="V15" s="143"/>
      <c r="W15" s="116"/>
      <c r="X15" s="116"/>
      <c r="Y15" s="116"/>
      <c r="Z15" s="116"/>
      <c r="AA15" s="116"/>
      <c r="AB15" s="142"/>
      <c r="AC15" s="143"/>
      <c r="AD15" s="116"/>
      <c r="AE15" s="116"/>
      <c r="AF15" s="115"/>
      <c r="AG15" s="116"/>
      <c r="AH15" s="116"/>
      <c r="AI15" s="143"/>
    </row>
    <row r="16">
      <c r="A16" s="153" t="s">
        <v>274</v>
      </c>
      <c r="B16" s="139">
        <v>14.0</v>
      </c>
      <c r="C16" s="155" t="s">
        <v>213</v>
      </c>
      <c r="D16" s="22">
        <f t="shared" si="2"/>
        <v>0</v>
      </c>
      <c r="E16" s="23"/>
      <c r="F16" s="26"/>
      <c r="G16" s="25"/>
      <c r="H16" s="25"/>
      <c r="I16" s="25"/>
      <c r="J16" s="25"/>
      <c r="K16" s="25"/>
      <c r="L16" s="25"/>
      <c r="M16" s="26"/>
      <c r="N16" s="25"/>
      <c r="O16" s="25"/>
      <c r="P16" s="23"/>
      <c r="Q16" s="23"/>
      <c r="R16" s="25"/>
      <c r="S16" s="25"/>
      <c r="T16" s="116"/>
      <c r="U16" s="142"/>
      <c r="V16" s="143"/>
      <c r="W16" s="116"/>
      <c r="X16" s="116"/>
      <c r="Y16" s="116"/>
      <c r="Z16" s="116"/>
      <c r="AA16" s="114"/>
      <c r="AB16" s="142"/>
      <c r="AC16" s="143"/>
      <c r="AD16" s="116"/>
      <c r="AE16" s="116"/>
      <c r="AF16" s="115"/>
      <c r="AG16" s="116"/>
      <c r="AH16" s="116"/>
      <c r="AI16" s="143"/>
    </row>
    <row r="17">
      <c r="A17" s="32"/>
      <c r="B17" s="188">
        <v>15.0</v>
      </c>
      <c r="C17" s="155" t="s">
        <v>54</v>
      </c>
      <c r="D17" s="22">
        <f t="shared" si="2"/>
        <v>0</v>
      </c>
      <c r="E17" s="23"/>
      <c r="F17" s="26"/>
      <c r="G17" s="25"/>
      <c r="H17" s="25"/>
      <c r="I17" s="25"/>
      <c r="J17" s="25"/>
      <c r="K17" s="23"/>
      <c r="L17" s="25"/>
      <c r="M17" s="26"/>
      <c r="N17" s="25"/>
      <c r="O17" s="25"/>
      <c r="P17" s="23"/>
      <c r="Q17" s="23"/>
      <c r="R17" s="25"/>
      <c r="S17" s="25"/>
      <c r="T17" s="114"/>
      <c r="U17" s="142"/>
      <c r="V17" s="143"/>
      <c r="W17" s="116"/>
      <c r="X17" s="116"/>
      <c r="Y17" s="114"/>
      <c r="Z17" s="116"/>
      <c r="AA17" s="114"/>
      <c r="AB17" s="142"/>
      <c r="AC17" s="143"/>
      <c r="AD17" s="116"/>
      <c r="AE17" s="115"/>
      <c r="AF17" s="115"/>
      <c r="AG17" s="116"/>
      <c r="AH17" s="116"/>
      <c r="AI17" s="143"/>
    </row>
    <row r="18">
      <c r="A18" s="32"/>
      <c r="B18" s="139">
        <v>16.0</v>
      </c>
      <c r="C18" s="155" t="s">
        <v>159</v>
      </c>
      <c r="D18" s="22">
        <f t="shared" si="2"/>
        <v>0</v>
      </c>
      <c r="E18" s="26"/>
      <c r="F18" s="26"/>
      <c r="G18" s="25"/>
      <c r="H18" s="25"/>
      <c r="I18" s="25"/>
      <c r="J18" s="25"/>
      <c r="K18" s="25"/>
      <c r="L18" s="25"/>
      <c r="M18" s="26"/>
      <c r="N18" s="25"/>
      <c r="O18" s="25"/>
      <c r="P18" s="23"/>
      <c r="Q18" s="23"/>
      <c r="R18" s="25"/>
      <c r="S18" s="25"/>
      <c r="T18" s="114"/>
      <c r="U18" s="142"/>
      <c r="V18" s="146"/>
      <c r="W18" s="116"/>
      <c r="X18" s="116"/>
      <c r="Y18" s="116"/>
      <c r="Z18" s="116"/>
      <c r="AA18" s="114"/>
      <c r="AB18" s="142"/>
      <c r="AC18" s="143"/>
      <c r="AD18" s="116"/>
      <c r="AE18" s="116"/>
      <c r="AF18" s="115"/>
      <c r="AG18" s="116"/>
      <c r="AH18" s="116"/>
      <c r="AI18" s="143"/>
    </row>
    <row r="19">
      <c r="A19" s="32"/>
      <c r="B19" s="139">
        <v>17.0</v>
      </c>
      <c r="C19" s="155" t="s">
        <v>156</v>
      </c>
      <c r="D19" s="22">
        <f t="shared" si="2"/>
        <v>0</v>
      </c>
      <c r="E19" s="23"/>
      <c r="F19" s="26"/>
      <c r="G19" s="25"/>
      <c r="H19" s="25"/>
      <c r="I19" s="25"/>
      <c r="J19" s="25"/>
      <c r="K19" s="25"/>
      <c r="L19" s="25"/>
      <c r="M19" s="26"/>
      <c r="N19" s="25"/>
      <c r="O19" s="25"/>
      <c r="P19" s="23"/>
      <c r="Q19" s="23"/>
      <c r="R19" s="25"/>
      <c r="S19" s="25"/>
      <c r="T19" s="114"/>
      <c r="U19" s="142"/>
      <c r="V19" s="143"/>
      <c r="W19" s="116"/>
      <c r="X19" s="116"/>
      <c r="Y19" s="116"/>
      <c r="Z19" s="116"/>
      <c r="AA19" s="114"/>
      <c r="AB19" s="142"/>
      <c r="AC19" s="143"/>
      <c r="AD19" s="116"/>
      <c r="AE19" s="116"/>
      <c r="AF19" s="115"/>
      <c r="AG19" s="116"/>
      <c r="AH19" s="116"/>
      <c r="AI19" s="143"/>
    </row>
    <row r="20">
      <c r="A20" s="32"/>
      <c r="B20" s="188">
        <v>18.0</v>
      </c>
      <c r="C20" s="155" t="s">
        <v>57</v>
      </c>
      <c r="D20" s="22">
        <f t="shared" si="2"/>
        <v>0</v>
      </c>
      <c r="E20" s="23"/>
      <c r="F20" s="26"/>
      <c r="G20" s="25"/>
      <c r="H20" s="25"/>
      <c r="I20" s="25"/>
      <c r="J20" s="26"/>
      <c r="K20" s="23"/>
      <c r="L20" s="25"/>
      <c r="M20" s="26"/>
      <c r="N20" s="25"/>
      <c r="O20" s="25"/>
      <c r="P20" s="23"/>
      <c r="Q20" s="23"/>
      <c r="R20" s="25"/>
      <c r="S20" s="25"/>
      <c r="T20" s="114"/>
      <c r="U20" s="142"/>
      <c r="V20" s="146"/>
      <c r="W20" s="116"/>
      <c r="X20" s="116"/>
      <c r="Y20" s="116"/>
      <c r="Z20" s="116"/>
      <c r="AA20" s="114"/>
      <c r="AB20" s="142"/>
      <c r="AC20" s="143"/>
      <c r="AD20" s="116"/>
      <c r="AE20" s="116"/>
      <c r="AF20" s="115"/>
      <c r="AG20" s="116"/>
      <c r="AH20" s="116"/>
      <c r="AI20" s="143"/>
    </row>
    <row r="21">
      <c r="A21" s="32"/>
      <c r="B21" s="139">
        <v>19.0</v>
      </c>
      <c r="C21" s="155" t="s">
        <v>263</v>
      </c>
      <c r="D21" s="22">
        <f t="shared" si="2"/>
        <v>0</v>
      </c>
      <c r="E21" s="23"/>
      <c r="F21" s="26"/>
      <c r="G21" s="25"/>
      <c r="H21" s="25"/>
      <c r="I21" s="25"/>
      <c r="J21" s="25"/>
      <c r="K21" s="25"/>
      <c r="L21" s="25"/>
      <c r="M21" s="25"/>
      <c r="N21" s="25"/>
      <c r="O21" s="25"/>
      <c r="P21" s="23"/>
      <c r="Q21" s="23"/>
      <c r="R21" s="23"/>
      <c r="S21" s="23"/>
      <c r="T21" s="117"/>
      <c r="U21" s="142"/>
      <c r="V21" s="143"/>
      <c r="W21" s="116"/>
      <c r="X21" s="116"/>
      <c r="Y21" s="116"/>
      <c r="Z21" s="116"/>
      <c r="AA21" s="117"/>
      <c r="AB21" s="142"/>
      <c r="AC21" s="143"/>
      <c r="AD21" s="116"/>
      <c r="AE21" s="116"/>
      <c r="AF21" s="115"/>
      <c r="AG21" s="116"/>
      <c r="AH21" s="116"/>
      <c r="AI21" s="143"/>
    </row>
    <row r="22">
      <c r="A22" s="32"/>
      <c r="B22" s="139">
        <v>20.0</v>
      </c>
      <c r="C22" s="158" t="s">
        <v>339</v>
      </c>
      <c r="D22" s="22">
        <f t="shared" si="2"/>
        <v>0</v>
      </c>
      <c r="E22" s="23"/>
      <c r="F22" s="26"/>
      <c r="G22" s="25"/>
      <c r="H22" s="25"/>
      <c r="I22" s="23"/>
      <c r="J22" s="23"/>
      <c r="K22" s="23"/>
      <c r="L22" s="23"/>
      <c r="M22" s="159"/>
      <c r="N22" s="25"/>
      <c r="O22" s="25"/>
      <c r="P22" s="23"/>
      <c r="Q22" s="23"/>
      <c r="R22" s="23"/>
      <c r="S22" s="23"/>
      <c r="T22" s="117"/>
      <c r="U22" s="142"/>
      <c r="V22" s="143"/>
      <c r="W22" s="117"/>
      <c r="X22" s="117"/>
      <c r="Y22" s="117"/>
      <c r="Z22" s="117"/>
      <c r="AA22" s="147"/>
      <c r="AB22" s="142"/>
      <c r="AC22" s="143"/>
      <c r="AD22" s="116"/>
      <c r="AE22" s="116"/>
      <c r="AF22" s="115"/>
      <c r="AG22" s="116"/>
      <c r="AH22" s="116"/>
      <c r="AI22" s="143"/>
    </row>
    <row r="23">
      <c r="A23" s="32"/>
      <c r="B23" s="187">
        <v>21.0</v>
      </c>
      <c r="C23" s="39" t="s">
        <v>132</v>
      </c>
      <c r="D23" s="22">
        <f t="shared" si="2"/>
        <v>0</v>
      </c>
      <c r="E23" s="23"/>
      <c r="F23" s="26"/>
      <c r="G23" s="25"/>
      <c r="H23" s="25"/>
      <c r="I23" s="23"/>
      <c r="J23" s="23"/>
      <c r="K23" s="23"/>
      <c r="L23" s="23"/>
      <c r="M23" s="159"/>
      <c r="N23" s="25"/>
      <c r="O23" s="25"/>
      <c r="P23" s="23"/>
      <c r="Q23" s="23"/>
      <c r="R23" s="23"/>
      <c r="S23" s="23"/>
      <c r="T23" s="117"/>
      <c r="U23" s="142"/>
      <c r="V23" s="143"/>
      <c r="W23" s="117"/>
      <c r="X23" s="117"/>
      <c r="Y23" s="117"/>
      <c r="Z23" s="117"/>
      <c r="AA23" s="147"/>
      <c r="AB23" s="142"/>
      <c r="AC23" s="143"/>
      <c r="AD23" s="116"/>
      <c r="AE23" s="116"/>
      <c r="AF23" s="115"/>
      <c r="AG23" s="116"/>
      <c r="AH23" s="116"/>
      <c r="AI23" s="143"/>
    </row>
    <row r="24">
      <c r="A24" s="32"/>
      <c r="B24" s="189">
        <v>22.0</v>
      </c>
      <c r="C24" s="39" t="s">
        <v>99</v>
      </c>
      <c r="D24" s="22">
        <f t="shared" si="2"/>
        <v>0</v>
      </c>
      <c r="E24" s="23"/>
      <c r="F24" s="26"/>
      <c r="G24" s="25"/>
      <c r="H24" s="25"/>
      <c r="I24" s="23"/>
      <c r="J24" s="23"/>
      <c r="K24" s="23"/>
      <c r="L24" s="23"/>
      <c r="M24" s="159"/>
      <c r="N24" s="25"/>
      <c r="O24" s="25"/>
      <c r="P24" s="23"/>
      <c r="Q24" s="23"/>
      <c r="R24" s="23"/>
      <c r="S24" s="23"/>
      <c r="T24" s="117"/>
      <c r="U24" s="142"/>
      <c r="V24" s="143"/>
      <c r="W24" s="117"/>
      <c r="X24" s="117"/>
      <c r="Y24" s="117"/>
      <c r="Z24" s="117"/>
      <c r="AA24" s="147"/>
      <c r="AB24" s="142"/>
      <c r="AC24" s="143"/>
      <c r="AD24" s="116"/>
      <c r="AE24" s="116"/>
      <c r="AF24" s="115"/>
      <c r="AG24" s="116"/>
      <c r="AH24" s="116"/>
      <c r="AI24" s="143"/>
    </row>
    <row r="25">
      <c r="A25" s="32"/>
      <c r="B25" s="189">
        <v>23.0</v>
      </c>
      <c r="C25" s="39" t="s">
        <v>93</v>
      </c>
      <c r="D25" s="22">
        <f t="shared" si="2"/>
        <v>0</v>
      </c>
      <c r="E25" s="23"/>
      <c r="F25" s="26"/>
      <c r="G25" s="25"/>
      <c r="H25" s="25"/>
      <c r="I25" s="25"/>
      <c r="J25" s="25"/>
      <c r="K25" s="23"/>
      <c r="L25" s="25"/>
      <c r="M25" s="159"/>
      <c r="N25" s="25"/>
      <c r="O25" s="25"/>
      <c r="P25" s="23"/>
      <c r="Q25" s="23"/>
      <c r="R25" s="25"/>
      <c r="S25" s="25"/>
      <c r="T25" s="117"/>
      <c r="U25" s="142"/>
      <c r="V25" s="143"/>
      <c r="W25" s="116"/>
      <c r="X25" s="190"/>
      <c r="Y25" s="116"/>
      <c r="Z25" s="117"/>
      <c r="AA25" s="116"/>
      <c r="AB25" s="142"/>
      <c r="AC25" s="143"/>
      <c r="AD25" s="116"/>
      <c r="AE25" s="116"/>
      <c r="AF25" s="115"/>
      <c r="AG25" s="116"/>
      <c r="AH25" s="116"/>
      <c r="AI25" s="143"/>
    </row>
    <row r="26">
      <c r="A26" s="32"/>
      <c r="B26" s="187">
        <v>24.0</v>
      </c>
      <c r="C26" s="39" t="s">
        <v>135</v>
      </c>
      <c r="D26" s="22">
        <f t="shared" si="2"/>
        <v>0</v>
      </c>
      <c r="E26" s="23"/>
      <c r="F26" s="26"/>
      <c r="G26" s="25"/>
      <c r="H26" s="25"/>
      <c r="I26" s="25"/>
      <c r="J26" s="25"/>
      <c r="K26" s="25"/>
      <c r="L26" s="26"/>
      <c r="M26" s="26"/>
      <c r="N26" s="25"/>
      <c r="O26" s="25"/>
      <c r="P26" s="23"/>
      <c r="Q26" s="23"/>
      <c r="R26" s="25"/>
      <c r="S26" s="25"/>
      <c r="T26" s="114"/>
      <c r="U26" s="142"/>
      <c r="V26" s="143"/>
      <c r="W26" s="116"/>
      <c r="X26" s="116"/>
      <c r="Y26" s="114"/>
      <c r="Z26" s="114"/>
      <c r="AA26" s="114"/>
      <c r="AB26" s="142"/>
      <c r="AC26" s="143"/>
      <c r="AD26" s="116"/>
      <c r="AE26" s="116"/>
      <c r="AF26" s="115"/>
      <c r="AG26" s="116"/>
      <c r="AH26" s="116"/>
      <c r="AI26" s="143"/>
    </row>
    <row r="27">
      <c r="A27" s="32"/>
      <c r="B27" s="189">
        <v>25.0</v>
      </c>
      <c r="C27" s="39" t="s">
        <v>183</v>
      </c>
      <c r="D27" s="22">
        <f t="shared" si="2"/>
        <v>0</v>
      </c>
      <c r="E27" s="23"/>
      <c r="F27" s="26"/>
      <c r="G27" s="25"/>
      <c r="H27" s="25"/>
      <c r="I27" s="25"/>
      <c r="J27" s="25"/>
      <c r="K27" s="25"/>
      <c r="L27" s="25"/>
      <c r="M27" s="26"/>
      <c r="N27" s="25"/>
      <c r="O27" s="25"/>
      <c r="P27" s="23"/>
      <c r="Q27" s="23"/>
      <c r="R27" s="25"/>
      <c r="S27" s="26"/>
      <c r="T27" s="114"/>
      <c r="U27" s="142"/>
      <c r="V27" s="143"/>
      <c r="W27" s="116"/>
      <c r="X27" s="116"/>
      <c r="Y27" s="116"/>
      <c r="Z27" s="116"/>
      <c r="AA27" s="114"/>
      <c r="AB27" s="142"/>
      <c r="AC27" s="146"/>
      <c r="AD27" s="116"/>
      <c r="AE27" s="116"/>
      <c r="AF27" s="115"/>
      <c r="AG27" s="116"/>
      <c r="AH27" s="116"/>
      <c r="AI27" s="143"/>
    </row>
    <row r="28">
      <c r="A28" s="32"/>
      <c r="B28" s="189">
        <v>26.0</v>
      </c>
      <c r="C28" s="39" t="s">
        <v>186</v>
      </c>
      <c r="D28" s="22">
        <f t="shared" si="2"/>
        <v>0</v>
      </c>
      <c r="E28" s="23"/>
      <c r="F28" s="26"/>
      <c r="G28" s="25"/>
      <c r="H28" s="25"/>
      <c r="I28" s="25"/>
      <c r="J28" s="25"/>
      <c r="K28" s="25"/>
      <c r="L28" s="25"/>
      <c r="M28" s="26"/>
      <c r="N28" s="25"/>
      <c r="O28" s="25"/>
      <c r="P28" s="23"/>
      <c r="Q28" s="23"/>
      <c r="R28" s="25"/>
      <c r="S28" s="25"/>
      <c r="T28" s="114"/>
      <c r="U28" s="142"/>
      <c r="V28" s="146"/>
      <c r="W28" s="114"/>
      <c r="X28" s="114"/>
      <c r="Y28" s="116"/>
      <c r="Z28" s="117"/>
      <c r="AA28" s="117"/>
      <c r="AB28" s="142"/>
      <c r="AC28" s="143"/>
      <c r="AD28" s="116"/>
      <c r="AE28" s="116"/>
      <c r="AF28" s="115"/>
      <c r="AG28" s="116"/>
      <c r="AH28" s="116"/>
      <c r="AI28" s="143"/>
    </row>
    <row r="29">
      <c r="A29" s="32"/>
      <c r="B29" s="187">
        <v>27.0</v>
      </c>
      <c r="C29" s="39" t="s">
        <v>141</v>
      </c>
      <c r="D29" s="22">
        <f t="shared" si="2"/>
        <v>0</v>
      </c>
      <c r="E29" s="23"/>
      <c r="F29" s="26"/>
      <c r="G29" s="25"/>
      <c r="H29" s="25"/>
      <c r="I29" s="25"/>
      <c r="J29" s="25"/>
      <c r="K29" s="25"/>
      <c r="L29" s="25"/>
      <c r="M29" s="26"/>
      <c r="N29" s="25"/>
      <c r="O29" s="25"/>
      <c r="P29" s="23"/>
      <c r="Q29" s="23"/>
      <c r="R29" s="25"/>
      <c r="S29" s="25"/>
      <c r="T29" s="114"/>
      <c r="U29" s="142"/>
      <c r="V29" s="143"/>
      <c r="W29" s="114"/>
      <c r="X29" s="116"/>
      <c r="Y29" s="116"/>
      <c r="Z29" s="116"/>
      <c r="AA29" s="114"/>
      <c r="AB29" s="142"/>
      <c r="AC29" s="143"/>
      <c r="AD29" s="116"/>
      <c r="AE29" s="116"/>
      <c r="AF29" s="115"/>
      <c r="AG29" s="116"/>
      <c r="AH29" s="116"/>
      <c r="AI29" s="143"/>
    </row>
    <row r="30">
      <c r="A30" s="15"/>
      <c r="B30" s="189">
        <v>28.0</v>
      </c>
      <c r="C30" s="39" t="s">
        <v>207</v>
      </c>
      <c r="D30" s="22">
        <f t="shared" si="2"/>
        <v>0</v>
      </c>
      <c r="E30" s="23"/>
      <c r="F30" s="26"/>
      <c r="G30" s="25"/>
      <c r="H30" s="25"/>
      <c r="I30" s="25"/>
      <c r="J30" s="25"/>
      <c r="K30" s="25"/>
      <c r="L30" s="26"/>
      <c r="M30" s="26"/>
      <c r="N30" s="25"/>
      <c r="O30" s="25"/>
      <c r="P30" s="23"/>
      <c r="Q30" s="23"/>
      <c r="R30" s="25"/>
      <c r="S30" s="23"/>
      <c r="T30" s="114"/>
      <c r="U30" s="142"/>
      <c r="V30" s="143"/>
      <c r="W30" s="116"/>
      <c r="X30" s="116"/>
      <c r="Y30" s="116"/>
      <c r="Z30" s="117"/>
      <c r="AA30" s="114"/>
      <c r="AB30" s="142"/>
      <c r="AC30" s="143"/>
      <c r="AD30" s="116"/>
      <c r="AE30" s="116"/>
      <c r="AF30" s="115"/>
      <c r="AG30" s="116"/>
      <c r="AH30" s="116"/>
      <c r="AI30" s="143"/>
    </row>
    <row r="31">
      <c r="A31" s="161" t="s">
        <v>278</v>
      </c>
      <c r="B31" s="189">
        <v>29.0</v>
      </c>
      <c r="C31" s="39" t="s">
        <v>78</v>
      </c>
      <c r="D31" s="22">
        <f t="shared" si="2"/>
        <v>0</v>
      </c>
      <c r="E31" s="23"/>
      <c r="F31" s="26"/>
      <c r="G31" s="25"/>
      <c r="H31" s="25"/>
      <c r="I31" s="26"/>
      <c r="J31" s="25"/>
      <c r="K31" s="26"/>
      <c r="L31" s="25"/>
      <c r="M31" s="26"/>
      <c r="N31" s="25"/>
      <c r="O31" s="25"/>
      <c r="P31" s="23"/>
      <c r="Q31" s="23"/>
      <c r="R31" s="25"/>
      <c r="S31" s="25"/>
      <c r="T31" s="116"/>
      <c r="U31" s="142"/>
      <c r="V31" s="143"/>
      <c r="W31" s="116"/>
      <c r="X31" s="116"/>
      <c r="Y31" s="116"/>
      <c r="Z31" s="116"/>
      <c r="AA31" s="116"/>
      <c r="AB31" s="142"/>
      <c r="AC31" s="143"/>
      <c r="AD31" s="116"/>
      <c r="AE31" s="116"/>
      <c r="AF31" s="115"/>
      <c r="AG31" s="116"/>
      <c r="AH31" s="116"/>
      <c r="AI31" s="143"/>
    </row>
    <row r="32">
      <c r="A32" s="32"/>
      <c r="B32" s="187">
        <v>30.0</v>
      </c>
      <c r="C32" s="39" t="s">
        <v>14</v>
      </c>
      <c r="D32" s="22">
        <f t="shared" si="2"/>
        <v>0</v>
      </c>
      <c r="E32" s="23"/>
      <c r="F32" s="26"/>
      <c r="G32" s="25"/>
      <c r="H32" s="25"/>
      <c r="I32" s="25"/>
      <c r="J32" s="25"/>
      <c r="K32" s="25"/>
      <c r="L32" s="25"/>
      <c r="M32" s="26"/>
      <c r="N32" s="25"/>
      <c r="O32" s="25"/>
      <c r="P32" s="26"/>
      <c r="Q32" s="23"/>
      <c r="R32" s="23"/>
      <c r="S32" s="25"/>
      <c r="T32" s="114"/>
      <c r="U32" s="142"/>
      <c r="V32" s="143"/>
      <c r="W32" s="116"/>
      <c r="X32" s="116"/>
      <c r="Y32" s="116"/>
      <c r="Z32" s="116"/>
      <c r="AA32" s="114"/>
      <c r="AB32" s="142"/>
      <c r="AC32" s="143"/>
      <c r="AD32" s="116"/>
      <c r="AE32" s="116"/>
      <c r="AF32" s="115"/>
      <c r="AG32" s="116"/>
      <c r="AH32" s="116"/>
      <c r="AI32" s="143"/>
    </row>
    <row r="33">
      <c r="A33" s="32"/>
      <c r="B33" s="189">
        <v>31.0</v>
      </c>
      <c r="C33" s="39" t="s">
        <v>105</v>
      </c>
      <c r="D33" s="22">
        <f t="shared" si="2"/>
        <v>0</v>
      </c>
      <c r="E33" s="23"/>
      <c r="F33" s="26"/>
      <c r="G33" s="25"/>
      <c r="H33" s="25"/>
      <c r="I33" s="25"/>
      <c r="J33" s="25"/>
      <c r="K33" s="25"/>
      <c r="L33" s="25"/>
      <c r="M33" s="26"/>
      <c r="N33" s="25"/>
      <c r="O33" s="25"/>
      <c r="P33" s="26"/>
      <c r="Q33" s="23"/>
      <c r="R33" s="23"/>
      <c r="S33" s="25"/>
      <c r="T33" s="114"/>
      <c r="U33" s="142"/>
      <c r="V33" s="143"/>
      <c r="W33" s="116"/>
      <c r="X33" s="116"/>
      <c r="Y33" s="116"/>
      <c r="Z33" s="116"/>
      <c r="AA33" s="114"/>
      <c r="AB33" s="142"/>
      <c r="AC33" s="143"/>
      <c r="AD33" s="116"/>
      <c r="AE33" s="116"/>
      <c r="AF33" s="115"/>
      <c r="AG33" s="116"/>
      <c r="AH33" s="116"/>
      <c r="AI33" s="143"/>
    </row>
    <row r="34">
      <c r="A34" s="32"/>
      <c r="B34" s="189">
        <v>32.0</v>
      </c>
      <c r="C34" s="39" t="s">
        <v>29</v>
      </c>
      <c r="D34" s="22">
        <f t="shared" si="2"/>
        <v>0</v>
      </c>
      <c r="E34" s="23"/>
      <c r="F34" s="26"/>
      <c r="G34" s="25"/>
      <c r="H34" s="25"/>
      <c r="I34" s="25"/>
      <c r="J34" s="25"/>
      <c r="K34" s="25"/>
      <c r="L34" s="25"/>
      <c r="M34" s="26"/>
      <c r="N34" s="25"/>
      <c r="O34" s="25"/>
      <c r="P34" s="26"/>
      <c r="Q34" s="23"/>
      <c r="R34" s="23"/>
      <c r="S34" s="25"/>
      <c r="T34" s="114"/>
      <c r="U34" s="142"/>
      <c r="V34" s="143"/>
      <c r="W34" s="116"/>
      <c r="X34" s="116"/>
      <c r="Y34" s="116"/>
      <c r="Z34" s="116"/>
      <c r="AA34" s="114"/>
      <c r="AB34" s="142"/>
      <c r="AC34" s="143"/>
      <c r="AD34" s="116"/>
      <c r="AE34" s="116"/>
      <c r="AF34" s="115"/>
      <c r="AG34" s="116"/>
      <c r="AH34" s="116"/>
      <c r="AI34" s="143"/>
    </row>
    <row r="35">
      <c r="A35" s="32"/>
      <c r="B35" s="145">
        <v>33.0</v>
      </c>
      <c r="C35" s="126" t="s">
        <v>249</v>
      </c>
      <c r="D35" s="22">
        <f t="shared" si="2"/>
        <v>0</v>
      </c>
      <c r="E35" s="23"/>
      <c r="F35" s="26"/>
      <c r="G35" s="25"/>
      <c r="H35" s="25"/>
      <c r="I35" s="25"/>
      <c r="J35" s="25"/>
      <c r="K35" s="25"/>
      <c r="L35" s="25"/>
      <c r="M35" s="26"/>
      <c r="N35" s="25"/>
      <c r="O35" s="25"/>
      <c r="P35" s="26"/>
      <c r="Q35" s="23"/>
      <c r="R35" s="23"/>
      <c r="S35" s="25"/>
      <c r="T35" s="114"/>
      <c r="U35" s="142"/>
      <c r="V35" s="143"/>
      <c r="W35" s="116"/>
      <c r="X35" s="116"/>
      <c r="Y35" s="116"/>
      <c r="Z35" s="116"/>
      <c r="AA35" s="114"/>
      <c r="AB35" s="142"/>
      <c r="AC35" s="143"/>
      <c r="AD35" s="116"/>
      <c r="AE35" s="116"/>
      <c r="AF35" s="115"/>
      <c r="AG35" s="116"/>
      <c r="AH35" s="116"/>
      <c r="AI35" s="143"/>
    </row>
    <row r="36">
      <c r="A36" s="32"/>
      <c r="B36" s="186">
        <v>34.0</v>
      </c>
      <c r="C36" s="126" t="s">
        <v>72</v>
      </c>
      <c r="D36" s="22">
        <f t="shared" si="2"/>
        <v>0</v>
      </c>
      <c r="E36" s="23"/>
      <c r="F36" s="26"/>
      <c r="G36" s="25"/>
      <c r="H36" s="25"/>
      <c r="I36" s="25"/>
      <c r="J36" s="25"/>
      <c r="K36" s="23"/>
      <c r="L36" s="25"/>
      <c r="M36" s="26"/>
      <c r="N36" s="25"/>
      <c r="O36" s="25"/>
      <c r="P36" s="23"/>
      <c r="Q36" s="23"/>
      <c r="R36" s="25"/>
      <c r="S36" s="25"/>
      <c r="T36" s="114"/>
      <c r="U36" s="142"/>
      <c r="V36" s="143"/>
      <c r="W36" s="116"/>
      <c r="X36" s="116"/>
      <c r="Y36" s="116"/>
      <c r="Z36" s="117"/>
      <c r="AA36" s="114"/>
      <c r="AB36" s="142"/>
      <c r="AC36" s="143"/>
      <c r="AD36" s="116"/>
      <c r="AE36" s="116"/>
      <c r="AF36" s="115"/>
      <c r="AG36" s="116"/>
      <c r="AH36" s="116"/>
      <c r="AI36" s="143"/>
    </row>
    <row r="37">
      <c r="A37" s="32"/>
      <c r="B37" s="186">
        <v>35.0</v>
      </c>
      <c r="C37" s="126" t="s">
        <v>204</v>
      </c>
      <c r="D37" s="22">
        <f t="shared" si="2"/>
        <v>0</v>
      </c>
      <c r="E37" s="23"/>
      <c r="F37" s="26"/>
      <c r="G37" s="25"/>
      <c r="H37" s="25"/>
      <c r="I37" s="25"/>
      <c r="J37" s="25"/>
      <c r="K37" s="25"/>
      <c r="L37" s="25"/>
      <c r="M37" s="26"/>
      <c r="N37" s="25"/>
      <c r="O37" s="25"/>
      <c r="P37" s="23"/>
      <c r="Q37" s="23"/>
      <c r="R37" s="25"/>
      <c r="S37" s="25"/>
      <c r="T37" s="114"/>
      <c r="U37" s="142"/>
      <c r="V37" s="143"/>
      <c r="W37" s="116"/>
      <c r="X37" s="116"/>
      <c r="Y37" s="116"/>
      <c r="Z37" s="116"/>
      <c r="AA37" s="114"/>
      <c r="AB37" s="142"/>
      <c r="AC37" s="143"/>
      <c r="AD37" s="116"/>
      <c r="AE37" s="116"/>
      <c r="AF37" s="115"/>
      <c r="AG37" s="116"/>
      <c r="AH37" s="116"/>
      <c r="AI37" s="143"/>
    </row>
    <row r="38">
      <c r="A38" s="32"/>
      <c r="B38" s="145">
        <v>36.0</v>
      </c>
      <c r="C38" s="126" t="s">
        <v>279</v>
      </c>
      <c r="D38" s="22">
        <f t="shared" si="2"/>
        <v>0</v>
      </c>
      <c r="E38" s="23"/>
      <c r="F38" s="26"/>
      <c r="G38" s="25"/>
      <c r="H38" s="25"/>
      <c r="I38" s="23"/>
      <c r="J38" s="25"/>
      <c r="K38" s="23"/>
      <c r="L38" s="25"/>
      <c r="M38" s="26"/>
      <c r="N38" s="25"/>
      <c r="O38" s="25"/>
      <c r="P38" s="23"/>
      <c r="Q38" s="23"/>
      <c r="R38" s="25"/>
      <c r="S38" s="25"/>
      <c r="T38" s="114"/>
      <c r="U38" s="142"/>
      <c r="V38" s="146"/>
      <c r="W38" s="116"/>
      <c r="X38" s="116"/>
      <c r="Y38" s="116"/>
      <c r="Z38" s="116"/>
      <c r="AA38" s="147"/>
      <c r="AB38" s="142"/>
      <c r="AC38" s="143"/>
      <c r="AD38" s="116"/>
      <c r="AE38" s="116"/>
      <c r="AF38" s="115"/>
      <c r="AG38" s="116"/>
      <c r="AH38" s="116"/>
      <c r="AI38" s="143"/>
    </row>
    <row r="39">
      <c r="A39" s="32"/>
      <c r="B39" s="186">
        <v>37.0</v>
      </c>
      <c r="C39" s="162" t="s">
        <v>81</v>
      </c>
      <c r="D39" s="22">
        <f t="shared" si="2"/>
        <v>0</v>
      </c>
      <c r="E39" s="26"/>
      <c r="F39" s="26"/>
      <c r="G39" s="25"/>
      <c r="H39" s="25"/>
      <c r="I39" s="25"/>
      <c r="J39" s="25"/>
      <c r="K39" s="159"/>
      <c r="L39" s="25"/>
      <c r="M39" s="26"/>
      <c r="N39" s="25"/>
      <c r="O39" s="25"/>
      <c r="P39" s="26"/>
      <c r="Q39" s="23"/>
      <c r="R39" s="159"/>
      <c r="S39" s="26"/>
      <c r="T39" s="114"/>
      <c r="U39" s="142"/>
      <c r="V39" s="143"/>
      <c r="W39" s="116"/>
      <c r="X39" s="117"/>
      <c r="Y39" s="116"/>
      <c r="Z39" s="117"/>
      <c r="AA39" s="116"/>
      <c r="AB39" s="142"/>
      <c r="AC39" s="143"/>
      <c r="AD39" s="116"/>
      <c r="AE39" s="116"/>
      <c r="AF39" s="115"/>
      <c r="AG39" s="116"/>
      <c r="AH39" s="116"/>
      <c r="AI39" s="143"/>
    </row>
    <row r="40">
      <c r="A40" s="32"/>
      <c r="B40" s="186">
        <v>38.0</v>
      </c>
      <c r="C40" s="126" t="s">
        <v>153</v>
      </c>
      <c r="D40" s="22">
        <f t="shared" si="2"/>
        <v>0</v>
      </c>
      <c r="E40" s="23"/>
      <c r="F40" s="26"/>
      <c r="G40" s="25"/>
      <c r="H40" s="25"/>
      <c r="I40" s="25"/>
      <c r="J40" s="25"/>
      <c r="K40" s="25"/>
      <c r="L40" s="25"/>
      <c r="M40" s="26"/>
      <c r="N40" s="25"/>
      <c r="O40" s="25"/>
      <c r="P40" s="26"/>
      <c r="Q40" s="23"/>
      <c r="R40" s="159"/>
      <c r="S40" s="25"/>
      <c r="T40" s="114"/>
      <c r="U40" s="142"/>
      <c r="V40" s="143"/>
      <c r="W40" s="116"/>
      <c r="X40" s="116"/>
      <c r="Y40" s="116"/>
      <c r="Z40" s="116"/>
      <c r="AA40" s="114"/>
      <c r="AB40" s="142"/>
      <c r="AC40" s="143"/>
      <c r="AD40" s="116"/>
      <c r="AE40" s="116"/>
      <c r="AF40" s="115"/>
      <c r="AG40" s="116"/>
      <c r="AH40" s="116"/>
      <c r="AI40" s="143"/>
    </row>
    <row r="41">
      <c r="A41" s="32"/>
      <c r="B41" s="145">
        <v>39.0</v>
      </c>
      <c r="C41" s="126" t="s">
        <v>198</v>
      </c>
      <c r="D41" s="22">
        <f t="shared" si="2"/>
        <v>0</v>
      </c>
      <c r="E41" s="23"/>
      <c r="F41" s="26"/>
      <c r="G41" s="25"/>
      <c r="H41" s="25"/>
      <c r="I41" s="25"/>
      <c r="J41" s="25"/>
      <c r="K41" s="25"/>
      <c r="L41" s="25"/>
      <c r="M41" s="26"/>
      <c r="N41" s="25"/>
      <c r="O41" s="25"/>
      <c r="P41" s="23"/>
      <c r="Q41" s="23"/>
      <c r="R41" s="25"/>
      <c r="S41" s="25"/>
      <c r="T41" s="114"/>
      <c r="U41" s="142"/>
      <c r="V41" s="143"/>
      <c r="W41" s="114"/>
      <c r="X41" s="116"/>
      <c r="Y41" s="116"/>
      <c r="Z41" s="116"/>
      <c r="AA41" s="114"/>
      <c r="AB41" s="142"/>
      <c r="AC41" s="143"/>
      <c r="AD41" s="114"/>
      <c r="AE41" s="115"/>
      <c r="AF41" s="115"/>
      <c r="AG41" s="116"/>
      <c r="AH41" s="116"/>
      <c r="AI41" s="143"/>
    </row>
    <row r="42">
      <c r="A42" s="32"/>
      <c r="B42" s="186">
        <v>40.0</v>
      </c>
      <c r="C42" s="126" t="s">
        <v>257</v>
      </c>
      <c r="D42" s="22">
        <f t="shared" si="2"/>
        <v>0</v>
      </c>
      <c r="E42" s="23"/>
      <c r="F42" s="26"/>
      <c r="G42" s="25"/>
      <c r="H42" s="25"/>
      <c r="I42" s="25"/>
      <c r="J42" s="25"/>
      <c r="K42" s="26"/>
      <c r="L42" s="23"/>
      <c r="M42" s="26"/>
      <c r="N42" s="25"/>
      <c r="O42" s="25"/>
      <c r="P42" s="23"/>
      <c r="Q42" s="23"/>
      <c r="R42" s="25"/>
      <c r="S42" s="25"/>
      <c r="T42" s="114"/>
      <c r="U42" s="142"/>
      <c r="V42" s="143"/>
      <c r="W42" s="116"/>
      <c r="X42" s="116"/>
      <c r="Y42" s="116"/>
      <c r="Z42" s="116"/>
      <c r="AA42" s="116"/>
      <c r="AB42" s="142"/>
      <c r="AC42" s="143"/>
      <c r="AD42" s="116"/>
      <c r="AE42" s="116"/>
      <c r="AF42" s="115"/>
      <c r="AG42" s="116"/>
      <c r="AH42" s="116"/>
      <c r="AI42" s="143"/>
    </row>
    <row r="43">
      <c r="A43" s="15"/>
      <c r="B43" s="186">
        <v>41.0</v>
      </c>
      <c r="C43" s="152" t="s">
        <v>384</v>
      </c>
      <c r="D43" s="22">
        <f t="shared" si="2"/>
        <v>0</v>
      </c>
      <c r="E43" s="23"/>
      <c r="F43" s="26"/>
      <c r="G43" s="25"/>
      <c r="H43" s="25"/>
      <c r="I43" s="25"/>
      <c r="J43" s="25"/>
      <c r="K43" s="26"/>
      <c r="L43" s="23"/>
      <c r="M43" s="26"/>
      <c r="N43" s="25"/>
      <c r="O43" s="25"/>
      <c r="P43" s="23"/>
      <c r="Q43" s="23"/>
      <c r="R43" s="25"/>
      <c r="S43" s="25"/>
      <c r="T43" s="114"/>
      <c r="U43" s="142"/>
      <c r="V43" s="143"/>
      <c r="W43" s="116"/>
      <c r="X43" s="116"/>
      <c r="Y43" s="116"/>
      <c r="Z43" s="116"/>
      <c r="AA43" s="116"/>
      <c r="AB43" s="142"/>
      <c r="AC43" s="143"/>
      <c r="AD43" s="116"/>
      <c r="AE43" s="116"/>
      <c r="AF43" s="115"/>
      <c r="AG43" s="116"/>
      <c r="AH43" s="116"/>
      <c r="AI43" s="143"/>
    </row>
    <row r="44">
      <c r="A44" s="163">
        <v>45547.0</v>
      </c>
      <c r="B44" s="191">
        <v>42.0</v>
      </c>
      <c r="C44" s="155" t="s">
        <v>26</v>
      </c>
      <c r="D44" s="22">
        <f t="shared" si="2"/>
        <v>0</v>
      </c>
      <c r="E44" s="23"/>
      <c r="F44" s="26"/>
      <c r="G44" s="25"/>
      <c r="H44" s="25"/>
      <c r="I44" s="159"/>
      <c r="J44" s="23"/>
      <c r="K44" s="26"/>
      <c r="L44" s="25"/>
      <c r="M44" s="26"/>
      <c r="N44" s="25"/>
      <c r="O44" s="25"/>
      <c r="P44" s="23"/>
      <c r="Q44" s="23"/>
      <c r="R44" s="25"/>
      <c r="S44" s="25"/>
      <c r="T44" s="114"/>
      <c r="U44" s="142"/>
      <c r="V44" s="143"/>
      <c r="W44" s="117"/>
      <c r="X44" s="116"/>
      <c r="Y44" s="116"/>
      <c r="Z44" s="117"/>
      <c r="AA44" s="117"/>
      <c r="AB44" s="142"/>
      <c r="AC44" s="143"/>
      <c r="AD44" s="114"/>
      <c r="AE44" s="115"/>
      <c r="AF44" s="115"/>
      <c r="AG44" s="116"/>
      <c r="AH44" s="116"/>
      <c r="AI44" s="143"/>
    </row>
    <row r="45">
      <c r="A45" s="32"/>
      <c r="B45" s="191">
        <v>43.0</v>
      </c>
      <c r="C45" s="155" t="s">
        <v>51</v>
      </c>
      <c r="D45" s="22">
        <f t="shared" si="2"/>
        <v>0</v>
      </c>
      <c r="E45" s="26"/>
      <c r="F45" s="26"/>
      <c r="G45" s="25"/>
      <c r="H45" s="25"/>
      <c r="I45" s="23"/>
      <c r="J45" s="23"/>
      <c r="K45" s="23"/>
      <c r="L45" s="25"/>
      <c r="M45" s="26"/>
      <c r="N45" s="25"/>
      <c r="O45" s="25"/>
      <c r="P45" s="26"/>
      <c r="Q45" s="26"/>
      <c r="R45" s="26"/>
      <c r="S45" s="26"/>
      <c r="T45" s="114"/>
      <c r="U45" s="142"/>
      <c r="V45" s="143"/>
      <c r="W45" s="117"/>
      <c r="X45" s="116"/>
      <c r="Y45" s="116"/>
      <c r="Z45" s="116"/>
      <c r="AA45" s="114"/>
      <c r="AB45" s="142"/>
      <c r="AC45" s="143"/>
      <c r="AD45" s="116"/>
      <c r="AE45" s="116"/>
      <c r="AF45" s="115"/>
      <c r="AG45" s="116"/>
      <c r="AH45" s="116"/>
      <c r="AI45" s="143"/>
    </row>
    <row r="46">
      <c r="A46" s="32"/>
      <c r="B46" s="156">
        <v>44.0</v>
      </c>
      <c r="C46" s="39" t="s">
        <v>23</v>
      </c>
      <c r="D46" s="22">
        <f t="shared" si="2"/>
        <v>0</v>
      </c>
      <c r="E46" s="23"/>
      <c r="F46" s="26"/>
      <c r="G46" s="25"/>
      <c r="H46" s="25"/>
      <c r="I46" s="25"/>
      <c r="J46" s="159"/>
      <c r="K46" s="23"/>
      <c r="L46" s="25"/>
      <c r="M46" s="26"/>
      <c r="N46" s="25"/>
      <c r="O46" s="25"/>
      <c r="P46" s="23"/>
      <c r="Q46" s="23"/>
      <c r="R46" s="25"/>
      <c r="S46" s="25"/>
      <c r="T46" s="114"/>
      <c r="U46" s="142"/>
      <c r="V46" s="146"/>
      <c r="W46" s="114"/>
      <c r="X46" s="116"/>
      <c r="Y46" s="117"/>
      <c r="Z46" s="117"/>
      <c r="AA46" s="117"/>
      <c r="AB46" s="142"/>
      <c r="AC46" s="143"/>
      <c r="AD46" s="115"/>
      <c r="AE46" s="116"/>
      <c r="AF46" s="115"/>
      <c r="AG46" s="116"/>
      <c r="AH46" s="116"/>
      <c r="AI46" s="143"/>
    </row>
    <row r="47">
      <c r="A47" s="32"/>
      <c r="B47" s="192">
        <v>45.0</v>
      </c>
      <c r="C47" s="164" t="s">
        <v>17</v>
      </c>
      <c r="D47" s="22">
        <f t="shared" si="2"/>
        <v>0</v>
      </c>
      <c r="E47" s="23"/>
      <c r="F47" s="26"/>
      <c r="G47" s="25"/>
      <c r="H47" s="25"/>
      <c r="I47" s="25"/>
      <c r="J47" s="25"/>
      <c r="K47" s="23"/>
      <c r="L47" s="25"/>
      <c r="M47" s="25"/>
      <c r="N47" s="25"/>
      <c r="O47" s="25"/>
      <c r="P47" s="23"/>
      <c r="Q47" s="23"/>
      <c r="R47" s="25"/>
      <c r="S47" s="25"/>
      <c r="T47" s="114"/>
      <c r="U47" s="142"/>
      <c r="V47" s="143"/>
      <c r="W47" s="116"/>
      <c r="X47" s="116"/>
      <c r="Y47" s="116"/>
      <c r="Z47" s="116"/>
      <c r="AA47" s="116"/>
      <c r="AB47" s="142"/>
      <c r="AC47" s="146"/>
      <c r="AD47" s="116"/>
      <c r="AE47" s="116"/>
      <c r="AF47" s="115"/>
      <c r="AG47" s="116"/>
      <c r="AH47" s="116"/>
      <c r="AI47" s="143"/>
    </row>
    <row r="48">
      <c r="A48" s="32"/>
      <c r="B48" s="154">
        <v>46.0</v>
      </c>
      <c r="C48" s="155" t="s">
        <v>260</v>
      </c>
      <c r="D48" s="22">
        <f t="shared" si="2"/>
        <v>0</v>
      </c>
      <c r="E48" s="23"/>
      <c r="F48" s="26"/>
      <c r="G48" s="25"/>
      <c r="H48" s="25"/>
      <c r="I48" s="25"/>
      <c r="J48" s="23"/>
      <c r="K48" s="25"/>
      <c r="L48" s="26"/>
      <c r="M48" s="26"/>
      <c r="N48" s="25"/>
      <c r="O48" s="25"/>
      <c r="P48" s="26"/>
      <c r="Q48" s="23"/>
      <c r="R48" s="23"/>
      <c r="S48" s="25"/>
      <c r="T48" s="114"/>
      <c r="U48" s="142"/>
      <c r="V48" s="143"/>
      <c r="W48" s="116"/>
      <c r="X48" s="116"/>
      <c r="Y48" s="116"/>
      <c r="Z48" s="116"/>
      <c r="AA48" s="114"/>
      <c r="AB48" s="142"/>
      <c r="AC48" s="143"/>
      <c r="AD48" s="116"/>
      <c r="AE48" s="116"/>
      <c r="AF48" s="115"/>
      <c r="AG48" s="116"/>
      <c r="AH48" s="116"/>
      <c r="AI48" s="143"/>
    </row>
    <row r="49">
      <c r="A49" s="193" t="s">
        <v>281</v>
      </c>
      <c r="B49" s="194">
        <v>47.0</v>
      </c>
      <c r="C49" s="126" t="s">
        <v>32</v>
      </c>
      <c r="D49" s="22">
        <f t="shared" si="2"/>
        <v>0</v>
      </c>
      <c r="E49" s="23"/>
      <c r="F49" s="26"/>
      <c r="G49" s="25"/>
      <c r="H49" s="25"/>
      <c r="I49" s="23"/>
      <c r="J49" s="23"/>
      <c r="K49" s="23"/>
      <c r="L49" s="25"/>
      <c r="M49" s="26"/>
      <c r="N49" s="25"/>
      <c r="O49" s="25"/>
      <c r="P49" s="23"/>
      <c r="Q49" s="23"/>
      <c r="R49" s="26"/>
      <c r="S49" s="25"/>
      <c r="T49" s="114"/>
      <c r="U49" s="142"/>
      <c r="V49" s="143"/>
      <c r="W49" s="26"/>
      <c r="X49" s="117"/>
      <c r="Y49" s="117"/>
      <c r="Z49" s="117"/>
      <c r="AA49" s="114"/>
      <c r="AB49" s="142"/>
      <c r="AC49" s="143"/>
      <c r="AD49" s="116"/>
      <c r="AE49" s="116"/>
      <c r="AF49" s="115"/>
      <c r="AG49" s="116"/>
      <c r="AH49" s="116"/>
      <c r="AI49" s="143"/>
    </row>
    <row r="50">
      <c r="A50" s="166" t="s">
        <v>282</v>
      </c>
      <c r="B50" s="195">
        <v>48.0</v>
      </c>
      <c r="C50" s="150" t="s">
        <v>138</v>
      </c>
      <c r="D50" s="22">
        <f t="shared" si="2"/>
        <v>0</v>
      </c>
      <c r="E50" s="23"/>
      <c r="F50" s="26"/>
      <c r="G50" s="25"/>
      <c r="H50" s="25"/>
      <c r="I50" s="25"/>
      <c r="J50" s="25"/>
      <c r="K50" s="25"/>
      <c r="L50" s="25"/>
      <c r="M50" s="26"/>
      <c r="N50" s="25"/>
      <c r="O50" s="25"/>
      <c r="P50" s="23"/>
      <c r="Q50" s="23"/>
      <c r="R50" s="25"/>
      <c r="S50" s="25"/>
      <c r="T50" s="116"/>
      <c r="U50" s="142"/>
      <c r="V50" s="143"/>
      <c r="W50" s="116"/>
      <c r="X50" s="116"/>
      <c r="Y50" s="116"/>
      <c r="Z50" s="116"/>
      <c r="AA50" s="114"/>
      <c r="AB50" s="142"/>
      <c r="AC50" s="143"/>
      <c r="AD50" s="116"/>
      <c r="AE50" s="116"/>
      <c r="AF50" s="115"/>
      <c r="AG50" s="116"/>
      <c r="AH50" s="116"/>
      <c r="AI50" s="143"/>
    </row>
    <row r="51">
      <c r="A51" s="32"/>
      <c r="B51" s="167">
        <v>49.0</v>
      </c>
      <c r="C51" s="150" t="s">
        <v>228</v>
      </c>
      <c r="D51" s="22">
        <f t="shared" si="2"/>
        <v>0</v>
      </c>
      <c r="E51" s="23"/>
      <c r="F51" s="26"/>
      <c r="G51" s="25"/>
      <c r="H51" s="25"/>
      <c r="I51" s="25"/>
      <c r="J51" s="25"/>
      <c r="K51" s="25"/>
      <c r="L51" s="25"/>
      <c r="M51" s="26"/>
      <c r="N51" s="25"/>
      <c r="O51" s="25"/>
      <c r="P51" s="23"/>
      <c r="Q51" s="23"/>
      <c r="R51" s="25"/>
      <c r="S51" s="25"/>
      <c r="T51" s="116"/>
      <c r="U51" s="142"/>
      <c r="V51" s="143"/>
      <c r="W51" s="116"/>
      <c r="X51" s="116"/>
      <c r="Y51" s="116"/>
      <c r="Z51" s="116"/>
      <c r="AA51" s="114"/>
      <c r="AB51" s="142"/>
      <c r="AC51" s="143"/>
      <c r="AD51" s="116"/>
      <c r="AE51" s="116"/>
      <c r="AF51" s="115"/>
      <c r="AG51" s="116"/>
      <c r="AH51" s="116"/>
      <c r="AI51" s="143"/>
    </row>
    <row r="52">
      <c r="A52" s="32"/>
      <c r="B52" s="195">
        <v>50.0</v>
      </c>
      <c r="C52" s="150" t="s">
        <v>273</v>
      </c>
      <c r="D52" s="22">
        <f t="shared" si="2"/>
        <v>0</v>
      </c>
      <c r="E52" s="23"/>
      <c r="F52" s="26"/>
      <c r="G52" s="25"/>
      <c r="H52" s="25"/>
      <c r="I52" s="25"/>
      <c r="J52" s="25"/>
      <c r="K52" s="25"/>
      <c r="L52" s="25"/>
      <c r="M52" s="26"/>
      <c r="N52" s="25"/>
      <c r="O52" s="25"/>
      <c r="P52" s="23"/>
      <c r="Q52" s="23"/>
      <c r="R52" s="25"/>
      <c r="S52" s="25"/>
      <c r="T52" s="116"/>
      <c r="U52" s="142"/>
      <c r="V52" s="143"/>
      <c r="W52" s="116"/>
      <c r="X52" s="116"/>
      <c r="Y52" s="116"/>
      <c r="Z52" s="116"/>
      <c r="AA52" s="114"/>
      <c r="AB52" s="142"/>
      <c r="AC52" s="143"/>
      <c r="AD52" s="116"/>
      <c r="AE52" s="116"/>
      <c r="AF52" s="115"/>
      <c r="AG52" s="116"/>
      <c r="AH52" s="116"/>
      <c r="AI52" s="143"/>
    </row>
    <row r="53">
      <c r="A53" s="32"/>
      <c r="B53" s="195">
        <v>51.0</v>
      </c>
      <c r="C53" s="150" t="s">
        <v>10</v>
      </c>
      <c r="D53" s="22">
        <f t="shared" si="2"/>
        <v>0</v>
      </c>
      <c r="E53" s="23"/>
      <c r="F53" s="26"/>
      <c r="G53" s="25"/>
      <c r="H53" s="25"/>
      <c r="I53" s="25"/>
      <c r="J53" s="25"/>
      <c r="K53" s="25"/>
      <c r="L53" s="25"/>
      <c r="M53" s="26"/>
      <c r="N53" s="25"/>
      <c r="O53" s="25"/>
      <c r="P53" s="23"/>
      <c r="Q53" s="23"/>
      <c r="R53" s="25"/>
      <c r="S53" s="25"/>
      <c r="T53" s="116"/>
      <c r="U53" s="142"/>
      <c r="V53" s="143"/>
      <c r="W53" s="116"/>
      <c r="X53" s="116"/>
      <c r="Y53" s="116"/>
      <c r="Z53" s="116"/>
      <c r="AA53" s="114"/>
      <c r="AB53" s="142"/>
      <c r="AC53" s="143"/>
      <c r="AD53" s="116"/>
      <c r="AE53" s="116"/>
      <c r="AF53" s="115"/>
      <c r="AG53" s="116"/>
      <c r="AH53" s="116"/>
      <c r="AI53" s="143"/>
    </row>
    <row r="54">
      <c r="A54" s="32"/>
      <c r="B54" s="167">
        <v>52.0</v>
      </c>
      <c r="C54" s="150" t="s">
        <v>6</v>
      </c>
      <c r="D54" s="22">
        <f t="shared" si="2"/>
        <v>0</v>
      </c>
      <c r="E54" s="23"/>
      <c r="F54" s="26"/>
      <c r="G54" s="25"/>
      <c r="H54" s="25"/>
      <c r="I54" s="25"/>
      <c r="J54" s="25"/>
      <c r="K54" s="25"/>
      <c r="L54" s="25"/>
      <c r="M54" s="25"/>
      <c r="N54" s="25"/>
      <c r="O54" s="25"/>
      <c r="P54" s="23"/>
      <c r="Q54" s="23"/>
      <c r="R54" s="25"/>
      <c r="S54" s="25"/>
      <c r="T54" s="116"/>
      <c r="U54" s="142"/>
      <c r="V54" s="143"/>
      <c r="W54" s="116"/>
      <c r="X54" s="116"/>
      <c r="Y54" s="116"/>
      <c r="Z54" s="116"/>
      <c r="AA54" s="116"/>
      <c r="AB54" s="142"/>
      <c r="AC54" s="143"/>
      <c r="AD54" s="116"/>
      <c r="AE54" s="116"/>
      <c r="AF54" s="115"/>
      <c r="AG54" s="116"/>
      <c r="AH54" s="116"/>
      <c r="AI54" s="143"/>
    </row>
    <row r="55">
      <c r="A55" s="32"/>
      <c r="B55" s="195">
        <v>53.0</v>
      </c>
      <c r="C55" s="150" t="s">
        <v>75</v>
      </c>
      <c r="D55" s="22">
        <f t="shared" si="2"/>
        <v>0</v>
      </c>
      <c r="E55" s="23"/>
      <c r="F55" s="26"/>
      <c r="G55" s="25"/>
      <c r="H55" s="25"/>
      <c r="I55" s="25"/>
      <c r="J55" s="25"/>
      <c r="K55" s="25"/>
      <c r="L55" s="25"/>
      <c r="M55" s="26"/>
      <c r="N55" s="25"/>
      <c r="O55" s="25"/>
      <c r="P55" s="23"/>
      <c r="Q55" s="23"/>
      <c r="R55" s="25"/>
      <c r="S55" s="25"/>
      <c r="T55" s="116"/>
      <c r="U55" s="142"/>
      <c r="V55" s="143"/>
      <c r="W55" s="116"/>
      <c r="X55" s="116"/>
      <c r="Y55" s="116"/>
      <c r="Z55" s="116"/>
      <c r="AA55" s="114"/>
      <c r="AB55" s="142"/>
      <c r="AC55" s="143"/>
      <c r="AD55" s="116"/>
      <c r="AE55" s="116"/>
      <c r="AF55" s="115"/>
      <c r="AG55" s="116"/>
      <c r="AH55" s="116"/>
      <c r="AI55" s="143"/>
    </row>
    <row r="56">
      <c r="A56" s="32"/>
      <c r="B56" s="195">
        <v>54.0</v>
      </c>
      <c r="C56" s="150" t="s">
        <v>120</v>
      </c>
      <c r="D56" s="22">
        <f t="shared" si="2"/>
        <v>0</v>
      </c>
      <c r="E56" s="23"/>
      <c r="F56" s="26"/>
      <c r="G56" s="25"/>
      <c r="H56" s="25"/>
      <c r="I56" s="25"/>
      <c r="J56" s="25"/>
      <c r="K56" s="25"/>
      <c r="L56" s="25"/>
      <c r="M56" s="25"/>
      <c r="N56" s="25"/>
      <c r="O56" s="25"/>
      <c r="P56" s="23"/>
      <c r="Q56" s="23"/>
      <c r="R56" s="25"/>
      <c r="S56" s="25"/>
      <c r="T56" s="116"/>
      <c r="U56" s="142"/>
      <c r="V56" s="143"/>
      <c r="W56" s="116"/>
      <c r="X56" s="116"/>
      <c r="Y56" s="116"/>
      <c r="Z56" s="116"/>
      <c r="AA56" s="116"/>
      <c r="AB56" s="142"/>
      <c r="AC56" s="143"/>
      <c r="AD56" s="116"/>
      <c r="AE56" s="116"/>
      <c r="AF56" s="115"/>
      <c r="AG56" s="116"/>
      <c r="AH56" s="116"/>
      <c r="AI56" s="143"/>
    </row>
    <row r="57">
      <c r="A57" s="32"/>
      <c r="B57" s="167">
        <v>55.0</v>
      </c>
      <c r="C57" s="168" t="s">
        <v>123</v>
      </c>
      <c r="D57" s="22">
        <f t="shared" si="2"/>
        <v>0</v>
      </c>
      <c r="E57" s="23"/>
      <c r="F57" s="26"/>
      <c r="G57" s="25"/>
      <c r="H57" s="25"/>
      <c r="I57" s="25"/>
      <c r="J57" s="25"/>
      <c r="K57" s="25"/>
      <c r="L57" s="25"/>
      <c r="M57" s="25"/>
      <c r="N57" s="25"/>
      <c r="O57" s="25"/>
      <c r="P57" s="23"/>
      <c r="Q57" s="23"/>
      <c r="R57" s="25"/>
      <c r="S57" s="25"/>
      <c r="T57" s="116"/>
      <c r="U57" s="142"/>
      <c r="V57" s="143"/>
      <c r="W57" s="116"/>
      <c r="X57" s="116"/>
      <c r="Y57" s="116"/>
      <c r="Z57" s="116"/>
      <c r="AA57" s="116"/>
      <c r="AB57" s="142"/>
      <c r="AC57" s="143"/>
      <c r="AD57" s="116"/>
      <c r="AE57" s="116"/>
      <c r="AF57" s="115"/>
      <c r="AG57" s="116"/>
      <c r="AH57" s="116"/>
      <c r="AI57" s="143"/>
    </row>
    <row r="58">
      <c r="A58" s="32"/>
      <c r="B58" s="195">
        <v>56.0</v>
      </c>
      <c r="C58" s="150" t="s">
        <v>111</v>
      </c>
      <c r="D58" s="22">
        <f t="shared" si="2"/>
        <v>0</v>
      </c>
      <c r="E58" s="23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3"/>
      <c r="Q58" s="23"/>
      <c r="R58" s="25"/>
      <c r="S58" s="25"/>
      <c r="T58" s="116"/>
      <c r="U58" s="142"/>
      <c r="V58" s="143"/>
      <c r="W58" s="116"/>
      <c r="X58" s="116"/>
      <c r="Y58" s="116"/>
      <c r="Z58" s="116"/>
      <c r="AA58" s="116"/>
      <c r="AB58" s="142"/>
      <c r="AC58" s="146"/>
      <c r="AD58" s="116"/>
      <c r="AE58" s="116"/>
      <c r="AF58" s="115"/>
      <c r="AG58" s="116"/>
      <c r="AH58" s="116"/>
      <c r="AI58" s="143"/>
    </row>
    <row r="59">
      <c r="A59" s="32"/>
      <c r="B59" s="195">
        <v>57.0</v>
      </c>
      <c r="C59" s="168" t="s">
        <v>114</v>
      </c>
      <c r="D59" s="22">
        <f t="shared" si="2"/>
        <v>0</v>
      </c>
      <c r="E59" s="23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3"/>
      <c r="Q59" s="23"/>
      <c r="R59" s="25"/>
      <c r="S59" s="25"/>
      <c r="T59" s="116"/>
      <c r="U59" s="142"/>
      <c r="V59" s="143"/>
      <c r="W59" s="116"/>
      <c r="X59" s="116"/>
      <c r="Y59" s="116"/>
      <c r="Z59" s="116"/>
      <c r="AA59" s="116"/>
      <c r="AB59" s="142"/>
      <c r="AC59" s="143"/>
      <c r="AD59" s="116"/>
      <c r="AE59" s="116"/>
      <c r="AF59" s="115"/>
      <c r="AG59" s="116"/>
      <c r="AH59" s="116"/>
      <c r="AI59" s="143"/>
    </row>
    <row r="60">
      <c r="A60" s="32"/>
      <c r="B60" s="167">
        <v>58.0</v>
      </c>
      <c r="C60" s="168" t="s">
        <v>129</v>
      </c>
      <c r="D60" s="22">
        <f t="shared" si="2"/>
        <v>0</v>
      </c>
      <c r="E60" s="23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3"/>
      <c r="Q60" s="23"/>
      <c r="R60" s="25"/>
      <c r="S60" s="25"/>
      <c r="T60" s="116"/>
      <c r="U60" s="142"/>
      <c r="V60" s="143"/>
      <c r="W60" s="116"/>
      <c r="X60" s="116"/>
      <c r="Y60" s="116"/>
      <c r="Z60" s="116"/>
      <c r="AA60" s="116"/>
      <c r="AB60" s="142"/>
      <c r="AC60" s="143"/>
      <c r="AD60" s="115"/>
      <c r="AE60" s="116"/>
      <c r="AF60" s="115"/>
      <c r="AG60" s="116"/>
      <c r="AH60" s="116"/>
      <c r="AI60" s="143"/>
    </row>
    <row r="61">
      <c r="A61" s="32"/>
      <c r="B61" s="195">
        <v>59.0</v>
      </c>
      <c r="C61" s="150" t="s">
        <v>126</v>
      </c>
      <c r="D61" s="22">
        <f t="shared" si="2"/>
        <v>0</v>
      </c>
      <c r="E61" s="23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3"/>
      <c r="Q61" s="23"/>
      <c r="R61" s="25"/>
      <c r="S61" s="25"/>
      <c r="T61" s="116"/>
      <c r="U61" s="142"/>
      <c r="V61" s="146"/>
      <c r="W61" s="116"/>
      <c r="X61" s="116"/>
      <c r="Y61" s="116"/>
      <c r="Z61" s="116"/>
      <c r="AA61" s="116"/>
      <c r="AB61" s="142"/>
      <c r="AC61" s="146"/>
      <c r="AD61" s="116"/>
      <c r="AE61" s="116"/>
      <c r="AF61" s="115"/>
      <c r="AG61" s="116"/>
      <c r="AH61" s="116"/>
      <c r="AI61" s="146"/>
    </row>
    <row r="62">
      <c r="A62" s="32"/>
      <c r="B62" s="195">
        <v>60.0</v>
      </c>
      <c r="C62" s="150" t="s">
        <v>287</v>
      </c>
      <c r="D62" s="22">
        <f t="shared" si="2"/>
        <v>0</v>
      </c>
      <c r="E62" s="23"/>
      <c r="F62" s="26"/>
      <c r="G62" s="25"/>
      <c r="H62" s="25"/>
      <c r="I62" s="25"/>
      <c r="J62" s="25"/>
      <c r="K62" s="25"/>
      <c r="L62" s="25"/>
      <c r="M62" s="25"/>
      <c r="N62" s="25"/>
      <c r="O62" s="25"/>
      <c r="P62" s="23"/>
      <c r="Q62" s="23"/>
      <c r="R62" s="25"/>
      <c r="S62" s="25"/>
      <c r="T62" s="116"/>
      <c r="U62" s="142"/>
      <c r="V62" s="143"/>
      <c r="W62" s="116"/>
      <c r="X62" s="116"/>
      <c r="Y62" s="116"/>
      <c r="Z62" s="116"/>
      <c r="AA62" s="116"/>
      <c r="AB62" s="142"/>
      <c r="AC62" s="143"/>
      <c r="AD62" s="116"/>
      <c r="AE62" s="116"/>
      <c r="AF62" s="115"/>
      <c r="AG62" s="116"/>
      <c r="AH62" s="116"/>
      <c r="AI62" s="143"/>
    </row>
    <row r="63">
      <c r="A63" s="32"/>
      <c r="B63" s="167">
        <v>61.0</v>
      </c>
      <c r="C63" s="169" t="s">
        <v>162</v>
      </c>
      <c r="D63" s="22">
        <f t="shared" si="2"/>
        <v>0</v>
      </c>
      <c r="E63" s="23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3"/>
      <c r="Q63" s="23"/>
      <c r="R63" s="25"/>
      <c r="S63" s="25"/>
      <c r="T63" s="116"/>
      <c r="U63" s="142"/>
      <c r="V63" s="143"/>
      <c r="W63" s="116"/>
      <c r="X63" s="116"/>
      <c r="Y63" s="116"/>
      <c r="Z63" s="116"/>
      <c r="AA63" s="116"/>
      <c r="AB63" s="142"/>
      <c r="AC63" s="143"/>
      <c r="AD63" s="116"/>
      <c r="AE63" s="116"/>
      <c r="AF63" s="115"/>
      <c r="AG63" s="116"/>
      <c r="AH63" s="116"/>
      <c r="AI63" s="143"/>
    </row>
    <row r="64">
      <c r="A64" s="32"/>
      <c r="B64" s="195">
        <v>62.0</v>
      </c>
      <c r="C64" s="150" t="s">
        <v>38</v>
      </c>
      <c r="D64" s="22">
        <f t="shared" si="2"/>
        <v>0</v>
      </c>
      <c r="E64" s="23"/>
      <c r="F64" s="26"/>
      <c r="G64" s="25"/>
      <c r="H64" s="25"/>
      <c r="I64" s="25"/>
      <c r="J64" s="25"/>
      <c r="K64" s="25"/>
      <c r="L64" s="25"/>
      <c r="M64" s="25"/>
      <c r="N64" s="25"/>
      <c r="O64" s="25"/>
      <c r="P64" s="23"/>
      <c r="Q64" s="23"/>
      <c r="R64" s="25"/>
      <c r="S64" s="25"/>
      <c r="T64" s="116"/>
      <c r="U64" s="142"/>
      <c r="V64" s="143"/>
      <c r="W64" s="116"/>
      <c r="X64" s="116"/>
      <c r="Y64" s="116"/>
      <c r="Z64" s="116"/>
      <c r="AA64" s="114"/>
      <c r="AB64" s="142"/>
      <c r="AC64" s="143"/>
      <c r="AD64" s="116"/>
      <c r="AE64" s="116"/>
      <c r="AF64" s="115"/>
      <c r="AG64" s="116"/>
      <c r="AH64" s="116"/>
      <c r="AI64" s="143"/>
    </row>
    <row r="65">
      <c r="A65" s="32"/>
      <c r="B65" s="195">
        <v>63.0</v>
      </c>
      <c r="C65" s="150" t="s">
        <v>117</v>
      </c>
      <c r="D65" s="22">
        <f t="shared" si="2"/>
        <v>0</v>
      </c>
      <c r="E65" s="23"/>
      <c r="F65" s="26"/>
      <c r="G65" s="25"/>
      <c r="H65" s="25"/>
      <c r="I65" s="25"/>
      <c r="J65" s="25"/>
      <c r="K65" s="25"/>
      <c r="L65" s="25"/>
      <c r="M65" s="25"/>
      <c r="N65" s="25"/>
      <c r="O65" s="25"/>
      <c r="P65" s="23"/>
      <c r="Q65" s="23"/>
      <c r="R65" s="25"/>
      <c r="S65" s="25"/>
      <c r="T65" s="116"/>
      <c r="U65" s="142"/>
      <c r="V65" s="143"/>
      <c r="W65" s="116"/>
      <c r="X65" s="116"/>
      <c r="Y65" s="116"/>
      <c r="Z65" s="116"/>
      <c r="AA65" s="114"/>
      <c r="AB65" s="142"/>
      <c r="AC65" s="143"/>
      <c r="AD65" s="115"/>
      <c r="AE65" s="115"/>
      <c r="AF65" s="115"/>
      <c r="AG65" s="116"/>
      <c r="AH65" s="116"/>
      <c r="AI65" s="143"/>
    </row>
    <row r="66">
      <c r="A66" s="32"/>
      <c r="B66" s="167">
        <v>64.0</v>
      </c>
      <c r="C66" s="150" t="s">
        <v>237</v>
      </c>
      <c r="D66" s="22">
        <f t="shared" si="2"/>
        <v>0</v>
      </c>
      <c r="E66" s="23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3"/>
      <c r="Q66" s="23"/>
      <c r="R66" s="25"/>
      <c r="S66" s="25"/>
      <c r="T66" s="116"/>
      <c r="U66" s="142"/>
      <c r="V66" s="143"/>
      <c r="W66" s="116"/>
      <c r="X66" s="116"/>
      <c r="Y66" s="116"/>
      <c r="Z66" s="116"/>
      <c r="AA66" s="116"/>
      <c r="AB66" s="142"/>
      <c r="AC66" s="143"/>
      <c r="AD66" s="116"/>
      <c r="AE66" s="116"/>
      <c r="AF66" s="115"/>
      <c r="AG66" s="116"/>
      <c r="AH66" s="116"/>
      <c r="AI66" s="146"/>
    </row>
    <row r="67">
      <c r="A67" s="15"/>
      <c r="B67" s="195">
        <v>65.0</v>
      </c>
      <c r="C67" s="150" t="s">
        <v>288</v>
      </c>
      <c r="D67" s="22">
        <f t="shared" si="2"/>
        <v>0</v>
      </c>
      <c r="E67" s="23"/>
      <c r="F67" s="26"/>
      <c r="G67" s="25"/>
      <c r="H67" s="25"/>
      <c r="I67" s="25"/>
      <c r="J67" s="25"/>
      <c r="K67" s="25"/>
      <c r="L67" s="25"/>
      <c r="M67" s="25"/>
      <c r="N67" s="25"/>
      <c r="O67" s="25"/>
      <c r="P67" s="23"/>
      <c r="Q67" s="23"/>
      <c r="R67" s="25"/>
      <c r="S67" s="25"/>
      <c r="T67" s="116"/>
      <c r="U67" s="142"/>
      <c r="V67" s="146"/>
      <c r="W67" s="116"/>
      <c r="X67" s="116"/>
      <c r="Y67" s="116"/>
      <c r="Z67" s="116"/>
      <c r="AA67" s="116"/>
      <c r="AB67" s="142"/>
      <c r="AC67" s="143"/>
      <c r="AD67" s="116"/>
      <c r="AE67" s="115"/>
      <c r="AF67" s="115"/>
      <c r="AG67" s="116"/>
      <c r="AH67" s="116"/>
      <c r="AI67" s="146"/>
    </row>
  </sheetData>
  <mergeCells count="10">
    <mergeCell ref="A31:A43"/>
    <mergeCell ref="A44:A48"/>
    <mergeCell ref="A50:A67"/>
    <mergeCell ref="A1:A2"/>
    <mergeCell ref="B1:B2"/>
    <mergeCell ref="C1:C2"/>
    <mergeCell ref="D1:D2"/>
    <mergeCell ref="A3:A4"/>
    <mergeCell ref="A5:A15"/>
    <mergeCell ref="A16:A30"/>
  </mergeCells>
  <conditionalFormatting sqref="D3:D67">
    <cfRule type="cellIs" dxfId="4" priority="1" operator="between">
      <formula>"08:00:00"</formula>
      <formula>"07:00:00"</formula>
    </cfRule>
  </conditionalFormatting>
  <conditionalFormatting sqref="D3:D67">
    <cfRule type="cellIs" dxfId="5" priority="2" operator="between">
      <formula>"07:00:00"</formula>
      <formula>"00:00:01"</formula>
    </cfRule>
  </conditionalFormatting>
  <conditionalFormatting sqref="D3:D67">
    <cfRule type="containsText" dxfId="6" priority="3" operator="containsText" text="Leave">
      <formula>NOT(ISERROR(SEARCH(("Leave"),(D3))))</formula>
    </cfRule>
  </conditionalFormatting>
  <conditionalFormatting sqref="E3:AI67">
    <cfRule type="notContainsText" dxfId="8" priority="4" operator="notContains" text="0">
      <formula>ISERROR(SEARCH(("0"),(E3)))</formula>
    </cfRule>
  </conditionalFormatting>
  <conditionalFormatting sqref="D3:AI67">
    <cfRule type="cellIs" dxfId="2" priority="5" operator="greaterThanOrEqual">
      <formula>"08:45:00"</formula>
    </cfRule>
  </conditionalFormatting>
  <conditionalFormatting sqref="D3:AI67">
    <cfRule type="cellIs" dxfId="3" priority="6" operator="between">
      <formula>"08:44:00"</formula>
      <formula>"08:00:00"</formula>
    </cfRule>
  </conditionalFormatting>
  <conditionalFormatting sqref="E3:AI67">
    <cfRule type="cellIs" dxfId="9" priority="7" operator="between">
      <formula>"07:59:00"</formula>
      <formula>"07:00:00"</formula>
    </cfRule>
  </conditionalFormatting>
  <conditionalFormatting sqref="E3:AI67">
    <cfRule type="cellIs" dxfId="5" priority="8" operator="between">
      <formula>"06:59:00"</formula>
      <formula>"00:00:01"</formula>
    </cfRule>
  </conditionalFormatting>
  <conditionalFormatting sqref="E3:AI67">
    <cfRule type="notContainsBlanks" dxfId="10" priority="9">
      <formula>LEN(TRIM(E3))&gt;0</formula>
    </cfRule>
  </conditionalFormatting>
  <conditionalFormatting sqref="E3:AI67">
    <cfRule type="containsText" dxfId="11" priority="10" operator="containsText" text="Leave">
      <formula>NOT(ISERROR(SEARCH(("Leave"),(E3))))</formula>
    </cfRule>
  </conditionalFormatting>
  <conditionalFormatting sqref="D3:AI67">
    <cfRule type="notContainsBlanks" dxfId="7" priority="11">
      <formula>LEN(TRIM(D3))&gt;0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63"/>
    <col customWidth="1" min="2" max="2" width="3.63"/>
    <col customWidth="1" min="3" max="3" width="21.63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134" t="str">
        <f t="shared" ref="E1:AI1" si="1">text(E2, "ddd")</f>
        <v>Tue</v>
      </c>
      <c r="F1" s="134" t="str">
        <f t="shared" si="1"/>
        <v>Wed</v>
      </c>
      <c r="G1" s="134" t="str">
        <f t="shared" si="1"/>
        <v>Thu</v>
      </c>
      <c r="H1" s="134" t="str">
        <f t="shared" si="1"/>
        <v>Fri</v>
      </c>
      <c r="I1" s="135" t="str">
        <f t="shared" si="1"/>
        <v>Sat</v>
      </c>
      <c r="J1" s="135" t="str">
        <f t="shared" si="1"/>
        <v>Sun</v>
      </c>
      <c r="K1" s="134" t="str">
        <f t="shared" si="1"/>
        <v>Mon</v>
      </c>
      <c r="L1" s="134" t="str">
        <f t="shared" si="1"/>
        <v>Tue</v>
      </c>
      <c r="M1" s="134" t="str">
        <f t="shared" si="1"/>
        <v>Wed</v>
      </c>
      <c r="N1" s="134" t="str">
        <f t="shared" si="1"/>
        <v>Thu</v>
      </c>
      <c r="O1" s="134" t="str">
        <f t="shared" si="1"/>
        <v>Fri</v>
      </c>
      <c r="P1" s="135" t="str">
        <f t="shared" si="1"/>
        <v>Sat</v>
      </c>
      <c r="Q1" s="135" t="str">
        <f t="shared" si="1"/>
        <v>Sun</v>
      </c>
      <c r="R1" s="134" t="str">
        <f t="shared" si="1"/>
        <v>Mon</v>
      </c>
      <c r="S1" s="134" t="str">
        <f t="shared" si="1"/>
        <v>Tue</v>
      </c>
      <c r="T1" s="134" t="str">
        <f t="shared" si="1"/>
        <v>Wed</v>
      </c>
      <c r="U1" s="134" t="str">
        <f t="shared" si="1"/>
        <v>Thu</v>
      </c>
      <c r="V1" s="134" t="str">
        <f t="shared" si="1"/>
        <v>Fri</v>
      </c>
      <c r="W1" s="135" t="str">
        <f t="shared" si="1"/>
        <v>Sat</v>
      </c>
      <c r="X1" s="135" t="str">
        <f t="shared" si="1"/>
        <v>Sun</v>
      </c>
      <c r="Y1" s="134" t="str">
        <f t="shared" si="1"/>
        <v>Mon</v>
      </c>
      <c r="Z1" s="134" t="str">
        <f t="shared" si="1"/>
        <v>Tue</v>
      </c>
      <c r="AA1" s="134" t="str">
        <f t="shared" si="1"/>
        <v>Wed</v>
      </c>
      <c r="AB1" s="134" t="str">
        <f t="shared" si="1"/>
        <v>Thu</v>
      </c>
      <c r="AC1" s="134" t="str">
        <f t="shared" si="1"/>
        <v>Fri</v>
      </c>
      <c r="AD1" s="135" t="str">
        <f t="shared" si="1"/>
        <v>Sat</v>
      </c>
      <c r="AE1" s="135" t="str">
        <f t="shared" si="1"/>
        <v>Sun</v>
      </c>
      <c r="AF1" s="134" t="str">
        <f t="shared" si="1"/>
        <v>Mon</v>
      </c>
      <c r="AG1" s="134" t="str">
        <f t="shared" si="1"/>
        <v>Tue</v>
      </c>
      <c r="AH1" s="134" t="str">
        <f t="shared" si="1"/>
        <v>Wed</v>
      </c>
      <c r="AI1" s="134" t="str">
        <f t="shared" si="1"/>
        <v>Thu</v>
      </c>
    </row>
    <row r="2">
      <c r="B2" s="15"/>
      <c r="C2" s="15"/>
      <c r="D2" s="15"/>
      <c r="E2" s="136">
        <v>45839.0</v>
      </c>
      <c r="F2" s="136">
        <v>45840.0</v>
      </c>
      <c r="G2" s="136">
        <v>45841.0</v>
      </c>
      <c r="H2" s="136">
        <v>45842.0</v>
      </c>
      <c r="I2" s="137">
        <v>45843.0</v>
      </c>
      <c r="J2" s="137">
        <v>45844.0</v>
      </c>
      <c r="K2" s="136">
        <v>45845.0</v>
      </c>
      <c r="L2" s="136">
        <v>45846.0</v>
      </c>
      <c r="M2" s="136">
        <v>45847.0</v>
      </c>
      <c r="N2" s="136">
        <v>45848.0</v>
      </c>
      <c r="O2" s="136">
        <v>45849.0</v>
      </c>
      <c r="P2" s="137">
        <v>45850.0</v>
      </c>
      <c r="Q2" s="137">
        <v>45851.0</v>
      </c>
      <c r="R2" s="136">
        <v>45852.0</v>
      </c>
      <c r="S2" s="136">
        <v>45853.0</v>
      </c>
      <c r="T2" s="136">
        <v>45854.0</v>
      </c>
      <c r="U2" s="136">
        <v>45855.0</v>
      </c>
      <c r="V2" s="136">
        <v>45856.0</v>
      </c>
      <c r="W2" s="137">
        <v>45857.0</v>
      </c>
      <c r="X2" s="137">
        <v>45858.0</v>
      </c>
      <c r="Y2" s="136">
        <v>45859.0</v>
      </c>
      <c r="Z2" s="136">
        <v>45860.0</v>
      </c>
      <c r="AA2" s="136">
        <v>45861.0</v>
      </c>
      <c r="AB2" s="136">
        <v>45862.0</v>
      </c>
      <c r="AC2" s="136">
        <v>45863.0</v>
      </c>
      <c r="AD2" s="137">
        <v>45864.0</v>
      </c>
      <c r="AE2" s="137">
        <v>45865.0</v>
      </c>
      <c r="AF2" s="136">
        <v>45866.0</v>
      </c>
      <c r="AG2" s="136">
        <v>45867.0</v>
      </c>
      <c r="AH2" s="136">
        <v>45868.0</v>
      </c>
      <c r="AI2" s="136">
        <v>45869.0</v>
      </c>
    </row>
    <row r="3">
      <c r="A3" s="138">
        <v>45452.0</v>
      </c>
      <c r="B3" s="139">
        <v>1.0</v>
      </c>
      <c r="C3" s="140" t="s">
        <v>222</v>
      </c>
      <c r="D3" s="22">
        <f t="shared" ref="D3:D23" si="2">sum(E3:AI3)</f>
        <v>0</v>
      </c>
      <c r="E3" s="185"/>
      <c r="F3" s="26"/>
      <c r="G3" s="25"/>
      <c r="H3" s="25"/>
      <c r="I3" s="25"/>
      <c r="J3" s="25"/>
      <c r="K3" s="25"/>
      <c r="L3" s="141"/>
      <c r="M3" s="26"/>
      <c r="N3" s="25"/>
      <c r="O3" s="25"/>
      <c r="P3" s="23"/>
      <c r="Q3" s="23"/>
      <c r="R3" s="23"/>
      <c r="S3" s="23"/>
      <c r="T3" s="114"/>
      <c r="U3" s="142"/>
      <c r="V3" s="143"/>
      <c r="W3" s="116"/>
      <c r="X3" s="116"/>
      <c r="Y3" s="116"/>
      <c r="Z3" s="116"/>
      <c r="AA3" s="114"/>
      <c r="AB3" s="142"/>
      <c r="AC3" s="143"/>
      <c r="AD3" s="116"/>
      <c r="AE3" s="116"/>
      <c r="AF3" s="115"/>
      <c r="AG3" s="116"/>
      <c r="AH3" s="116"/>
      <c r="AI3" s="143"/>
    </row>
    <row r="4">
      <c r="A4" s="15"/>
      <c r="B4" s="139">
        <v>2.0</v>
      </c>
      <c r="C4" s="140" t="s">
        <v>41</v>
      </c>
      <c r="D4" s="22">
        <f t="shared" si="2"/>
        <v>0</v>
      </c>
      <c r="E4" s="23"/>
      <c r="F4" s="26"/>
      <c r="G4" s="25"/>
      <c r="H4" s="25"/>
      <c r="I4" s="25"/>
      <c r="J4" s="23"/>
      <c r="K4" s="23"/>
      <c r="L4" s="23"/>
      <c r="M4" s="26"/>
      <c r="N4" s="25"/>
      <c r="O4" s="25"/>
      <c r="P4" s="23"/>
      <c r="Q4" s="23"/>
      <c r="R4" s="23"/>
      <c r="S4" s="25"/>
      <c r="T4" s="114"/>
      <c r="U4" s="142"/>
      <c r="V4" s="143"/>
      <c r="W4" s="116"/>
      <c r="X4" s="117"/>
      <c r="Y4" s="116"/>
      <c r="Z4" s="116"/>
      <c r="AA4" s="114"/>
      <c r="AB4" s="142"/>
      <c r="AC4" s="143"/>
      <c r="AD4" s="116"/>
      <c r="AE4" s="116"/>
      <c r="AF4" s="115"/>
      <c r="AG4" s="116"/>
      <c r="AH4" s="116"/>
      <c r="AI4" s="143"/>
    </row>
    <row r="5">
      <c r="A5" s="144">
        <v>45483.0</v>
      </c>
      <c r="B5" s="145">
        <v>3.0</v>
      </c>
      <c r="C5" s="126" t="s">
        <v>234</v>
      </c>
      <c r="D5" s="22">
        <f t="shared" si="2"/>
        <v>0</v>
      </c>
      <c r="E5" s="23"/>
      <c r="F5" s="26"/>
      <c r="G5" s="25"/>
      <c r="H5" s="25"/>
      <c r="I5" s="23"/>
      <c r="J5" s="23"/>
      <c r="K5" s="23"/>
      <c r="L5" s="26"/>
      <c r="M5" s="26"/>
      <c r="N5" s="25"/>
      <c r="O5" s="25"/>
      <c r="P5" s="23"/>
      <c r="Q5" s="23"/>
      <c r="R5" s="26"/>
      <c r="S5" s="23"/>
      <c r="T5" s="117"/>
      <c r="U5" s="142"/>
      <c r="V5" s="146"/>
      <c r="W5" s="114"/>
      <c r="X5" s="117"/>
      <c r="Y5" s="114"/>
      <c r="Z5" s="117"/>
      <c r="AA5" s="117"/>
      <c r="AB5" s="142"/>
      <c r="AC5" s="146"/>
      <c r="AD5" s="147"/>
      <c r="AE5" s="115"/>
      <c r="AF5" s="115"/>
      <c r="AG5" s="116"/>
      <c r="AH5" s="116"/>
      <c r="AI5" s="146"/>
    </row>
    <row r="6">
      <c r="A6" s="32"/>
      <c r="B6" s="186">
        <v>4.0</v>
      </c>
      <c r="C6" s="126" t="s">
        <v>201</v>
      </c>
      <c r="D6" s="22">
        <f t="shared" si="2"/>
        <v>0</v>
      </c>
      <c r="E6" s="23"/>
      <c r="F6" s="26"/>
      <c r="G6" s="25"/>
      <c r="H6" s="25"/>
      <c r="I6" s="23"/>
      <c r="J6" s="25"/>
      <c r="K6" s="25"/>
      <c r="L6" s="25"/>
      <c r="M6" s="26"/>
      <c r="N6" s="25"/>
      <c r="O6" s="25"/>
      <c r="P6" s="23"/>
      <c r="Q6" s="23"/>
      <c r="R6" s="26"/>
      <c r="S6" s="25"/>
      <c r="T6" s="114"/>
      <c r="U6" s="142"/>
      <c r="V6" s="143"/>
      <c r="W6" s="116"/>
      <c r="X6" s="117"/>
      <c r="Y6" s="116"/>
      <c r="Z6" s="114"/>
      <c r="AA6" s="116"/>
      <c r="AB6" s="142"/>
      <c r="AC6" s="143"/>
      <c r="AD6" s="116"/>
      <c r="AE6" s="116"/>
      <c r="AF6" s="115"/>
      <c r="AG6" s="116"/>
      <c r="AH6" s="116"/>
      <c r="AI6" s="143"/>
    </row>
    <row r="7">
      <c r="A7" s="32"/>
      <c r="B7" s="186">
        <v>5.0</v>
      </c>
      <c r="C7" s="126" t="s">
        <v>246</v>
      </c>
      <c r="D7" s="22">
        <f t="shared" si="2"/>
        <v>0</v>
      </c>
      <c r="E7" s="23"/>
      <c r="F7" s="26"/>
      <c r="G7" s="25"/>
      <c r="H7" s="25"/>
      <c r="I7" s="25"/>
      <c r="J7" s="25"/>
      <c r="K7" s="26"/>
      <c r="L7" s="23"/>
      <c r="M7" s="26"/>
      <c r="N7" s="25"/>
      <c r="O7" s="25"/>
      <c r="P7" s="23"/>
      <c r="Q7" s="23"/>
      <c r="R7" s="25"/>
      <c r="S7" s="25"/>
      <c r="T7" s="114"/>
      <c r="U7" s="142"/>
      <c r="V7" s="143"/>
      <c r="W7" s="116"/>
      <c r="X7" s="116"/>
      <c r="Y7" s="116"/>
      <c r="Z7" s="116"/>
      <c r="AA7" s="114"/>
      <c r="AB7" s="142"/>
      <c r="AC7" s="143"/>
      <c r="AD7" s="116"/>
      <c r="AE7" s="116"/>
      <c r="AF7" s="115"/>
      <c r="AG7" s="116"/>
      <c r="AH7" s="116"/>
      <c r="AI7" s="143"/>
    </row>
    <row r="8">
      <c r="A8" s="32"/>
      <c r="B8" s="145">
        <v>6.0</v>
      </c>
      <c r="C8" s="126" t="s">
        <v>231</v>
      </c>
      <c r="D8" s="22">
        <f t="shared" si="2"/>
        <v>0</v>
      </c>
      <c r="E8" s="23"/>
      <c r="F8" s="26"/>
      <c r="G8" s="25"/>
      <c r="H8" s="25"/>
      <c r="I8" s="26"/>
      <c r="J8" s="25"/>
      <c r="K8" s="23"/>
      <c r="L8" s="25"/>
      <c r="M8" s="26"/>
      <c r="N8" s="25"/>
      <c r="O8" s="25"/>
      <c r="P8" s="23"/>
      <c r="Q8" s="23"/>
      <c r="R8" s="25"/>
      <c r="S8" s="25"/>
      <c r="T8" s="114"/>
      <c r="U8" s="142"/>
      <c r="V8" s="143"/>
      <c r="W8" s="116"/>
      <c r="X8" s="116"/>
      <c r="Y8" s="116"/>
      <c r="Z8" s="116"/>
      <c r="AA8" s="114"/>
      <c r="AB8" s="142"/>
      <c r="AC8" s="143"/>
      <c r="AD8" s="116"/>
      <c r="AE8" s="116"/>
      <c r="AF8" s="115"/>
      <c r="AG8" s="116"/>
      <c r="AH8" s="116"/>
      <c r="AI8" s="143"/>
    </row>
    <row r="9">
      <c r="A9" s="32"/>
      <c r="B9" s="145">
        <v>7.0</v>
      </c>
      <c r="C9" s="148" t="s">
        <v>147</v>
      </c>
      <c r="D9" s="22">
        <f t="shared" si="2"/>
        <v>0</v>
      </c>
      <c r="E9" s="23"/>
      <c r="F9" s="26"/>
      <c r="G9" s="25"/>
      <c r="H9" s="25"/>
      <c r="I9" s="25"/>
      <c r="J9" s="25"/>
      <c r="K9" s="25"/>
      <c r="L9" s="25"/>
      <c r="M9" s="25"/>
      <c r="N9" s="25"/>
      <c r="O9" s="25"/>
      <c r="P9" s="23"/>
      <c r="Q9" s="23"/>
      <c r="R9" s="25"/>
      <c r="S9" s="25"/>
      <c r="T9" s="116"/>
      <c r="U9" s="142"/>
      <c r="V9" s="143"/>
      <c r="W9" s="116"/>
      <c r="X9" s="116"/>
      <c r="Y9" s="116"/>
      <c r="Z9" s="116"/>
      <c r="AA9" s="116"/>
      <c r="AB9" s="142"/>
      <c r="AC9" s="143"/>
      <c r="AD9" s="116"/>
      <c r="AE9" s="116"/>
      <c r="AF9" s="115"/>
      <c r="AG9" s="116"/>
      <c r="AH9" s="116"/>
      <c r="AI9" s="143"/>
    </row>
    <row r="10">
      <c r="A10" s="32"/>
      <c r="B10" s="186">
        <v>8.0</v>
      </c>
      <c r="C10" s="126" t="s">
        <v>177</v>
      </c>
      <c r="D10" s="22">
        <f t="shared" si="2"/>
        <v>0</v>
      </c>
      <c r="E10" s="23"/>
      <c r="F10" s="26"/>
      <c r="G10" s="25"/>
      <c r="H10" s="25"/>
      <c r="I10" s="25"/>
      <c r="J10" s="25"/>
      <c r="K10" s="25"/>
      <c r="L10" s="25"/>
      <c r="M10" s="26"/>
      <c r="N10" s="25"/>
      <c r="O10" s="25"/>
      <c r="P10" s="23"/>
      <c r="Q10" s="23"/>
      <c r="R10" s="25"/>
      <c r="S10" s="25"/>
      <c r="T10" s="114"/>
      <c r="U10" s="142"/>
      <c r="V10" s="143"/>
      <c r="W10" s="116"/>
      <c r="X10" s="116"/>
      <c r="Y10" s="116"/>
      <c r="Z10" s="116"/>
      <c r="AA10" s="114"/>
      <c r="AB10" s="142"/>
      <c r="AC10" s="143"/>
      <c r="AD10" s="114"/>
      <c r="AE10" s="116"/>
      <c r="AF10" s="115"/>
      <c r="AG10" s="116"/>
      <c r="AH10" s="116"/>
      <c r="AI10" s="143"/>
    </row>
    <row r="11">
      <c r="A11" s="32"/>
      <c r="B11" s="186">
        <v>9.0</v>
      </c>
      <c r="C11" s="148" t="s">
        <v>216</v>
      </c>
      <c r="D11" s="22">
        <f t="shared" si="2"/>
        <v>0</v>
      </c>
      <c r="E11" s="23"/>
      <c r="F11" s="26"/>
      <c r="G11" s="25"/>
      <c r="H11" s="25"/>
      <c r="I11" s="25"/>
      <c r="J11" s="25"/>
      <c r="K11" s="26"/>
      <c r="L11" s="26"/>
      <c r="M11" s="26"/>
      <c r="N11" s="25"/>
      <c r="O11" s="25"/>
      <c r="P11" s="23"/>
      <c r="Q11" s="26"/>
      <c r="R11" s="25"/>
      <c r="S11" s="26"/>
      <c r="T11" s="114"/>
      <c r="U11" s="142"/>
      <c r="V11" s="143"/>
      <c r="W11" s="116"/>
      <c r="X11" s="116"/>
      <c r="Y11" s="116"/>
      <c r="Z11" s="116"/>
      <c r="AA11" s="114"/>
      <c r="AB11" s="142"/>
      <c r="AC11" s="143"/>
      <c r="AD11" s="116"/>
      <c r="AE11" s="116"/>
      <c r="AF11" s="115"/>
      <c r="AG11" s="116"/>
      <c r="AH11" s="116"/>
      <c r="AI11" s="143"/>
    </row>
    <row r="12">
      <c r="A12" s="32"/>
      <c r="B12" s="145">
        <v>10.0</v>
      </c>
      <c r="C12" s="152" t="s">
        <v>336</v>
      </c>
      <c r="D12" s="22">
        <f t="shared" si="2"/>
        <v>0</v>
      </c>
      <c r="E12" s="23"/>
      <c r="F12" s="26"/>
      <c r="G12" s="25"/>
      <c r="H12" s="25"/>
      <c r="I12" s="25"/>
      <c r="J12" s="25"/>
      <c r="K12" s="25"/>
      <c r="L12" s="25"/>
      <c r="M12" s="26"/>
      <c r="N12" s="25"/>
      <c r="O12" s="25"/>
      <c r="P12" s="23"/>
      <c r="Q12" s="23"/>
      <c r="R12" s="25"/>
      <c r="S12" s="25"/>
      <c r="T12" s="116"/>
      <c r="U12" s="142"/>
      <c r="V12" s="143"/>
      <c r="W12" s="116"/>
      <c r="X12" s="116"/>
      <c r="Y12" s="116"/>
      <c r="Z12" s="116"/>
      <c r="AA12" s="116"/>
      <c r="AB12" s="142"/>
      <c r="AC12" s="143"/>
      <c r="AD12" s="116"/>
      <c r="AE12" s="116"/>
      <c r="AF12" s="115"/>
      <c r="AG12" s="116"/>
      <c r="AH12" s="116"/>
      <c r="AI12" s="143"/>
    </row>
    <row r="13">
      <c r="A13" s="32"/>
      <c r="B13" s="145">
        <v>11.0</v>
      </c>
      <c r="C13" s="152" t="s">
        <v>337</v>
      </c>
      <c r="D13" s="22">
        <f t="shared" si="2"/>
        <v>0</v>
      </c>
      <c r="E13" s="23"/>
      <c r="F13" s="26"/>
      <c r="G13" s="25"/>
      <c r="H13" s="25"/>
      <c r="I13" s="25"/>
      <c r="J13" s="25"/>
      <c r="K13" s="25"/>
      <c r="L13" s="25"/>
      <c r="M13" s="26"/>
      <c r="N13" s="25"/>
      <c r="O13" s="25"/>
      <c r="P13" s="23"/>
      <c r="Q13" s="23"/>
      <c r="R13" s="25"/>
      <c r="S13" s="25"/>
      <c r="T13" s="116"/>
      <c r="U13" s="142"/>
      <c r="V13" s="143"/>
      <c r="W13" s="116"/>
      <c r="X13" s="116"/>
      <c r="Y13" s="116"/>
      <c r="Z13" s="116"/>
      <c r="AA13" s="116"/>
      <c r="AB13" s="142"/>
      <c r="AC13" s="143"/>
      <c r="AD13" s="116"/>
      <c r="AE13" s="116"/>
      <c r="AF13" s="115"/>
      <c r="AG13" s="116"/>
      <c r="AH13" s="116"/>
      <c r="AI13" s="143"/>
    </row>
    <row r="14">
      <c r="A14" s="32"/>
      <c r="B14" s="186">
        <v>12.0</v>
      </c>
      <c r="C14" s="126" t="s">
        <v>385</v>
      </c>
      <c r="D14" s="22">
        <f t="shared" si="2"/>
        <v>0</v>
      </c>
      <c r="E14" s="23"/>
      <c r="F14" s="26"/>
      <c r="G14" s="25"/>
      <c r="H14" s="25"/>
      <c r="I14" s="25"/>
      <c r="J14" s="25"/>
      <c r="K14" s="25"/>
      <c r="L14" s="25"/>
      <c r="M14" s="26"/>
      <c r="N14" s="25"/>
      <c r="O14" s="25"/>
      <c r="P14" s="23"/>
      <c r="Q14" s="23"/>
      <c r="R14" s="25"/>
      <c r="S14" s="25"/>
      <c r="T14" s="116"/>
      <c r="U14" s="142"/>
      <c r="V14" s="143"/>
      <c r="W14" s="116"/>
      <c r="X14" s="116"/>
      <c r="Y14" s="116"/>
      <c r="Z14" s="116"/>
      <c r="AA14" s="116"/>
      <c r="AB14" s="142"/>
      <c r="AC14" s="143"/>
      <c r="AD14" s="116"/>
      <c r="AE14" s="116"/>
      <c r="AF14" s="115"/>
      <c r="AG14" s="116"/>
      <c r="AH14" s="116"/>
      <c r="AI14" s="143"/>
    </row>
    <row r="15">
      <c r="A15" s="32"/>
      <c r="B15" s="186">
        <v>13.0</v>
      </c>
      <c r="C15" s="126" t="s">
        <v>386</v>
      </c>
      <c r="D15" s="22">
        <f t="shared" si="2"/>
        <v>0</v>
      </c>
      <c r="E15" s="23"/>
      <c r="F15" s="26"/>
      <c r="G15" s="25"/>
      <c r="H15" s="25"/>
      <c r="I15" s="25"/>
      <c r="J15" s="25"/>
      <c r="K15" s="25"/>
      <c r="L15" s="25"/>
      <c r="M15" s="26"/>
      <c r="N15" s="25"/>
      <c r="O15" s="25"/>
      <c r="P15" s="23"/>
      <c r="Q15" s="23"/>
      <c r="R15" s="25"/>
      <c r="S15" s="25"/>
      <c r="T15" s="116"/>
      <c r="U15" s="142"/>
      <c r="V15" s="143"/>
      <c r="W15" s="116"/>
      <c r="X15" s="116"/>
      <c r="Y15" s="116"/>
      <c r="Z15" s="116"/>
      <c r="AA15" s="116"/>
      <c r="AB15" s="142"/>
      <c r="AC15" s="143"/>
      <c r="AD15" s="116"/>
      <c r="AE15" s="116"/>
      <c r="AF15" s="115"/>
      <c r="AG15" s="116"/>
      <c r="AH15" s="116"/>
      <c r="AI15" s="143"/>
    </row>
    <row r="16">
      <c r="A16" s="32"/>
      <c r="B16" s="145">
        <v>14.0</v>
      </c>
      <c r="C16" s="126" t="s">
        <v>387</v>
      </c>
      <c r="D16" s="22">
        <f t="shared" si="2"/>
        <v>0</v>
      </c>
      <c r="E16" s="23"/>
      <c r="F16" s="26"/>
      <c r="G16" s="25"/>
      <c r="H16" s="25"/>
      <c r="I16" s="25"/>
      <c r="J16" s="25"/>
      <c r="K16" s="25"/>
      <c r="L16" s="25"/>
      <c r="M16" s="26"/>
      <c r="N16" s="25"/>
      <c r="O16" s="25"/>
      <c r="P16" s="23"/>
      <c r="Q16" s="23"/>
      <c r="R16" s="25"/>
      <c r="S16" s="25"/>
      <c r="T16" s="116"/>
      <c r="U16" s="142"/>
      <c r="V16" s="143"/>
      <c r="W16" s="116"/>
      <c r="X16" s="116"/>
      <c r="Y16" s="116"/>
      <c r="Z16" s="116"/>
      <c r="AA16" s="116"/>
      <c r="AB16" s="142"/>
      <c r="AC16" s="143"/>
      <c r="AD16" s="116"/>
      <c r="AE16" s="116"/>
      <c r="AF16" s="115"/>
      <c r="AG16" s="116"/>
      <c r="AH16" s="116"/>
      <c r="AI16" s="143"/>
    </row>
    <row r="17">
      <c r="A17" s="32"/>
      <c r="B17" s="145">
        <v>15.0</v>
      </c>
      <c r="C17" s="126" t="s">
        <v>388</v>
      </c>
      <c r="D17" s="22">
        <f t="shared" si="2"/>
        <v>0</v>
      </c>
      <c r="E17" s="23"/>
      <c r="F17" s="26"/>
      <c r="G17" s="25"/>
      <c r="H17" s="25"/>
      <c r="I17" s="25"/>
      <c r="J17" s="25"/>
      <c r="K17" s="25"/>
      <c r="L17" s="25"/>
      <c r="M17" s="26"/>
      <c r="N17" s="25"/>
      <c r="O17" s="25"/>
      <c r="P17" s="23"/>
      <c r="Q17" s="23"/>
      <c r="R17" s="25"/>
      <c r="S17" s="25"/>
      <c r="T17" s="116"/>
      <c r="U17" s="142"/>
      <c r="V17" s="143"/>
      <c r="W17" s="116"/>
      <c r="X17" s="116"/>
      <c r="Y17" s="116"/>
      <c r="Z17" s="116"/>
      <c r="AA17" s="116"/>
      <c r="AB17" s="142"/>
      <c r="AC17" s="143"/>
      <c r="AD17" s="116"/>
      <c r="AE17" s="116"/>
      <c r="AF17" s="115"/>
      <c r="AG17" s="116"/>
      <c r="AH17" s="116"/>
      <c r="AI17" s="143"/>
    </row>
    <row r="18">
      <c r="A18" s="32"/>
      <c r="B18" s="194">
        <v>16.0</v>
      </c>
      <c r="C18" s="126" t="s">
        <v>389</v>
      </c>
      <c r="D18" s="22">
        <f t="shared" si="2"/>
        <v>0</v>
      </c>
      <c r="E18" s="23"/>
      <c r="F18" s="26"/>
      <c r="G18" s="25"/>
      <c r="H18" s="25"/>
      <c r="I18" s="25"/>
      <c r="J18" s="25"/>
      <c r="K18" s="25"/>
      <c r="L18" s="25"/>
      <c r="M18" s="26"/>
      <c r="N18" s="25"/>
      <c r="O18" s="25"/>
      <c r="P18" s="23"/>
      <c r="Q18" s="23"/>
      <c r="R18" s="25"/>
      <c r="S18" s="25"/>
      <c r="T18" s="116"/>
      <c r="U18" s="142"/>
      <c r="V18" s="143"/>
      <c r="W18" s="116"/>
      <c r="X18" s="116"/>
      <c r="Y18" s="116"/>
      <c r="Z18" s="116"/>
      <c r="AA18" s="116"/>
      <c r="AB18" s="142"/>
      <c r="AC18" s="143"/>
      <c r="AD18" s="116"/>
      <c r="AE18" s="116"/>
      <c r="AF18" s="115"/>
      <c r="AG18" s="116"/>
      <c r="AH18" s="116"/>
      <c r="AI18" s="143"/>
    </row>
    <row r="19">
      <c r="A19" s="32"/>
      <c r="B19" s="194">
        <v>17.0</v>
      </c>
      <c r="C19" s="126" t="s">
        <v>390</v>
      </c>
      <c r="D19" s="22">
        <f t="shared" si="2"/>
        <v>0</v>
      </c>
      <c r="E19" s="23"/>
      <c r="F19" s="26"/>
      <c r="G19" s="25"/>
      <c r="H19" s="25"/>
      <c r="I19" s="25"/>
      <c r="J19" s="25"/>
      <c r="K19" s="25"/>
      <c r="L19" s="25"/>
      <c r="M19" s="26"/>
      <c r="N19" s="25"/>
      <c r="O19" s="25"/>
      <c r="P19" s="23"/>
      <c r="Q19" s="23"/>
      <c r="R19" s="25"/>
      <c r="S19" s="25"/>
      <c r="T19" s="116"/>
      <c r="U19" s="142"/>
      <c r="V19" s="143"/>
      <c r="W19" s="116"/>
      <c r="X19" s="116"/>
      <c r="Y19" s="116"/>
      <c r="Z19" s="116"/>
      <c r="AA19" s="116"/>
      <c r="AB19" s="142"/>
      <c r="AC19" s="143"/>
      <c r="AD19" s="116"/>
      <c r="AE19" s="116"/>
      <c r="AF19" s="115"/>
      <c r="AG19" s="116"/>
      <c r="AH19" s="116"/>
      <c r="AI19" s="143"/>
    </row>
    <row r="20">
      <c r="A20" s="32"/>
      <c r="B20" s="151">
        <v>18.0</v>
      </c>
      <c r="C20" s="126" t="s">
        <v>391</v>
      </c>
      <c r="D20" s="22">
        <f t="shared" si="2"/>
        <v>0</v>
      </c>
      <c r="E20" s="23"/>
      <c r="F20" s="26"/>
      <c r="G20" s="25"/>
      <c r="H20" s="25"/>
      <c r="I20" s="25"/>
      <c r="J20" s="25"/>
      <c r="K20" s="25"/>
      <c r="L20" s="25"/>
      <c r="M20" s="26"/>
      <c r="N20" s="25"/>
      <c r="O20" s="25"/>
      <c r="P20" s="23"/>
      <c r="Q20" s="23"/>
      <c r="R20" s="25"/>
      <c r="S20" s="25"/>
      <c r="T20" s="116"/>
      <c r="U20" s="142"/>
      <c r="V20" s="143"/>
      <c r="W20" s="116"/>
      <c r="X20" s="116"/>
      <c r="Y20" s="116"/>
      <c r="Z20" s="116"/>
      <c r="AA20" s="116"/>
      <c r="AB20" s="142"/>
      <c r="AC20" s="143"/>
      <c r="AD20" s="116"/>
      <c r="AE20" s="116"/>
      <c r="AF20" s="115"/>
      <c r="AG20" s="116"/>
      <c r="AH20" s="116"/>
      <c r="AI20" s="143"/>
    </row>
    <row r="21">
      <c r="A21" s="32"/>
      <c r="B21" s="151">
        <v>19.0</v>
      </c>
      <c r="C21" s="126" t="s">
        <v>392</v>
      </c>
      <c r="D21" s="22">
        <f t="shared" si="2"/>
        <v>0</v>
      </c>
      <c r="E21" s="23"/>
      <c r="F21" s="26"/>
      <c r="G21" s="25"/>
      <c r="H21" s="25"/>
      <c r="I21" s="25"/>
      <c r="J21" s="25"/>
      <c r="K21" s="25"/>
      <c r="L21" s="25"/>
      <c r="M21" s="26"/>
      <c r="N21" s="25"/>
      <c r="O21" s="25"/>
      <c r="P21" s="23"/>
      <c r="Q21" s="23"/>
      <c r="R21" s="25"/>
      <c r="S21" s="25"/>
      <c r="T21" s="116"/>
      <c r="U21" s="142"/>
      <c r="V21" s="143"/>
      <c r="W21" s="116"/>
      <c r="X21" s="116"/>
      <c r="Y21" s="116"/>
      <c r="Z21" s="116"/>
      <c r="AA21" s="116"/>
      <c r="AB21" s="142"/>
      <c r="AC21" s="143"/>
      <c r="AD21" s="116"/>
      <c r="AE21" s="116"/>
      <c r="AF21" s="115"/>
      <c r="AG21" s="116"/>
      <c r="AH21" s="116"/>
      <c r="AI21" s="143"/>
    </row>
    <row r="22">
      <c r="A22" s="32"/>
      <c r="B22" s="151">
        <v>20.0</v>
      </c>
      <c r="C22" s="126" t="s">
        <v>150</v>
      </c>
      <c r="D22" s="22">
        <f t="shared" si="2"/>
        <v>0</v>
      </c>
      <c r="E22" s="23"/>
      <c r="F22" s="26"/>
      <c r="G22" s="25"/>
      <c r="H22" s="25"/>
      <c r="I22" s="25"/>
      <c r="J22" s="25"/>
      <c r="K22" s="25"/>
      <c r="L22" s="25"/>
      <c r="M22" s="26"/>
      <c r="N22" s="25"/>
      <c r="O22" s="25"/>
      <c r="P22" s="23"/>
      <c r="Q22" s="23"/>
      <c r="R22" s="25"/>
      <c r="S22" s="25"/>
      <c r="T22" s="116"/>
      <c r="U22" s="142"/>
      <c r="V22" s="143"/>
      <c r="W22" s="116"/>
      <c r="X22" s="116"/>
      <c r="Y22" s="116"/>
      <c r="Z22" s="116"/>
      <c r="AA22" s="116"/>
      <c r="AB22" s="142"/>
      <c r="AC22" s="143"/>
      <c r="AD22" s="116"/>
      <c r="AE22" s="116"/>
      <c r="AF22" s="115"/>
      <c r="AG22" s="116"/>
      <c r="AH22" s="116"/>
      <c r="AI22" s="143"/>
    </row>
    <row r="23">
      <c r="A23" s="153" t="s">
        <v>274</v>
      </c>
      <c r="B23" s="154">
        <v>21.0</v>
      </c>
      <c r="C23" s="155" t="s">
        <v>213</v>
      </c>
      <c r="D23" s="22">
        <f t="shared" si="2"/>
        <v>0</v>
      </c>
      <c r="E23" s="23"/>
      <c r="F23" s="26"/>
      <c r="G23" s="25"/>
      <c r="H23" s="25"/>
      <c r="I23" s="25"/>
      <c r="J23" s="25"/>
      <c r="K23" s="25"/>
      <c r="L23" s="25"/>
      <c r="M23" s="26"/>
      <c r="N23" s="25"/>
      <c r="O23" s="25"/>
      <c r="P23" s="23"/>
      <c r="Q23" s="23"/>
      <c r="R23" s="25"/>
      <c r="S23" s="25"/>
      <c r="T23" s="116"/>
      <c r="U23" s="142"/>
      <c r="V23" s="143"/>
      <c r="W23" s="116"/>
      <c r="X23" s="116"/>
      <c r="Y23" s="116"/>
      <c r="Z23" s="116"/>
      <c r="AA23" s="114"/>
      <c r="AB23" s="142"/>
      <c r="AC23" s="143"/>
      <c r="AD23" s="116"/>
      <c r="AE23" s="116"/>
      <c r="AF23" s="115"/>
      <c r="AG23" s="116"/>
      <c r="AH23" s="116"/>
      <c r="AI23" s="143"/>
    </row>
    <row r="24">
      <c r="A24" s="32"/>
      <c r="B24" s="154">
        <v>22.0</v>
      </c>
      <c r="C24" s="155" t="s">
        <v>393</v>
      </c>
      <c r="D24" s="22">
        <v>0.0</v>
      </c>
      <c r="E24" s="23"/>
      <c r="F24" s="26"/>
      <c r="G24" s="25"/>
      <c r="H24" s="25"/>
      <c r="I24" s="25"/>
      <c r="J24" s="25"/>
      <c r="K24" s="25"/>
      <c r="L24" s="25"/>
      <c r="M24" s="26"/>
      <c r="N24" s="25"/>
      <c r="O24" s="25"/>
      <c r="P24" s="23"/>
      <c r="Q24" s="23"/>
      <c r="R24" s="25"/>
      <c r="S24" s="25"/>
      <c r="T24" s="116"/>
      <c r="U24" s="142"/>
      <c r="V24" s="143"/>
      <c r="W24" s="116"/>
      <c r="X24" s="116"/>
      <c r="Y24" s="116"/>
      <c r="Z24" s="116"/>
      <c r="AA24" s="114"/>
      <c r="AB24" s="142"/>
      <c r="AC24" s="143"/>
      <c r="AD24" s="116"/>
      <c r="AE24" s="116"/>
      <c r="AF24" s="115"/>
      <c r="AG24" s="116"/>
      <c r="AH24" s="116"/>
      <c r="AI24" s="143"/>
    </row>
    <row r="25">
      <c r="A25" s="32"/>
      <c r="B25" s="154">
        <v>23.0</v>
      </c>
      <c r="C25" s="155" t="s">
        <v>54</v>
      </c>
      <c r="D25" s="22">
        <f t="shared" ref="D25:D79" si="3">sum(E25:AI25)</f>
        <v>0</v>
      </c>
      <c r="E25" s="23"/>
      <c r="F25" s="26"/>
      <c r="G25" s="25"/>
      <c r="H25" s="25"/>
      <c r="I25" s="25"/>
      <c r="J25" s="25"/>
      <c r="K25" s="23"/>
      <c r="L25" s="25"/>
      <c r="M25" s="26"/>
      <c r="N25" s="25"/>
      <c r="O25" s="25"/>
      <c r="P25" s="23"/>
      <c r="Q25" s="23"/>
      <c r="R25" s="25"/>
      <c r="S25" s="25"/>
      <c r="T25" s="114"/>
      <c r="U25" s="142"/>
      <c r="V25" s="143"/>
      <c r="W25" s="116"/>
      <c r="X25" s="116"/>
      <c r="Y25" s="114"/>
      <c r="Z25" s="116"/>
      <c r="AA25" s="114"/>
      <c r="AB25" s="142"/>
      <c r="AC25" s="143"/>
      <c r="AD25" s="116"/>
      <c r="AE25" s="115"/>
      <c r="AF25" s="115"/>
      <c r="AG25" s="116"/>
      <c r="AH25" s="116"/>
      <c r="AI25" s="143"/>
    </row>
    <row r="26">
      <c r="A26" s="32"/>
      <c r="B26" s="191">
        <v>24.0</v>
      </c>
      <c r="C26" s="155" t="s">
        <v>159</v>
      </c>
      <c r="D26" s="22">
        <f t="shared" si="3"/>
        <v>0</v>
      </c>
      <c r="E26" s="26"/>
      <c r="F26" s="26"/>
      <c r="G26" s="25"/>
      <c r="H26" s="25"/>
      <c r="I26" s="25"/>
      <c r="J26" s="25"/>
      <c r="K26" s="25"/>
      <c r="L26" s="25"/>
      <c r="M26" s="26"/>
      <c r="N26" s="25"/>
      <c r="O26" s="25"/>
      <c r="P26" s="23"/>
      <c r="Q26" s="23"/>
      <c r="R26" s="25"/>
      <c r="S26" s="25"/>
      <c r="T26" s="114"/>
      <c r="U26" s="142"/>
      <c r="V26" s="146"/>
      <c r="W26" s="116"/>
      <c r="X26" s="116"/>
      <c r="Y26" s="116"/>
      <c r="Z26" s="116"/>
      <c r="AA26" s="114"/>
      <c r="AB26" s="142"/>
      <c r="AC26" s="143"/>
      <c r="AD26" s="116"/>
      <c r="AE26" s="116"/>
      <c r="AF26" s="115"/>
      <c r="AG26" s="116"/>
      <c r="AH26" s="116"/>
      <c r="AI26" s="143"/>
    </row>
    <row r="27">
      <c r="A27" s="32"/>
      <c r="B27" s="191">
        <v>25.0</v>
      </c>
      <c r="C27" s="155" t="s">
        <v>156</v>
      </c>
      <c r="D27" s="22">
        <f t="shared" si="3"/>
        <v>0</v>
      </c>
      <c r="E27" s="23"/>
      <c r="F27" s="26"/>
      <c r="G27" s="25"/>
      <c r="H27" s="25"/>
      <c r="I27" s="25"/>
      <c r="J27" s="25"/>
      <c r="K27" s="25"/>
      <c r="L27" s="25"/>
      <c r="M27" s="26"/>
      <c r="N27" s="25"/>
      <c r="O27" s="25"/>
      <c r="P27" s="23"/>
      <c r="Q27" s="23"/>
      <c r="R27" s="25"/>
      <c r="S27" s="25"/>
      <c r="T27" s="114"/>
      <c r="U27" s="142"/>
      <c r="V27" s="143"/>
      <c r="W27" s="116"/>
      <c r="X27" s="116"/>
      <c r="Y27" s="116"/>
      <c r="Z27" s="116"/>
      <c r="AA27" s="114"/>
      <c r="AB27" s="142"/>
      <c r="AC27" s="143"/>
      <c r="AD27" s="116"/>
      <c r="AE27" s="116"/>
      <c r="AF27" s="115"/>
      <c r="AG27" s="116"/>
      <c r="AH27" s="116"/>
      <c r="AI27" s="143"/>
    </row>
    <row r="28">
      <c r="A28" s="32"/>
      <c r="B28" s="154">
        <v>26.0</v>
      </c>
      <c r="C28" s="155" t="s">
        <v>57</v>
      </c>
      <c r="D28" s="22">
        <f t="shared" si="3"/>
        <v>0</v>
      </c>
      <c r="E28" s="23"/>
      <c r="F28" s="26"/>
      <c r="G28" s="25"/>
      <c r="H28" s="25"/>
      <c r="I28" s="25"/>
      <c r="J28" s="26"/>
      <c r="K28" s="23"/>
      <c r="L28" s="25"/>
      <c r="M28" s="26"/>
      <c r="N28" s="25"/>
      <c r="O28" s="25"/>
      <c r="P28" s="23"/>
      <c r="Q28" s="23"/>
      <c r="R28" s="25"/>
      <c r="S28" s="25"/>
      <c r="T28" s="114"/>
      <c r="U28" s="142"/>
      <c r="V28" s="146"/>
      <c r="W28" s="116"/>
      <c r="X28" s="116"/>
      <c r="Y28" s="116"/>
      <c r="Z28" s="116"/>
      <c r="AA28" s="114"/>
      <c r="AB28" s="142"/>
      <c r="AC28" s="143"/>
      <c r="AD28" s="116"/>
      <c r="AE28" s="116"/>
      <c r="AF28" s="115"/>
      <c r="AG28" s="116"/>
      <c r="AH28" s="116"/>
      <c r="AI28" s="143"/>
    </row>
    <row r="29">
      <c r="A29" s="32"/>
      <c r="B29" s="154">
        <v>27.0</v>
      </c>
      <c r="C29" s="155" t="s">
        <v>263</v>
      </c>
      <c r="D29" s="22">
        <f t="shared" si="3"/>
        <v>0</v>
      </c>
      <c r="E29" s="23"/>
      <c r="F29" s="26"/>
      <c r="G29" s="25"/>
      <c r="H29" s="25"/>
      <c r="I29" s="25"/>
      <c r="J29" s="25"/>
      <c r="K29" s="25"/>
      <c r="L29" s="25"/>
      <c r="M29" s="25"/>
      <c r="N29" s="25"/>
      <c r="O29" s="25"/>
      <c r="P29" s="23"/>
      <c r="Q29" s="23"/>
      <c r="R29" s="23"/>
      <c r="S29" s="23"/>
      <c r="T29" s="117"/>
      <c r="U29" s="142"/>
      <c r="V29" s="143"/>
      <c r="W29" s="116"/>
      <c r="X29" s="116"/>
      <c r="Y29" s="116"/>
      <c r="Z29" s="116"/>
      <c r="AA29" s="117"/>
      <c r="AB29" s="142"/>
      <c r="AC29" s="143"/>
      <c r="AD29" s="116"/>
      <c r="AE29" s="116"/>
      <c r="AF29" s="115"/>
      <c r="AG29" s="116"/>
      <c r="AH29" s="116"/>
      <c r="AI29" s="143"/>
    </row>
    <row r="30">
      <c r="A30" s="32"/>
      <c r="B30" s="191">
        <v>28.0</v>
      </c>
      <c r="C30" s="158" t="s">
        <v>339</v>
      </c>
      <c r="D30" s="22">
        <f t="shared" si="3"/>
        <v>0</v>
      </c>
      <c r="E30" s="23"/>
      <c r="F30" s="26"/>
      <c r="G30" s="25"/>
      <c r="H30" s="25"/>
      <c r="I30" s="23"/>
      <c r="J30" s="23"/>
      <c r="K30" s="23"/>
      <c r="L30" s="23"/>
      <c r="M30" s="159"/>
      <c r="N30" s="25"/>
      <c r="O30" s="25"/>
      <c r="P30" s="23"/>
      <c r="Q30" s="23"/>
      <c r="R30" s="23"/>
      <c r="S30" s="23"/>
      <c r="T30" s="117"/>
      <c r="U30" s="142"/>
      <c r="V30" s="143"/>
      <c r="W30" s="117"/>
      <c r="X30" s="117"/>
      <c r="Y30" s="117"/>
      <c r="Z30" s="117"/>
      <c r="AA30" s="147"/>
      <c r="AB30" s="142"/>
      <c r="AC30" s="143"/>
      <c r="AD30" s="116"/>
      <c r="AE30" s="116"/>
      <c r="AF30" s="115"/>
      <c r="AG30" s="116"/>
      <c r="AH30" s="116"/>
      <c r="AI30" s="143"/>
    </row>
    <row r="31">
      <c r="A31" s="32"/>
      <c r="B31" s="192">
        <v>29.0</v>
      </c>
      <c r="C31" s="39" t="s">
        <v>132</v>
      </c>
      <c r="D31" s="22">
        <f t="shared" si="3"/>
        <v>0</v>
      </c>
      <c r="E31" s="23"/>
      <c r="F31" s="26"/>
      <c r="G31" s="25"/>
      <c r="H31" s="25"/>
      <c r="I31" s="23"/>
      <c r="J31" s="23"/>
      <c r="K31" s="23"/>
      <c r="L31" s="23"/>
      <c r="M31" s="159"/>
      <c r="N31" s="25"/>
      <c r="O31" s="25"/>
      <c r="P31" s="23"/>
      <c r="Q31" s="23"/>
      <c r="R31" s="23"/>
      <c r="S31" s="23"/>
      <c r="T31" s="117"/>
      <c r="U31" s="142"/>
      <c r="V31" s="143"/>
      <c r="W31" s="117"/>
      <c r="X31" s="117"/>
      <c r="Y31" s="117"/>
      <c r="Z31" s="117"/>
      <c r="AA31" s="147"/>
      <c r="AB31" s="142"/>
      <c r="AC31" s="143"/>
      <c r="AD31" s="116"/>
      <c r="AE31" s="116"/>
      <c r="AF31" s="115"/>
      <c r="AG31" s="116"/>
      <c r="AH31" s="116"/>
      <c r="AI31" s="143"/>
    </row>
    <row r="32">
      <c r="A32" s="32"/>
      <c r="B32" s="156">
        <v>30.0</v>
      </c>
      <c r="C32" s="39" t="s">
        <v>99</v>
      </c>
      <c r="D32" s="22">
        <f t="shared" si="3"/>
        <v>0</v>
      </c>
      <c r="E32" s="23"/>
      <c r="F32" s="26"/>
      <c r="G32" s="25"/>
      <c r="H32" s="25"/>
      <c r="I32" s="23"/>
      <c r="J32" s="23"/>
      <c r="K32" s="23"/>
      <c r="L32" s="23"/>
      <c r="M32" s="159"/>
      <c r="N32" s="25"/>
      <c r="O32" s="25"/>
      <c r="P32" s="23"/>
      <c r="Q32" s="23"/>
      <c r="R32" s="23"/>
      <c r="S32" s="23"/>
      <c r="T32" s="117"/>
      <c r="U32" s="142"/>
      <c r="V32" s="143"/>
      <c r="W32" s="117"/>
      <c r="X32" s="117"/>
      <c r="Y32" s="117"/>
      <c r="Z32" s="117"/>
      <c r="AA32" s="147"/>
      <c r="AB32" s="142"/>
      <c r="AC32" s="143"/>
      <c r="AD32" s="116"/>
      <c r="AE32" s="116"/>
      <c r="AF32" s="115"/>
      <c r="AG32" s="116"/>
      <c r="AH32" s="116"/>
      <c r="AI32" s="143"/>
    </row>
    <row r="33">
      <c r="A33" s="32"/>
      <c r="B33" s="156">
        <v>31.0</v>
      </c>
      <c r="C33" s="39" t="s">
        <v>93</v>
      </c>
      <c r="D33" s="22">
        <f t="shared" si="3"/>
        <v>0</v>
      </c>
      <c r="E33" s="23"/>
      <c r="F33" s="26"/>
      <c r="G33" s="25"/>
      <c r="H33" s="25"/>
      <c r="I33" s="25"/>
      <c r="J33" s="25"/>
      <c r="K33" s="23"/>
      <c r="L33" s="25"/>
      <c r="M33" s="159"/>
      <c r="N33" s="25"/>
      <c r="O33" s="25"/>
      <c r="P33" s="23"/>
      <c r="Q33" s="23"/>
      <c r="R33" s="25"/>
      <c r="S33" s="25"/>
      <c r="T33" s="117"/>
      <c r="U33" s="142"/>
      <c r="V33" s="143"/>
      <c r="W33" s="116"/>
      <c r="X33" s="190"/>
      <c r="Y33" s="116"/>
      <c r="Z33" s="117"/>
      <c r="AA33" s="116"/>
      <c r="AB33" s="142"/>
      <c r="AC33" s="143"/>
      <c r="AD33" s="116"/>
      <c r="AE33" s="116"/>
      <c r="AF33" s="115"/>
      <c r="AG33" s="116"/>
      <c r="AH33" s="116"/>
      <c r="AI33" s="143"/>
    </row>
    <row r="34">
      <c r="A34" s="32"/>
      <c r="B34" s="192">
        <v>32.0</v>
      </c>
      <c r="C34" s="39" t="s">
        <v>135</v>
      </c>
      <c r="D34" s="22">
        <f t="shared" si="3"/>
        <v>0</v>
      </c>
      <c r="E34" s="23"/>
      <c r="F34" s="26"/>
      <c r="G34" s="25"/>
      <c r="H34" s="25"/>
      <c r="I34" s="25"/>
      <c r="J34" s="25"/>
      <c r="K34" s="25"/>
      <c r="L34" s="26"/>
      <c r="M34" s="26"/>
      <c r="N34" s="25"/>
      <c r="O34" s="25"/>
      <c r="P34" s="23"/>
      <c r="Q34" s="23"/>
      <c r="R34" s="25"/>
      <c r="S34" s="25"/>
      <c r="T34" s="114"/>
      <c r="U34" s="142"/>
      <c r="V34" s="143"/>
      <c r="W34" s="116"/>
      <c r="X34" s="116"/>
      <c r="Y34" s="114"/>
      <c r="Z34" s="114"/>
      <c r="AA34" s="114"/>
      <c r="AB34" s="142"/>
      <c r="AC34" s="143"/>
      <c r="AD34" s="116"/>
      <c r="AE34" s="116"/>
      <c r="AF34" s="115"/>
      <c r="AG34" s="116"/>
      <c r="AH34" s="116"/>
      <c r="AI34" s="143"/>
    </row>
    <row r="35">
      <c r="A35" s="32"/>
      <c r="B35" s="156">
        <v>33.0</v>
      </c>
      <c r="C35" s="39" t="s">
        <v>183</v>
      </c>
      <c r="D35" s="22">
        <f t="shared" si="3"/>
        <v>0</v>
      </c>
      <c r="E35" s="23"/>
      <c r="F35" s="26"/>
      <c r="G35" s="25"/>
      <c r="H35" s="25"/>
      <c r="I35" s="25"/>
      <c r="J35" s="25"/>
      <c r="K35" s="25"/>
      <c r="L35" s="25"/>
      <c r="M35" s="26"/>
      <c r="N35" s="25"/>
      <c r="O35" s="25"/>
      <c r="P35" s="23"/>
      <c r="Q35" s="23"/>
      <c r="R35" s="25"/>
      <c r="S35" s="26"/>
      <c r="T35" s="114"/>
      <c r="U35" s="142"/>
      <c r="V35" s="143"/>
      <c r="W35" s="116"/>
      <c r="X35" s="116"/>
      <c r="Y35" s="116"/>
      <c r="Z35" s="116"/>
      <c r="AA35" s="114"/>
      <c r="AB35" s="142"/>
      <c r="AC35" s="146"/>
      <c r="AD35" s="116"/>
      <c r="AE35" s="116"/>
      <c r="AF35" s="115"/>
      <c r="AG35" s="116"/>
      <c r="AH35" s="116"/>
      <c r="AI35" s="143"/>
    </row>
    <row r="36">
      <c r="A36" s="32"/>
      <c r="B36" s="156">
        <v>34.0</v>
      </c>
      <c r="C36" s="39" t="s">
        <v>186</v>
      </c>
      <c r="D36" s="22">
        <f t="shared" si="3"/>
        <v>0</v>
      </c>
      <c r="E36" s="23"/>
      <c r="F36" s="26"/>
      <c r="G36" s="25"/>
      <c r="H36" s="25"/>
      <c r="I36" s="25"/>
      <c r="J36" s="25"/>
      <c r="K36" s="25"/>
      <c r="L36" s="25"/>
      <c r="M36" s="26"/>
      <c r="N36" s="25"/>
      <c r="O36" s="25"/>
      <c r="P36" s="23"/>
      <c r="Q36" s="23"/>
      <c r="R36" s="25"/>
      <c r="S36" s="25"/>
      <c r="T36" s="114"/>
      <c r="U36" s="142"/>
      <c r="V36" s="146"/>
      <c r="W36" s="114"/>
      <c r="X36" s="114"/>
      <c r="Y36" s="116"/>
      <c r="Z36" s="117"/>
      <c r="AA36" s="117"/>
      <c r="AB36" s="142"/>
      <c r="AC36" s="143"/>
      <c r="AD36" s="116"/>
      <c r="AE36" s="116"/>
      <c r="AF36" s="115"/>
      <c r="AG36" s="116"/>
      <c r="AH36" s="116"/>
      <c r="AI36" s="143"/>
    </row>
    <row r="37">
      <c r="A37" s="32"/>
      <c r="B37" s="192">
        <v>35.0</v>
      </c>
      <c r="C37" s="39" t="s">
        <v>141</v>
      </c>
      <c r="D37" s="22">
        <f t="shared" si="3"/>
        <v>0</v>
      </c>
      <c r="E37" s="23"/>
      <c r="F37" s="26"/>
      <c r="G37" s="25"/>
      <c r="H37" s="25"/>
      <c r="I37" s="25"/>
      <c r="J37" s="25"/>
      <c r="K37" s="25"/>
      <c r="L37" s="25"/>
      <c r="M37" s="26"/>
      <c r="N37" s="25"/>
      <c r="O37" s="25"/>
      <c r="P37" s="23"/>
      <c r="Q37" s="23"/>
      <c r="R37" s="25"/>
      <c r="S37" s="25"/>
      <c r="T37" s="114"/>
      <c r="U37" s="142"/>
      <c r="V37" s="143"/>
      <c r="W37" s="114"/>
      <c r="X37" s="116"/>
      <c r="Y37" s="116"/>
      <c r="Z37" s="116"/>
      <c r="AA37" s="114"/>
      <c r="AB37" s="142"/>
      <c r="AC37" s="143"/>
      <c r="AD37" s="116"/>
      <c r="AE37" s="116"/>
      <c r="AF37" s="115"/>
      <c r="AG37" s="116"/>
      <c r="AH37" s="116"/>
      <c r="AI37" s="143"/>
    </row>
    <row r="38">
      <c r="A38" s="15"/>
      <c r="B38" s="156">
        <v>36.0</v>
      </c>
      <c r="C38" s="39" t="s">
        <v>207</v>
      </c>
      <c r="D38" s="22">
        <f t="shared" si="3"/>
        <v>0</v>
      </c>
      <c r="E38" s="23"/>
      <c r="F38" s="26"/>
      <c r="G38" s="25"/>
      <c r="H38" s="25"/>
      <c r="I38" s="25"/>
      <c r="J38" s="25"/>
      <c r="K38" s="25"/>
      <c r="L38" s="26"/>
      <c r="M38" s="26"/>
      <c r="N38" s="25"/>
      <c r="O38" s="25"/>
      <c r="P38" s="23"/>
      <c r="Q38" s="23"/>
      <c r="R38" s="25"/>
      <c r="S38" s="23"/>
      <c r="T38" s="114"/>
      <c r="U38" s="142"/>
      <c r="V38" s="143"/>
      <c r="W38" s="116"/>
      <c r="X38" s="116"/>
      <c r="Y38" s="116"/>
      <c r="Z38" s="117"/>
      <c r="AA38" s="114"/>
      <c r="AB38" s="142"/>
      <c r="AC38" s="143"/>
      <c r="AD38" s="116"/>
      <c r="AE38" s="116"/>
      <c r="AF38" s="115"/>
      <c r="AG38" s="116"/>
      <c r="AH38" s="116"/>
      <c r="AI38" s="143"/>
    </row>
    <row r="39">
      <c r="A39" s="161" t="s">
        <v>278</v>
      </c>
      <c r="B39" s="156">
        <v>37.0</v>
      </c>
      <c r="C39" s="39" t="s">
        <v>78</v>
      </c>
      <c r="D39" s="22">
        <f t="shared" si="3"/>
        <v>0</v>
      </c>
      <c r="E39" s="23"/>
      <c r="F39" s="26"/>
      <c r="G39" s="25"/>
      <c r="H39" s="25"/>
      <c r="I39" s="26"/>
      <c r="J39" s="25"/>
      <c r="K39" s="26"/>
      <c r="L39" s="25"/>
      <c r="M39" s="26"/>
      <c r="N39" s="25"/>
      <c r="O39" s="25"/>
      <c r="P39" s="23"/>
      <c r="Q39" s="23"/>
      <c r="R39" s="25"/>
      <c r="S39" s="25"/>
      <c r="T39" s="116"/>
      <c r="U39" s="142"/>
      <c r="V39" s="143"/>
      <c r="W39" s="116"/>
      <c r="X39" s="116"/>
      <c r="Y39" s="116"/>
      <c r="Z39" s="116"/>
      <c r="AA39" s="116"/>
      <c r="AB39" s="142"/>
      <c r="AC39" s="143"/>
      <c r="AD39" s="116"/>
      <c r="AE39" s="116"/>
      <c r="AF39" s="115"/>
      <c r="AG39" s="116"/>
      <c r="AH39" s="116"/>
      <c r="AI39" s="143"/>
    </row>
    <row r="40">
      <c r="A40" s="32"/>
      <c r="B40" s="192">
        <v>38.0</v>
      </c>
      <c r="C40" s="39" t="s">
        <v>14</v>
      </c>
      <c r="D40" s="22">
        <f t="shared" si="3"/>
        <v>0</v>
      </c>
      <c r="E40" s="23"/>
      <c r="F40" s="26"/>
      <c r="G40" s="25"/>
      <c r="H40" s="25"/>
      <c r="I40" s="25"/>
      <c r="J40" s="25"/>
      <c r="K40" s="25"/>
      <c r="L40" s="25"/>
      <c r="M40" s="26"/>
      <c r="N40" s="25"/>
      <c r="O40" s="25"/>
      <c r="P40" s="26"/>
      <c r="Q40" s="23"/>
      <c r="R40" s="23"/>
      <c r="S40" s="25"/>
      <c r="T40" s="114"/>
      <c r="U40" s="142"/>
      <c r="V40" s="143"/>
      <c r="W40" s="116"/>
      <c r="X40" s="116"/>
      <c r="Y40" s="116"/>
      <c r="Z40" s="116"/>
      <c r="AA40" s="114"/>
      <c r="AB40" s="142"/>
      <c r="AC40" s="143"/>
      <c r="AD40" s="116"/>
      <c r="AE40" s="116"/>
      <c r="AF40" s="115"/>
      <c r="AG40" s="116"/>
      <c r="AH40" s="116"/>
      <c r="AI40" s="143"/>
    </row>
    <row r="41">
      <c r="A41" s="32"/>
      <c r="B41" s="156">
        <v>39.0</v>
      </c>
      <c r="C41" s="39" t="s">
        <v>105</v>
      </c>
      <c r="D41" s="22">
        <f t="shared" si="3"/>
        <v>0</v>
      </c>
      <c r="E41" s="23"/>
      <c r="F41" s="26"/>
      <c r="G41" s="25"/>
      <c r="H41" s="25"/>
      <c r="I41" s="25"/>
      <c r="J41" s="25"/>
      <c r="K41" s="25"/>
      <c r="L41" s="25"/>
      <c r="M41" s="26"/>
      <c r="N41" s="25"/>
      <c r="O41" s="25"/>
      <c r="P41" s="26"/>
      <c r="Q41" s="23"/>
      <c r="R41" s="23"/>
      <c r="S41" s="25"/>
      <c r="T41" s="114"/>
      <c r="U41" s="142"/>
      <c r="V41" s="143"/>
      <c r="W41" s="116"/>
      <c r="X41" s="116"/>
      <c r="Y41" s="116"/>
      <c r="Z41" s="116"/>
      <c r="AA41" s="114"/>
      <c r="AB41" s="142"/>
      <c r="AC41" s="143"/>
      <c r="AD41" s="116"/>
      <c r="AE41" s="116"/>
      <c r="AF41" s="115"/>
      <c r="AG41" s="116"/>
      <c r="AH41" s="116"/>
      <c r="AI41" s="143"/>
    </row>
    <row r="42">
      <c r="A42" s="32"/>
      <c r="B42" s="156">
        <v>40.0</v>
      </c>
      <c r="C42" s="39" t="s">
        <v>29</v>
      </c>
      <c r="D42" s="22">
        <f t="shared" si="3"/>
        <v>0</v>
      </c>
      <c r="E42" s="23"/>
      <c r="F42" s="26"/>
      <c r="G42" s="25"/>
      <c r="H42" s="25"/>
      <c r="I42" s="25"/>
      <c r="J42" s="25"/>
      <c r="K42" s="25"/>
      <c r="L42" s="25"/>
      <c r="M42" s="26"/>
      <c r="N42" s="25"/>
      <c r="O42" s="25"/>
      <c r="P42" s="26"/>
      <c r="Q42" s="23"/>
      <c r="R42" s="23"/>
      <c r="S42" s="25"/>
      <c r="T42" s="114"/>
      <c r="U42" s="142"/>
      <c r="V42" s="143"/>
      <c r="W42" s="116"/>
      <c r="X42" s="116"/>
      <c r="Y42" s="116"/>
      <c r="Z42" s="116"/>
      <c r="AA42" s="114"/>
      <c r="AB42" s="142"/>
      <c r="AC42" s="143"/>
      <c r="AD42" s="116"/>
      <c r="AE42" s="116"/>
      <c r="AF42" s="115"/>
      <c r="AG42" s="116"/>
      <c r="AH42" s="116"/>
      <c r="AI42" s="143"/>
    </row>
    <row r="43">
      <c r="A43" s="32"/>
      <c r="B43" s="194">
        <v>41.0</v>
      </c>
      <c r="C43" s="126" t="s">
        <v>249</v>
      </c>
      <c r="D43" s="22">
        <f t="shared" si="3"/>
        <v>0</v>
      </c>
      <c r="E43" s="23"/>
      <c r="F43" s="26"/>
      <c r="G43" s="25"/>
      <c r="H43" s="25"/>
      <c r="I43" s="25"/>
      <c r="J43" s="25"/>
      <c r="K43" s="25"/>
      <c r="L43" s="25"/>
      <c r="M43" s="26"/>
      <c r="N43" s="25"/>
      <c r="O43" s="25"/>
      <c r="P43" s="26"/>
      <c r="Q43" s="23"/>
      <c r="R43" s="23"/>
      <c r="S43" s="25"/>
      <c r="T43" s="114"/>
      <c r="U43" s="142"/>
      <c r="V43" s="143"/>
      <c r="W43" s="116"/>
      <c r="X43" s="116"/>
      <c r="Y43" s="116"/>
      <c r="Z43" s="116"/>
      <c r="AA43" s="114"/>
      <c r="AB43" s="142"/>
      <c r="AC43" s="143"/>
      <c r="AD43" s="116"/>
      <c r="AE43" s="116"/>
      <c r="AF43" s="115"/>
      <c r="AG43" s="116"/>
      <c r="AH43" s="116"/>
      <c r="AI43" s="143"/>
    </row>
    <row r="44">
      <c r="A44" s="32"/>
      <c r="B44" s="151">
        <v>42.0</v>
      </c>
      <c r="C44" s="126" t="s">
        <v>394</v>
      </c>
      <c r="D44" s="22">
        <f t="shared" si="3"/>
        <v>0</v>
      </c>
      <c r="E44" s="23"/>
      <c r="F44" s="26"/>
      <c r="G44" s="25"/>
      <c r="H44" s="25"/>
      <c r="I44" s="25"/>
      <c r="J44" s="25"/>
      <c r="K44" s="23"/>
      <c r="L44" s="25"/>
      <c r="M44" s="26"/>
      <c r="N44" s="25"/>
      <c r="O44" s="25"/>
      <c r="P44" s="23"/>
      <c r="Q44" s="23"/>
      <c r="R44" s="25"/>
      <c r="S44" s="25"/>
      <c r="T44" s="114"/>
      <c r="U44" s="142"/>
      <c r="V44" s="143"/>
      <c r="W44" s="116"/>
      <c r="X44" s="116"/>
      <c r="Y44" s="116"/>
      <c r="Z44" s="117"/>
      <c r="AA44" s="114"/>
      <c r="AB44" s="142"/>
      <c r="AC44" s="143"/>
      <c r="AD44" s="116"/>
      <c r="AE44" s="116"/>
      <c r="AF44" s="115"/>
      <c r="AG44" s="116"/>
      <c r="AH44" s="116"/>
      <c r="AI44" s="143"/>
    </row>
    <row r="45">
      <c r="A45" s="32"/>
      <c r="B45" s="151">
        <v>43.0</v>
      </c>
      <c r="C45" s="126" t="s">
        <v>395</v>
      </c>
      <c r="D45" s="22">
        <f t="shared" si="3"/>
        <v>0</v>
      </c>
      <c r="E45" s="23"/>
      <c r="F45" s="26"/>
      <c r="G45" s="25"/>
      <c r="H45" s="25"/>
      <c r="I45" s="25"/>
      <c r="J45" s="25"/>
      <c r="K45" s="23"/>
      <c r="L45" s="25"/>
      <c r="M45" s="26"/>
      <c r="N45" s="25"/>
      <c r="O45" s="25"/>
      <c r="P45" s="23"/>
      <c r="Q45" s="23"/>
      <c r="R45" s="25"/>
      <c r="S45" s="25"/>
      <c r="T45" s="114"/>
      <c r="U45" s="142"/>
      <c r="V45" s="143"/>
      <c r="W45" s="116"/>
      <c r="X45" s="116"/>
      <c r="Y45" s="116"/>
      <c r="Z45" s="117"/>
      <c r="AA45" s="114"/>
      <c r="AB45" s="142"/>
      <c r="AC45" s="143"/>
      <c r="AD45" s="116"/>
      <c r="AE45" s="116"/>
      <c r="AF45" s="115"/>
      <c r="AG45" s="116"/>
      <c r="AH45" s="116"/>
      <c r="AI45" s="143"/>
    </row>
    <row r="46">
      <c r="A46" s="32"/>
      <c r="B46" s="151">
        <v>44.0</v>
      </c>
      <c r="C46" s="126" t="s">
        <v>72</v>
      </c>
      <c r="D46" s="22">
        <f t="shared" si="3"/>
        <v>0</v>
      </c>
      <c r="E46" s="23"/>
      <c r="F46" s="26"/>
      <c r="G46" s="25"/>
      <c r="H46" s="25"/>
      <c r="I46" s="25"/>
      <c r="J46" s="25"/>
      <c r="K46" s="23"/>
      <c r="L46" s="25"/>
      <c r="M46" s="26"/>
      <c r="N46" s="25"/>
      <c r="O46" s="25"/>
      <c r="P46" s="23"/>
      <c r="Q46" s="23"/>
      <c r="R46" s="25"/>
      <c r="S46" s="25"/>
      <c r="T46" s="114"/>
      <c r="U46" s="142"/>
      <c r="V46" s="143"/>
      <c r="W46" s="116"/>
      <c r="X46" s="116"/>
      <c r="Y46" s="116"/>
      <c r="Z46" s="117"/>
      <c r="AA46" s="114"/>
      <c r="AB46" s="142"/>
      <c r="AC46" s="143"/>
      <c r="AD46" s="116"/>
      <c r="AE46" s="116"/>
      <c r="AF46" s="115"/>
      <c r="AG46" s="116"/>
      <c r="AH46" s="116"/>
      <c r="AI46" s="143"/>
    </row>
    <row r="47">
      <c r="A47" s="32"/>
      <c r="B47" s="151">
        <v>45.0</v>
      </c>
      <c r="C47" s="126" t="s">
        <v>204</v>
      </c>
      <c r="D47" s="22">
        <f t="shared" si="3"/>
        <v>0</v>
      </c>
      <c r="E47" s="23"/>
      <c r="F47" s="26"/>
      <c r="G47" s="25"/>
      <c r="H47" s="25"/>
      <c r="I47" s="25"/>
      <c r="J47" s="25"/>
      <c r="K47" s="25"/>
      <c r="L47" s="25"/>
      <c r="M47" s="26"/>
      <c r="N47" s="25"/>
      <c r="O47" s="25"/>
      <c r="P47" s="23"/>
      <c r="Q47" s="23"/>
      <c r="R47" s="25"/>
      <c r="S47" s="25"/>
      <c r="T47" s="114"/>
      <c r="U47" s="142"/>
      <c r="V47" s="143"/>
      <c r="W47" s="116"/>
      <c r="X47" s="116"/>
      <c r="Y47" s="116"/>
      <c r="Z47" s="116"/>
      <c r="AA47" s="114"/>
      <c r="AB47" s="142"/>
      <c r="AC47" s="143"/>
      <c r="AD47" s="116"/>
      <c r="AE47" s="116"/>
      <c r="AF47" s="115"/>
      <c r="AG47" s="116"/>
      <c r="AH47" s="116"/>
      <c r="AI47" s="143"/>
    </row>
    <row r="48">
      <c r="A48" s="32"/>
      <c r="B48" s="194">
        <v>46.0</v>
      </c>
      <c r="C48" s="126" t="s">
        <v>279</v>
      </c>
      <c r="D48" s="22">
        <f t="shared" si="3"/>
        <v>0</v>
      </c>
      <c r="E48" s="23"/>
      <c r="F48" s="26"/>
      <c r="G48" s="25"/>
      <c r="H48" s="25"/>
      <c r="I48" s="23"/>
      <c r="J48" s="25"/>
      <c r="K48" s="23"/>
      <c r="L48" s="25"/>
      <c r="M48" s="26"/>
      <c r="N48" s="25"/>
      <c r="O48" s="25"/>
      <c r="P48" s="23"/>
      <c r="Q48" s="23"/>
      <c r="R48" s="25"/>
      <c r="S48" s="25"/>
      <c r="T48" s="114"/>
      <c r="U48" s="142"/>
      <c r="V48" s="146"/>
      <c r="W48" s="116"/>
      <c r="X48" s="116"/>
      <c r="Y48" s="116"/>
      <c r="Z48" s="116"/>
      <c r="AA48" s="147"/>
      <c r="AB48" s="142"/>
      <c r="AC48" s="143"/>
      <c r="AD48" s="116"/>
      <c r="AE48" s="116"/>
      <c r="AF48" s="115"/>
      <c r="AG48" s="116"/>
      <c r="AH48" s="116"/>
      <c r="AI48" s="143"/>
    </row>
    <row r="49">
      <c r="A49" s="32"/>
      <c r="B49" s="151">
        <v>47.0</v>
      </c>
      <c r="C49" s="162" t="s">
        <v>81</v>
      </c>
      <c r="D49" s="22">
        <f t="shared" si="3"/>
        <v>0</v>
      </c>
      <c r="E49" s="26"/>
      <c r="F49" s="26"/>
      <c r="G49" s="25"/>
      <c r="H49" s="25"/>
      <c r="I49" s="25"/>
      <c r="J49" s="25"/>
      <c r="K49" s="159"/>
      <c r="L49" s="25"/>
      <c r="M49" s="26"/>
      <c r="N49" s="25"/>
      <c r="O49" s="25"/>
      <c r="P49" s="26"/>
      <c r="Q49" s="23"/>
      <c r="R49" s="159"/>
      <c r="S49" s="26"/>
      <c r="T49" s="114"/>
      <c r="U49" s="142"/>
      <c r="V49" s="143"/>
      <c r="W49" s="116"/>
      <c r="X49" s="117"/>
      <c r="Y49" s="116"/>
      <c r="Z49" s="117"/>
      <c r="AA49" s="116"/>
      <c r="AB49" s="142"/>
      <c r="AC49" s="143"/>
      <c r="AD49" s="116"/>
      <c r="AE49" s="116"/>
      <c r="AF49" s="115"/>
      <c r="AG49" s="116"/>
      <c r="AH49" s="116"/>
      <c r="AI49" s="143"/>
    </row>
    <row r="50">
      <c r="A50" s="32"/>
      <c r="B50" s="151">
        <v>48.0</v>
      </c>
      <c r="C50" s="126" t="s">
        <v>153</v>
      </c>
      <c r="D50" s="22">
        <f t="shared" si="3"/>
        <v>0</v>
      </c>
      <c r="E50" s="23"/>
      <c r="F50" s="26"/>
      <c r="G50" s="25"/>
      <c r="H50" s="25"/>
      <c r="I50" s="25"/>
      <c r="J50" s="25"/>
      <c r="K50" s="25"/>
      <c r="L50" s="25"/>
      <c r="M50" s="26"/>
      <c r="N50" s="25"/>
      <c r="O50" s="25"/>
      <c r="P50" s="26"/>
      <c r="Q50" s="23"/>
      <c r="R50" s="159"/>
      <c r="S50" s="25"/>
      <c r="T50" s="114"/>
      <c r="U50" s="142"/>
      <c r="V50" s="143"/>
      <c r="W50" s="116"/>
      <c r="X50" s="116"/>
      <c r="Y50" s="116"/>
      <c r="Z50" s="116"/>
      <c r="AA50" s="114"/>
      <c r="AB50" s="142"/>
      <c r="AC50" s="143"/>
      <c r="AD50" s="116"/>
      <c r="AE50" s="116"/>
      <c r="AF50" s="115"/>
      <c r="AG50" s="116"/>
      <c r="AH50" s="116"/>
      <c r="AI50" s="143"/>
    </row>
    <row r="51">
      <c r="A51" s="32"/>
      <c r="B51" s="194">
        <v>49.0</v>
      </c>
      <c r="C51" s="126" t="s">
        <v>198</v>
      </c>
      <c r="D51" s="22">
        <f t="shared" si="3"/>
        <v>0</v>
      </c>
      <c r="E51" s="23"/>
      <c r="F51" s="26"/>
      <c r="G51" s="25"/>
      <c r="H51" s="25"/>
      <c r="I51" s="25"/>
      <c r="J51" s="25"/>
      <c r="K51" s="25"/>
      <c r="L51" s="25"/>
      <c r="M51" s="26"/>
      <c r="N51" s="25"/>
      <c r="O51" s="25"/>
      <c r="P51" s="23"/>
      <c r="Q51" s="23"/>
      <c r="R51" s="25"/>
      <c r="S51" s="25"/>
      <c r="T51" s="114"/>
      <c r="U51" s="142"/>
      <c r="V51" s="143"/>
      <c r="W51" s="114"/>
      <c r="X51" s="116"/>
      <c r="Y51" s="116"/>
      <c r="Z51" s="116"/>
      <c r="AA51" s="114"/>
      <c r="AB51" s="142"/>
      <c r="AC51" s="143"/>
      <c r="AD51" s="114"/>
      <c r="AE51" s="115"/>
      <c r="AF51" s="115"/>
      <c r="AG51" s="116"/>
      <c r="AH51" s="116"/>
      <c r="AI51" s="143"/>
    </row>
    <row r="52">
      <c r="A52" s="32"/>
      <c r="B52" s="151">
        <v>50.0</v>
      </c>
      <c r="C52" s="126" t="s">
        <v>257</v>
      </c>
      <c r="D52" s="22">
        <f t="shared" si="3"/>
        <v>0</v>
      </c>
      <c r="E52" s="23"/>
      <c r="F52" s="26"/>
      <c r="G52" s="25"/>
      <c r="H52" s="25"/>
      <c r="I52" s="25"/>
      <c r="J52" s="25"/>
      <c r="K52" s="26"/>
      <c r="L52" s="23"/>
      <c r="M52" s="26"/>
      <c r="N52" s="25"/>
      <c r="O52" s="25"/>
      <c r="P52" s="23"/>
      <c r="Q52" s="23"/>
      <c r="R52" s="25"/>
      <c r="S52" s="25"/>
      <c r="T52" s="114"/>
      <c r="U52" s="142"/>
      <c r="V52" s="143"/>
      <c r="W52" s="116"/>
      <c r="X52" s="116"/>
      <c r="Y52" s="116"/>
      <c r="Z52" s="116"/>
      <c r="AA52" s="116"/>
      <c r="AB52" s="142"/>
      <c r="AC52" s="143"/>
      <c r="AD52" s="116"/>
      <c r="AE52" s="116"/>
      <c r="AF52" s="115"/>
      <c r="AG52" s="116"/>
      <c r="AH52" s="116"/>
      <c r="AI52" s="143"/>
    </row>
    <row r="53">
      <c r="A53" s="15"/>
      <c r="B53" s="151">
        <v>51.0</v>
      </c>
      <c r="C53" s="152" t="s">
        <v>384</v>
      </c>
      <c r="D53" s="22">
        <f t="shared" si="3"/>
        <v>0</v>
      </c>
      <c r="E53" s="23"/>
      <c r="F53" s="26"/>
      <c r="G53" s="25"/>
      <c r="H53" s="25"/>
      <c r="I53" s="25"/>
      <c r="J53" s="25"/>
      <c r="K53" s="26"/>
      <c r="L53" s="23"/>
      <c r="M53" s="26"/>
      <c r="N53" s="25"/>
      <c r="O53" s="25"/>
      <c r="P53" s="23"/>
      <c r="Q53" s="23"/>
      <c r="R53" s="25"/>
      <c r="S53" s="25"/>
      <c r="T53" s="114"/>
      <c r="U53" s="142"/>
      <c r="V53" s="143"/>
      <c r="W53" s="116"/>
      <c r="X53" s="116"/>
      <c r="Y53" s="116"/>
      <c r="Z53" s="116"/>
      <c r="AA53" s="116"/>
      <c r="AB53" s="142"/>
      <c r="AC53" s="143"/>
      <c r="AD53" s="116"/>
      <c r="AE53" s="116"/>
      <c r="AF53" s="115"/>
      <c r="AG53" s="116"/>
      <c r="AH53" s="116"/>
      <c r="AI53" s="143"/>
    </row>
    <row r="54">
      <c r="A54" s="196"/>
      <c r="B54" s="156">
        <v>52.0</v>
      </c>
      <c r="C54" s="39" t="s">
        <v>23</v>
      </c>
      <c r="D54" s="22">
        <f t="shared" si="3"/>
        <v>0</v>
      </c>
      <c r="E54" s="23"/>
      <c r="F54" s="26"/>
      <c r="G54" s="25"/>
      <c r="H54" s="25"/>
      <c r="I54" s="25"/>
      <c r="J54" s="159"/>
      <c r="K54" s="23"/>
      <c r="L54" s="25"/>
      <c r="M54" s="26"/>
      <c r="N54" s="25"/>
      <c r="O54" s="25"/>
      <c r="P54" s="23"/>
      <c r="Q54" s="23"/>
      <c r="R54" s="25"/>
      <c r="S54" s="25"/>
      <c r="T54" s="114"/>
      <c r="U54" s="142"/>
      <c r="V54" s="146"/>
      <c r="W54" s="114"/>
      <c r="X54" s="116"/>
      <c r="Y54" s="117"/>
      <c r="Z54" s="117"/>
      <c r="AA54" s="117"/>
      <c r="AB54" s="142"/>
      <c r="AC54" s="143"/>
      <c r="AD54" s="115"/>
      <c r="AE54" s="116"/>
      <c r="AF54" s="115"/>
      <c r="AG54" s="116"/>
      <c r="AH54" s="116"/>
      <c r="AI54" s="143"/>
    </row>
    <row r="55">
      <c r="A55" s="32"/>
      <c r="B55" s="192">
        <v>53.0</v>
      </c>
      <c r="C55" s="164" t="s">
        <v>17</v>
      </c>
      <c r="D55" s="22">
        <f t="shared" si="3"/>
        <v>0</v>
      </c>
      <c r="E55" s="23"/>
      <c r="F55" s="26"/>
      <c r="G55" s="25"/>
      <c r="H55" s="25"/>
      <c r="I55" s="25"/>
      <c r="J55" s="25"/>
      <c r="K55" s="23"/>
      <c r="L55" s="25"/>
      <c r="M55" s="25"/>
      <c r="N55" s="25"/>
      <c r="O55" s="25"/>
      <c r="P55" s="23"/>
      <c r="Q55" s="23"/>
      <c r="R55" s="25"/>
      <c r="S55" s="25"/>
      <c r="T55" s="114"/>
      <c r="U55" s="142"/>
      <c r="V55" s="143"/>
      <c r="W55" s="116"/>
      <c r="X55" s="116"/>
      <c r="Y55" s="116"/>
      <c r="Z55" s="116"/>
      <c r="AA55" s="116"/>
      <c r="AB55" s="142"/>
      <c r="AC55" s="146"/>
      <c r="AD55" s="116"/>
      <c r="AE55" s="116"/>
      <c r="AF55" s="115"/>
      <c r="AG55" s="116"/>
      <c r="AH55" s="116"/>
      <c r="AI55" s="143"/>
    </row>
    <row r="56">
      <c r="A56" s="32"/>
      <c r="B56" s="154">
        <v>54.0</v>
      </c>
      <c r="C56" s="155" t="s">
        <v>260</v>
      </c>
      <c r="D56" s="22">
        <f t="shared" si="3"/>
        <v>0</v>
      </c>
      <c r="E56" s="23"/>
      <c r="F56" s="26"/>
      <c r="G56" s="25"/>
      <c r="H56" s="25"/>
      <c r="I56" s="25"/>
      <c r="J56" s="23"/>
      <c r="K56" s="25"/>
      <c r="L56" s="26"/>
      <c r="M56" s="26"/>
      <c r="N56" s="25"/>
      <c r="O56" s="25"/>
      <c r="P56" s="26"/>
      <c r="Q56" s="23"/>
      <c r="R56" s="23"/>
      <c r="S56" s="25"/>
      <c r="T56" s="114"/>
      <c r="U56" s="142"/>
      <c r="V56" s="143"/>
      <c r="W56" s="116"/>
      <c r="X56" s="116"/>
      <c r="Y56" s="116"/>
      <c r="Z56" s="116"/>
      <c r="AA56" s="114"/>
      <c r="AB56" s="142"/>
      <c r="AC56" s="143"/>
      <c r="AD56" s="116"/>
      <c r="AE56" s="116"/>
      <c r="AF56" s="115"/>
      <c r="AG56" s="116"/>
      <c r="AH56" s="116"/>
      <c r="AI56" s="143"/>
    </row>
    <row r="57">
      <c r="A57" s="32"/>
      <c r="B57" s="154">
        <v>55.0</v>
      </c>
      <c r="C57" s="155" t="s">
        <v>26</v>
      </c>
      <c r="D57" s="22">
        <f t="shared" si="3"/>
        <v>0</v>
      </c>
      <c r="E57" s="23"/>
      <c r="F57" s="26"/>
      <c r="G57" s="25"/>
      <c r="H57" s="25"/>
      <c r="I57" s="25"/>
      <c r="J57" s="23"/>
      <c r="K57" s="25"/>
      <c r="L57" s="26"/>
      <c r="M57" s="26"/>
      <c r="N57" s="25"/>
      <c r="O57" s="25"/>
      <c r="P57" s="26"/>
      <c r="Q57" s="23"/>
      <c r="R57" s="23"/>
      <c r="S57" s="25"/>
      <c r="T57" s="114"/>
      <c r="U57" s="142"/>
      <c r="V57" s="143"/>
      <c r="W57" s="116"/>
      <c r="X57" s="116"/>
      <c r="Y57" s="116"/>
      <c r="Z57" s="116"/>
      <c r="AA57" s="114"/>
      <c r="AB57" s="142"/>
      <c r="AC57" s="143"/>
      <c r="AD57" s="116"/>
      <c r="AE57" s="116"/>
      <c r="AF57" s="115"/>
      <c r="AG57" s="116"/>
      <c r="AH57" s="116"/>
      <c r="AI57" s="143"/>
    </row>
    <row r="58">
      <c r="A58" s="32"/>
      <c r="B58" s="154">
        <v>56.0</v>
      </c>
      <c r="C58" s="155" t="s">
        <v>51</v>
      </c>
      <c r="D58" s="22">
        <f t="shared" si="3"/>
        <v>0</v>
      </c>
      <c r="E58" s="23"/>
      <c r="F58" s="26"/>
      <c r="G58" s="25"/>
      <c r="H58" s="25"/>
      <c r="I58" s="25"/>
      <c r="J58" s="23"/>
      <c r="K58" s="25"/>
      <c r="L58" s="26"/>
      <c r="M58" s="26"/>
      <c r="N58" s="25"/>
      <c r="O58" s="25"/>
      <c r="P58" s="26"/>
      <c r="Q58" s="23"/>
      <c r="R58" s="23"/>
      <c r="S58" s="25"/>
      <c r="T58" s="114"/>
      <c r="U58" s="142"/>
      <c r="V58" s="143"/>
      <c r="W58" s="116"/>
      <c r="X58" s="116"/>
      <c r="Y58" s="116"/>
      <c r="Z58" s="116"/>
      <c r="AA58" s="114"/>
      <c r="AB58" s="142"/>
      <c r="AC58" s="143"/>
      <c r="AD58" s="116"/>
      <c r="AE58" s="116"/>
      <c r="AF58" s="115"/>
      <c r="AG58" s="116"/>
      <c r="AH58" s="116"/>
      <c r="AI58" s="143"/>
    </row>
    <row r="59">
      <c r="A59" s="32"/>
      <c r="B59" s="154">
        <v>57.0</v>
      </c>
      <c r="C59" s="155" t="s">
        <v>396</v>
      </c>
      <c r="D59" s="22">
        <f t="shared" si="3"/>
        <v>0</v>
      </c>
      <c r="E59" s="23"/>
      <c r="F59" s="26"/>
      <c r="G59" s="25"/>
      <c r="H59" s="25"/>
      <c r="I59" s="25"/>
      <c r="J59" s="23"/>
      <c r="K59" s="25"/>
      <c r="L59" s="26"/>
      <c r="M59" s="26"/>
      <c r="N59" s="25"/>
      <c r="O59" s="25"/>
      <c r="P59" s="26"/>
      <c r="Q59" s="23"/>
      <c r="R59" s="23"/>
      <c r="S59" s="25"/>
      <c r="T59" s="114"/>
      <c r="U59" s="142"/>
      <c r="V59" s="143"/>
      <c r="W59" s="116"/>
      <c r="X59" s="116"/>
      <c r="Y59" s="116"/>
      <c r="Z59" s="116"/>
      <c r="AA59" s="114"/>
      <c r="AB59" s="142"/>
      <c r="AC59" s="143"/>
      <c r="AD59" s="116"/>
      <c r="AE59" s="116"/>
      <c r="AF59" s="115"/>
      <c r="AG59" s="116"/>
      <c r="AH59" s="116"/>
      <c r="AI59" s="143"/>
    </row>
    <row r="60">
      <c r="A60" s="32"/>
      <c r="B60" s="191">
        <v>58.0</v>
      </c>
      <c r="C60" s="155" t="s">
        <v>397</v>
      </c>
      <c r="D60" s="22">
        <f t="shared" si="3"/>
        <v>0</v>
      </c>
      <c r="E60" s="23"/>
      <c r="F60" s="26"/>
      <c r="G60" s="25"/>
      <c r="H60" s="25"/>
      <c r="I60" s="25"/>
      <c r="J60" s="23"/>
      <c r="K60" s="25"/>
      <c r="L60" s="26"/>
      <c r="M60" s="26"/>
      <c r="N60" s="25"/>
      <c r="O60" s="25"/>
      <c r="P60" s="26"/>
      <c r="Q60" s="23"/>
      <c r="R60" s="23"/>
      <c r="S60" s="25"/>
      <c r="T60" s="114"/>
      <c r="U60" s="142"/>
      <c r="V60" s="143"/>
      <c r="W60" s="116"/>
      <c r="X60" s="116"/>
      <c r="Y60" s="116"/>
      <c r="Z60" s="116"/>
      <c r="AA60" s="114"/>
      <c r="AB60" s="142"/>
      <c r="AC60" s="143"/>
      <c r="AD60" s="116"/>
      <c r="AE60" s="116"/>
      <c r="AF60" s="115"/>
      <c r="AG60" s="116"/>
      <c r="AH60" s="116"/>
      <c r="AI60" s="143"/>
    </row>
    <row r="61">
      <c r="A61" s="193" t="s">
        <v>281</v>
      </c>
      <c r="B61" s="151">
        <v>59.0</v>
      </c>
      <c r="C61" s="126" t="s">
        <v>32</v>
      </c>
      <c r="D61" s="22">
        <f t="shared" si="3"/>
        <v>0</v>
      </c>
      <c r="E61" s="23"/>
      <c r="F61" s="26"/>
      <c r="G61" s="25"/>
      <c r="H61" s="25"/>
      <c r="I61" s="23"/>
      <c r="J61" s="23"/>
      <c r="K61" s="23"/>
      <c r="L61" s="25"/>
      <c r="M61" s="26"/>
      <c r="N61" s="25"/>
      <c r="O61" s="25"/>
      <c r="P61" s="23"/>
      <c r="Q61" s="23"/>
      <c r="R61" s="26"/>
      <c r="S61" s="25"/>
      <c r="T61" s="114"/>
      <c r="U61" s="142"/>
      <c r="V61" s="143"/>
      <c r="W61" s="26"/>
      <c r="X61" s="117"/>
      <c r="Y61" s="117"/>
      <c r="Z61" s="117"/>
      <c r="AA61" s="114"/>
      <c r="AB61" s="142"/>
      <c r="AC61" s="143"/>
      <c r="AD61" s="116"/>
      <c r="AE61" s="116"/>
      <c r="AF61" s="115"/>
      <c r="AG61" s="116"/>
      <c r="AH61" s="116"/>
      <c r="AI61" s="143"/>
    </row>
    <row r="62">
      <c r="A62" s="166" t="s">
        <v>282</v>
      </c>
      <c r="B62" s="167">
        <v>60.0</v>
      </c>
      <c r="C62" s="150" t="s">
        <v>138</v>
      </c>
      <c r="D62" s="22">
        <f t="shared" si="3"/>
        <v>0</v>
      </c>
      <c r="E62" s="23"/>
      <c r="F62" s="26"/>
      <c r="G62" s="25"/>
      <c r="H62" s="25"/>
      <c r="I62" s="25"/>
      <c r="J62" s="25"/>
      <c r="K62" s="25"/>
      <c r="L62" s="25"/>
      <c r="M62" s="26"/>
      <c r="N62" s="25"/>
      <c r="O62" s="25"/>
      <c r="P62" s="23"/>
      <c r="Q62" s="23"/>
      <c r="R62" s="25"/>
      <c r="S62" s="25"/>
      <c r="T62" s="116"/>
      <c r="U62" s="142"/>
      <c r="V62" s="143"/>
      <c r="W62" s="116"/>
      <c r="X62" s="116"/>
      <c r="Y62" s="116"/>
      <c r="Z62" s="116"/>
      <c r="AA62" s="114"/>
      <c r="AB62" s="142"/>
      <c r="AC62" s="143"/>
      <c r="AD62" s="116"/>
      <c r="AE62" s="116"/>
      <c r="AF62" s="115"/>
      <c r="AG62" s="116"/>
      <c r="AH62" s="116"/>
      <c r="AI62" s="143"/>
    </row>
    <row r="63">
      <c r="A63" s="32"/>
      <c r="B63" s="195">
        <v>61.0</v>
      </c>
      <c r="C63" s="150" t="s">
        <v>228</v>
      </c>
      <c r="D63" s="22">
        <f t="shared" si="3"/>
        <v>0</v>
      </c>
      <c r="E63" s="23"/>
      <c r="F63" s="26"/>
      <c r="G63" s="25"/>
      <c r="H63" s="25"/>
      <c r="I63" s="25"/>
      <c r="J63" s="25"/>
      <c r="K63" s="25"/>
      <c r="L63" s="25"/>
      <c r="M63" s="26"/>
      <c r="N63" s="25"/>
      <c r="O63" s="25"/>
      <c r="P63" s="23"/>
      <c r="Q63" s="23"/>
      <c r="R63" s="25"/>
      <c r="S63" s="25"/>
      <c r="T63" s="116"/>
      <c r="U63" s="142"/>
      <c r="V63" s="143"/>
      <c r="W63" s="116"/>
      <c r="X63" s="116"/>
      <c r="Y63" s="116"/>
      <c r="Z63" s="116"/>
      <c r="AA63" s="114"/>
      <c r="AB63" s="142"/>
      <c r="AC63" s="143"/>
      <c r="AD63" s="116"/>
      <c r="AE63" s="116"/>
      <c r="AF63" s="115"/>
      <c r="AG63" s="116"/>
      <c r="AH63" s="116"/>
      <c r="AI63" s="143"/>
    </row>
    <row r="64">
      <c r="A64" s="32"/>
      <c r="B64" s="167">
        <v>62.0</v>
      </c>
      <c r="C64" s="150" t="s">
        <v>273</v>
      </c>
      <c r="D64" s="22">
        <f t="shared" si="3"/>
        <v>0</v>
      </c>
      <c r="E64" s="23"/>
      <c r="F64" s="26"/>
      <c r="G64" s="25"/>
      <c r="H64" s="25"/>
      <c r="I64" s="25"/>
      <c r="J64" s="25"/>
      <c r="K64" s="25"/>
      <c r="L64" s="25"/>
      <c r="M64" s="26"/>
      <c r="N64" s="25"/>
      <c r="O64" s="25"/>
      <c r="P64" s="23"/>
      <c r="Q64" s="23"/>
      <c r="R64" s="25"/>
      <c r="S64" s="25"/>
      <c r="T64" s="116"/>
      <c r="U64" s="142"/>
      <c r="V64" s="143"/>
      <c r="W64" s="116"/>
      <c r="X64" s="116"/>
      <c r="Y64" s="116"/>
      <c r="Z64" s="116"/>
      <c r="AA64" s="114"/>
      <c r="AB64" s="142"/>
      <c r="AC64" s="143"/>
      <c r="AD64" s="116"/>
      <c r="AE64" s="116"/>
      <c r="AF64" s="115"/>
      <c r="AG64" s="116"/>
      <c r="AH64" s="116"/>
      <c r="AI64" s="143"/>
    </row>
    <row r="65">
      <c r="A65" s="32"/>
      <c r="B65" s="167">
        <v>63.0</v>
      </c>
      <c r="C65" s="150" t="s">
        <v>10</v>
      </c>
      <c r="D65" s="22">
        <f t="shared" si="3"/>
        <v>0</v>
      </c>
      <c r="E65" s="23"/>
      <c r="F65" s="26"/>
      <c r="G65" s="25"/>
      <c r="H65" s="25"/>
      <c r="I65" s="25"/>
      <c r="J65" s="25"/>
      <c r="K65" s="25"/>
      <c r="L65" s="25"/>
      <c r="M65" s="26"/>
      <c r="N65" s="25"/>
      <c r="O65" s="25"/>
      <c r="P65" s="23"/>
      <c r="Q65" s="23"/>
      <c r="R65" s="25"/>
      <c r="S65" s="25"/>
      <c r="T65" s="116"/>
      <c r="U65" s="142"/>
      <c r="V65" s="143"/>
      <c r="W65" s="116"/>
      <c r="X65" s="116"/>
      <c r="Y65" s="116"/>
      <c r="Z65" s="116"/>
      <c r="AA65" s="114"/>
      <c r="AB65" s="142"/>
      <c r="AC65" s="143"/>
      <c r="AD65" s="116"/>
      <c r="AE65" s="116"/>
      <c r="AF65" s="115"/>
      <c r="AG65" s="116"/>
      <c r="AH65" s="116"/>
      <c r="AI65" s="143"/>
    </row>
    <row r="66">
      <c r="A66" s="32"/>
      <c r="B66" s="195">
        <v>64.0</v>
      </c>
      <c r="C66" s="150" t="s">
        <v>6</v>
      </c>
      <c r="D66" s="22">
        <f t="shared" si="3"/>
        <v>0</v>
      </c>
      <c r="E66" s="23"/>
      <c r="F66" s="26"/>
      <c r="G66" s="25"/>
      <c r="H66" s="25"/>
      <c r="I66" s="25"/>
      <c r="J66" s="25"/>
      <c r="K66" s="25"/>
      <c r="L66" s="25"/>
      <c r="M66" s="25"/>
      <c r="N66" s="25"/>
      <c r="O66" s="25"/>
      <c r="P66" s="23"/>
      <c r="Q66" s="23"/>
      <c r="R66" s="25"/>
      <c r="S66" s="25"/>
      <c r="T66" s="116"/>
      <c r="U66" s="142"/>
      <c r="V66" s="143"/>
      <c r="W66" s="116"/>
      <c r="X66" s="116"/>
      <c r="Y66" s="116"/>
      <c r="Z66" s="116"/>
      <c r="AA66" s="116"/>
      <c r="AB66" s="142"/>
      <c r="AC66" s="143"/>
      <c r="AD66" s="116"/>
      <c r="AE66" s="116"/>
      <c r="AF66" s="115"/>
      <c r="AG66" s="116"/>
      <c r="AH66" s="116"/>
      <c r="AI66" s="143"/>
    </row>
    <row r="67">
      <c r="A67" s="32"/>
      <c r="B67" s="167">
        <v>65.0</v>
      </c>
      <c r="C67" s="150" t="s">
        <v>75</v>
      </c>
      <c r="D67" s="22">
        <f t="shared" si="3"/>
        <v>0</v>
      </c>
      <c r="E67" s="23"/>
      <c r="F67" s="26"/>
      <c r="G67" s="25"/>
      <c r="H67" s="25"/>
      <c r="I67" s="25"/>
      <c r="J67" s="25"/>
      <c r="K67" s="25"/>
      <c r="L67" s="25"/>
      <c r="M67" s="26"/>
      <c r="N67" s="25"/>
      <c r="O67" s="25"/>
      <c r="P67" s="23"/>
      <c r="Q67" s="23"/>
      <c r="R67" s="25"/>
      <c r="S67" s="25"/>
      <c r="T67" s="116"/>
      <c r="U67" s="142"/>
      <c r="V67" s="143"/>
      <c r="W67" s="116"/>
      <c r="X67" s="116"/>
      <c r="Y67" s="116"/>
      <c r="Z67" s="116"/>
      <c r="AA67" s="114"/>
      <c r="AB67" s="142"/>
      <c r="AC67" s="143"/>
      <c r="AD67" s="116"/>
      <c r="AE67" s="116"/>
      <c r="AF67" s="115"/>
      <c r="AG67" s="116"/>
      <c r="AH67" s="116"/>
      <c r="AI67" s="143"/>
    </row>
    <row r="68">
      <c r="A68" s="32"/>
      <c r="B68" s="167">
        <v>66.0</v>
      </c>
      <c r="C68" s="150" t="s">
        <v>120</v>
      </c>
      <c r="D68" s="22">
        <f t="shared" si="3"/>
        <v>0</v>
      </c>
      <c r="E68" s="23"/>
      <c r="F68" s="26"/>
      <c r="G68" s="25"/>
      <c r="H68" s="25"/>
      <c r="I68" s="25"/>
      <c r="J68" s="25"/>
      <c r="K68" s="25"/>
      <c r="L68" s="25"/>
      <c r="M68" s="25"/>
      <c r="N68" s="25"/>
      <c r="O68" s="25"/>
      <c r="P68" s="23"/>
      <c r="Q68" s="23"/>
      <c r="R68" s="25"/>
      <c r="S68" s="25"/>
      <c r="T68" s="116"/>
      <c r="U68" s="142"/>
      <c r="V68" s="143"/>
      <c r="W68" s="116"/>
      <c r="X68" s="116"/>
      <c r="Y68" s="116"/>
      <c r="Z68" s="116"/>
      <c r="AA68" s="116"/>
      <c r="AB68" s="142"/>
      <c r="AC68" s="143"/>
      <c r="AD68" s="116"/>
      <c r="AE68" s="116"/>
      <c r="AF68" s="115"/>
      <c r="AG68" s="116"/>
      <c r="AH68" s="116"/>
      <c r="AI68" s="143"/>
    </row>
    <row r="69">
      <c r="A69" s="32"/>
      <c r="B69" s="195">
        <v>67.0</v>
      </c>
      <c r="C69" s="168" t="s">
        <v>123</v>
      </c>
      <c r="D69" s="22">
        <f t="shared" si="3"/>
        <v>0</v>
      </c>
      <c r="E69" s="23"/>
      <c r="F69" s="26"/>
      <c r="G69" s="25"/>
      <c r="H69" s="25"/>
      <c r="I69" s="25"/>
      <c r="J69" s="25"/>
      <c r="K69" s="25"/>
      <c r="L69" s="25"/>
      <c r="M69" s="25"/>
      <c r="N69" s="25"/>
      <c r="O69" s="25"/>
      <c r="P69" s="23"/>
      <c r="Q69" s="23"/>
      <c r="R69" s="25"/>
      <c r="S69" s="25"/>
      <c r="T69" s="116"/>
      <c r="U69" s="142"/>
      <c r="V69" s="143"/>
      <c r="W69" s="116"/>
      <c r="X69" s="116"/>
      <c r="Y69" s="116"/>
      <c r="Z69" s="116"/>
      <c r="AA69" s="116"/>
      <c r="AB69" s="142"/>
      <c r="AC69" s="143"/>
      <c r="AD69" s="116"/>
      <c r="AE69" s="116"/>
      <c r="AF69" s="115"/>
      <c r="AG69" s="116"/>
      <c r="AH69" s="116"/>
      <c r="AI69" s="143"/>
    </row>
    <row r="70">
      <c r="A70" s="32"/>
      <c r="B70" s="167">
        <v>68.0</v>
      </c>
      <c r="C70" s="150" t="s">
        <v>111</v>
      </c>
      <c r="D70" s="22">
        <f t="shared" si="3"/>
        <v>0</v>
      </c>
      <c r="E70" s="23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3"/>
      <c r="Q70" s="23"/>
      <c r="R70" s="25"/>
      <c r="S70" s="25"/>
      <c r="T70" s="116"/>
      <c r="U70" s="142"/>
      <c r="V70" s="143"/>
      <c r="W70" s="116"/>
      <c r="X70" s="116"/>
      <c r="Y70" s="116"/>
      <c r="Z70" s="116"/>
      <c r="AA70" s="116"/>
      <c r="AB70" s="142"/>
      <c r="AC70" s="146"/>
      <c r="AD70" s="116"/>
      <c r="AE70" s="116"/>
      <c r="AF70" s="115"/>
      <c r="AG70" s="116"/>
      <c r="AH70" s="116"/>
      <c r="AI70" s="143"/>
    </row>
    <row r="71">
      <c r="A71" s="32"/>
      <c r="B71" s="167">
        <v>69.0</v>
      </c>
      <c r="C71" s="168" t="s">
        <v>114</v>
      </c>
      <c r="D71" s="22">
        <f t="shared" si="3"/>
        <v>0</v>
      </c>
      <c r="E71" s="23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3"/>
      <c r="Q71" s="23"/>
      <c r="R71" s="25"/>
      <c r="S71" s="25"/>
      <c r="T71" s="116"/>
      <c r="U71" s="142"/>
      <c r="V71" s="143"/>
      <c r="W71" s="116"/>
      <c r="X71" s="116"/>
      <c r="Y71" s="116"/>
      <c r="Z71" s="116"/>
      <c r="AA71" s="116"/>
      <c r="AB71" s="142"/>
      <c r="AC71" s="143"/>
      <c r="AD71" s="116"/>
      <c r="AE71" s="116"/>
      <c r="AF71" s="115"/>
      <c r="AG71" s="116"/>
      <c r="AH71" s="116"/>
      <c r="AI71" s="143"/>
    </row>
    <row r="72">
      <c r="A72" s="32"/>
      <c r="B72" s="195">
        <v>70.0</v>
      </c>
      <c r="C72" s="168" t="s">
        <v>129</v>
      </c>
      <c r="D72" s="22">
        <f t="shared" si="3"/>
        <v>0</v>
      </c>
      <c r="E72" s="23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3"/>
      <c r="Q72" s="23"/>
      <c r="R72" s="25"/>
      <c r="S72" s="25"/>
      <c r="T72" s="116"/>
      <c r="U72" s="142"/>
      <c r="V72" s="143"/>
      <c r="W72" s="116"/>
      <c r="X72" s="116"/>
      <c r="Y72" s="116"/>
      <c r="Z72" s="116"/>
      <c r="AA72" s="116"/>
      <c r="AB72" s="142"/>
      <c r="AC72" s="143"/>
      <c r="AD72" s="115"/>
      <c r="AE72" s="116"/>
      <c r="AF72" s="115"/>
      <c r="AG72" s="116"/>
      <c r="AH72" s="116"/>
      <c r="AI72" s="143"/>
    </row>
    <row r="73">
      <c r="A73" s="32"/>
      <c r="B73" s="167">
        <v>71.0</v>
      </c>
      <c r="C73" s="150" t="s">
        <v>126</v>
      </c>
      <c r="D73" s="22">
        <f t="shared" si="3"/>
        <v>0</v>
      </c>
      <c r="E73" s="23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3"/>
      <c r="Q73" s="23"/>
      <c r="R73" s="25"/>
      <c r="S73" s="25"/>
      <c r="T73" s="116"/>
      <c r="U73" s="142"/>
      <c r="V73" s="146"/>
      <c r="W73" s="116"/>
      <c r="X73" s="116"/>
      <c r="Y73" s="116"/>
      <c r="Z73" s="116"/>
      <c r="AA73" s="116"/>
      <c r="AB73" s="142"/>
      <c r="AC73" s="146"/>
      <c r="AD73" s="116"/>
      <c r="AE73" s="116"/>
      <c r="AF73" s="115"/>
      <c r="AG73" s="116"/>
      <c r="AH73" s="116"/>
      <c r="AI73" s="146"/>
    </row>
    <row r="74">
      <c r="A74" s="32"/>
      <c r="B74" s="167">
        <v>72.0</v>
      </c>
      <c r="C74" s="150" t="s">
        <v>287</v>
      </c>
      <c r="D74" s="22">
        <f t="shared" si="3"/>
        <v>0</v>
      </c>
      <c r="E74" s="23"/>
      <c r="F74" s="26"/>
      <c r="G74" s="25"/>
      <c r="H74" s="25"/>
      <c r="I74" s="25"/>
      <c r="J74" s="25"/>
      <c r="K74" s="25"/>
      <c r="L74" s="25"/>
      <c r="M74" s="25"/>
      <c r="N74" s="25"/>
      <c r="O74" s="25"/>
      <c r="P74" s="23"/>
      <c r="Q74" s="23"/>
      <c r="R74" s="25"/>
      <c r="S74" s="25"/>
      <c r="T74" s="116"/>
      <c r="U74" s="142"/>
      <c r="V74" s="143"/>
      <c r="W74" s="116"/>
      <c r="X74" s="116"/>
      <c r="Y74" s="116"/>
      <c r="Z74" s="116"/>
      <c r="AA74" s="116"/>
      <c r="AB74" s="142"/>
      <c r="AC74" s="143"/>
      <c r="AD74" s="116"/>
      <c r="AE74" s="116"/>
      <c r="AF74" s="115"/>
      <c r="AG74" s="116"/>
      <c r="AH74" s="116"/>
      <c r="AI74" s="143"/>
    </row>
    <row r="75">
      <c r="A75" s="32"/>
      <c r="B75" s="195">
        <v>73.0</v>
      </c>
      <c r="C75" s="169" t="s">
        <v>162</v>
      </c>
      <c r="D75" s="22">
        <f t="shared" si="3"/>
        <v>0</v>
      </c>
      <c r="E75" s="23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3"/>
      <c r="Q75" s="23"/>
      <c r="R75" s="25"/>
      <c r="S75" s="25"/>
      <c r="T75" s="116"/>
      <c r="U75" s="142"/>
      <c r="V75" s="143"/>
      <c r="W75" s="116"/>
      <c r="X75" s="116"/>
      <c r="Y75" s="116"/>
      <c r="Z75" s="116"/>
      <c r="AA75" s="116"/>
      <c r="AB75" s="142"/>
      <c r="AC75" s="143"/>
      <c r="AD75" s="116"/>
      <c r="AE75" s="116"/>
      <c r="AF75" s="115"/>
      <c r="AG75" s="116"/>
      <c r="AH75" s="116"/>
      <c r="AI75" s="143"/>
    </row>
    <row r="76">
      <c r="A76" s="32"/>
      <c r="B76" s="167">
        <v>74.0</v>
      </c>
      <c r="C76" s="150" t="s">
        <v>38</v>
      </c>
      <c r="D76" s="22">
        <f t="shared" si="3"/>
        <v>0</v>
      </c>
      <c r="E76" s="23"/>
      <c r="F76" s="26"/>
      <c r="G76" s="25"/>
      <c r="H76" s="25"/>
      <c r="I76" s="25"/>
      <c r="J76" s="25"/>
      <c r="K76" s="25"/>
      <c r="L76" s="25"/>
      <c r="M76" s="25"/>
      <c r="N76" s="25"/>
      <c r="O76" s="25"/>
      <c r="P76" s="23"/>
      <c r="Q76" s="23"/>
      <c r="R76" s="25"/>
      <c r="S76" s="25"/>
      <c r="T76" s="116"/>
      <c r="U76" s="142"/>
      <c r="V76" s="143"/>
      <c r="W76" s="116"/>
      <c r="X76" s="116"/>
      <c r="Y76" s="116"/>
      <c r="Z76" s="116"/>
      <c r="AA76" s="114"/>
      <c r="AB76" s="142"/>
      <c r="AC76" s="143"/>
      <c r="AD76" s="116"/>
      <c r="AE76" s="116"/>
      <c r="AF76" s="115"/>
      <c r="AG76" s="116"/>
      <c r="AH76" s="116"/>
      <c r="AI76" s="143"/>
    </row>
    <row r="77">
      <c r="A77" s="32"/>
      <c r="B77" s="167">
        <v>75.0</v>
      </c>
      <c r="C77" s="150" t="s">
        <v>117</v>
      </c>
      <c r="D77" s="22">
        <f t="shared" si="3"/>
        <v>0</v>
      </c>
      <c r="E77" s="23"/>
      <c r="F77" s="26"/>
      <c r="G77" s="25"/>
      <c r="H77" s="25"/>
      <c r="I77" s="25"/>
      <c r="J77" s="25"/>
      <c r="K77" s="25"/>
      <c r="L77" s="25"/>
      <c r="M77" s="25"/>
      <c r="N77" s="25"/>
      <c r="O77" s="25"/>
      <c r="P77" s="23"/>
      <c r="Q77" s="23"/>
      <c r="R77" s="25"/>
      <c r="S77" s="25"/>
      <c r="T77" s="116"/>
      <c r="U77" s="142"/>
      <c r="V77" s="143"/>
      <c r="W77" s="116"/>
      <c r="X77" s="116"/>
      <c r="Y77" s="116"/>
      <c r="Z77" s="116"/>
      <c r="AA77" s="114"/>
      <c r="AB77" s="142"/>
      <c r="AC77" s="143"/>
      <c r="AD77" s="115"/>
      <c r="AE77" s="115"/>
      <c r="AF77" s="115"/>
      <c r="AG77" s="116"/>
      <c r="AH77" s="116"/>
      <c r="AI77" s="143"/>
    </row>
    <row r="78">
      <c r="A78" s="32"/>
      <c r="B78" s="195">
        <v>76.0</v>
      </c>
      <c r="C78" s="150" t="s">
        <v>237</v>
      </c>
      <c r="D78" s="22">
        <f t="shared" si="3"/>
        <v>0</v>
      </c>
      <c r="E78" s="23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3"/>
      <c r="Q78" s="23"/>
      <c r="R78" s="25"/>
      <c r="S78" s="25"/>
      <c r="T78" s="116"/>
      <c r="U78" s="142"/>
      <c r="V78" s="143"/>
      <c r="W78" s="116"/>
      <c r="X78" s="116"/>
      <c r="Y78" s="116"/>
      <c r="Z78" s="116"/>
      <c r="AA78" s="116"/>
      <c r="AB78" s="142"/>
      <c r="AC78" s="143"/>
      <c r="AD78" s="116"/>
      <c r="AE78" s="116"/>
      <c r="AF78" s="115"/>
      <c r="AG78" s="116"/>
      <c r="AH78" s="116"/>
      <c r="AI78" s="146"/>
    </row>
    <row r="79">
      <c r="A79" s="15"/>
      <c r="B79" s="167">
        <v>77.0</v>
      </c>
      <c r="C79" s="150" t="s">
        <v>288</v>
      </c>
      <c r="D79" s="22">
        <f t="shared" si="3"/>
        <v>0</v>
      </c>
      <c r="E79" s="23"/>
      <c r="F79" s="26"/>
      <c r="G79" s="25"/>
      <c r="H79" s="25"/>
      <c r="I79" s="25"/>
      <c r="J79" s="25"/>
      <c r="K79" s="25"/>
      <c r="L79" s="25"/>
      <c r="M79" s="25"/>
      <c r="N79" s="25"/>
      <c r="O79" s="25"/>
      <c r="P79" s="23"/>
      <c r="Q79" s="23"/>
      <c r="R79" s="25"/>
      <c r="S79" s="25"/>
      <c r="T79" s="116"/>
      <c r="U79" s="142"/>
      <c r="V79" s="146"/>
      <c r="W79" s="116"/>
      <c r="X79" s="116"/>
      <c r="Y79" s="116"/>
      <c r="Z79" s="116"/>
      <c r="AA79" s="116"/>
      <c r="AB79" s="142"/>
      <c r="AC79" s="143"/>
      <c r="AD79" s="116"/>
      <c r="AE79" s="115"/>
      <c r="AF79" s="115"/>
      <c r="AG79" s="116"/>
      <c r="AH79" s="116"/>
      <c r="AI79" s="146"/>
    </row>
  </sheetData>
  <mergeCells count="10">
    <mergeCell ref="A39:A53"/>
    <mergeCell ref="A54:A60"/>
    <mergeCell ref="A62:A79"/>
    <mergeCell ref="A1:A2"/>
    <mergeCell ref="B1:B2"/>
    <mergeCell ref="C1:C2"/>
    <mergeCell ref="D1:D2"/>
    <mergeCell ref="A3:A4"/>
    <mergeCell ref="A5:A22"/>
    <mergeCell ref="A23:A38"/>
  </mergeCells>
  <conditionalFormatting sqref="D3:D79">
    <cfRule type="cellIs" dxfId="4" priority="1" operator="between">
      <formula>"08:00:00"</formula>
      <formula>"07:00:00"</formula>
    </cfRule>
  </conditionalFormatting>
  <conditionalFormatting sqref="D3:D79">
    <cfRule type="cellIs" dxfId="5" priority="2" operator="between">
      <formula>"07:00:00"</formula>
      <formula>"00:00:01"</formula>
    </cfRule>
  </conditionalFormatting>
  <conditionalFormatting sqref="D3:D79">
    <cfRule type="containsText" dxfId="6" priority="3" operator="containsText" text="Leave">
      <formula>NOT(ISERROR(SEARCH(("Leave"),(D3))))</formula>
    </cfRule>
  </conditionalFormatting>
  <conditionalFormatting sqref="E3:AI79">
    <cfRule type="notContainsText" dxfId="8" priority="4" operator="notContains" text="0">
      <formula>ISERROR(SEARCH(("0"),(E3)))</formula>
    </cfRule>
  </conditionalFormatting>
  <conditionalFormatting sqref="D3:AI79">
    <cfRule type="cellIs" dxfId="2" priority="5" operator="greaterThanOrEqual">
      <formula>"08:45:00"</formula>
    </cfRule>
  </conditionalFormatting>
  <conditionalFormatting sqref="D3:AI79">
    <cfRule type="cellIs" dxfId="3" priority="6" operator="between">
      <formula>"08:44:00"</formula>
      <formula>"08:00:00"</formula>
    </cfRule>
  </conditionalFormatting>
  <conditionalFormatting sqref="E3:AI79">
    <cfRule type="cellIs" dxfId="9" priority="7" operator="between">
      <formula>"07:59:00"</formula>
      <formula>"07:00:00"</formula>
    </cfRule>
  </conditionalFormatting>
  <conditionalFormatting sqref="E3:AI79">
    <cfRule type="cellIs" dxfId="5" priority="8" operator="between">
      <formula>"06:59:00"</formula>
      <formula>"00:00:01"</formula>
    </cfRule>
  </conditionalFormatting>
  <conditionalFormatting sqref="E3:AI79">
    <cfRule type="notContainsBlanks" dxfId="10" priority="9">
      <formula>LEN(TRIM(E3))&gt;0</formula>
    </cfRule>
  </conditionalFormatting>
  <conditionalFormatting sqref="E3:AI79">
    <cfRule type="containsText" dxfId="11" priority="10" operator="containsText" text="Leave">
      <formula>NOT(ISERROR(SEARCH(("Leave"),(E3))))</formula>
    </cfRule>
  </conditionalFormatting>
  <conditionalFormatting sqref="D3:AI79">
    <cfRule type="notContainsBlanks" dxfId="7" priority="11">
      <formula>LEN(TRIM(D3))&gt;0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5"/>
    <col customWidth="1" min="2" max="2" width="3.63"/>
    <col customWidth="1" min="3" max="3" width="23.13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134" t="str">
        <f t="shared" ref="E1:AH1" si="1">text(E2, "ddd")</f>
        <v>Fri</v>
      </c>
      <c r="F1" s="134" t="str">
        <f t="shared" si="1"/>
        <v>Sat</v>
      </c>
      <c r="G1" s="135" t="str">
        <f t="shared" si="1"/>
        <v>Sun</v>
      </c>
      <c r="H1" s="134" t="str">
        <f t="shared" si="1"/>
        <v>Mon</v>
      </c>
      <c r="I1" s="134" t="str">
        <f t="shared" si="1"/>
        <v>Tue</v>
      </c>
      <c r="J1" s="134" t="str">
        <f t="shared" si="1"/>
        <v>Wed</v>
      </c>
      <c r="K1" s="134" t="str">
        <f t="shared" si="1"/>
        <v>Thu</v>
      </c>
      <c r="L1" s="134" t="str">
        <f t="shared" si="1"/>
        <v>Fri</v>
      </c>
      <c r="M1" s="135" t="str">
        <f t="shared" si="1"/>
        <v>Sat</v>
      </c>
      <c r="N1" s="135" t="str">
        <f t="shared" si="1"/>
        <v>Sun</v>
      </c>
      <c r="O1" s="134" t="str">
        <f t="shared" si="1"/>
        <v>Mon</v>
      </c>
      <c r="P1" s="134" t="str">
        <f t="shared" si="1"/>
        <v>Tue</v>
      </c>
      <c r="Q1" s="134" t="str">
        <f t="shared" si="1"/>
        <v>Wed</v>
      </c>
      <c r="R1" s="135" t="str">
        <f t="shared" si="1"/>
        <v>Thu</v>
      </c>
      <c r="S1" s="134" t="str">
        <f t="shared" si="1"/>
        <v>Fri</v>
      </c>
      <c r="T1" s="135" t="str">
        <f t="shared" si="1"/>
        <v>Sat</v>
      </c>
      <c r="U1" s="135" t="str">
        <f t="shared" si="1"/>
        <v>Sun</v>
      </c>
      <c r="V1" s="134" t="str">
        <f t="shared" si="1"/>
        <v>Mon</v>
      </c>
      <c r="W1" s="134" t="str">
        <f t="shared" si="1"/>
        <v>Tue</v>
      </c>
      <c r="X1" s="134" t="str">
        <f t="shared" si="1"/>
        <v>Wed</v>
      </c>
      <c r="Y1" s="134" t="str">
        <f t="shared" si="1"/>
        <v>Thu</v>
      </c>
      <c r="Z1" s="134" t="str">
        <f t="shared" si="1"/>
        <v>Fri</v>
      </c>
      <c r="AA1" s="135" t="str">
        <f t="shared" si="1"/>
        <v>Sat</v>
      </c>
      <c r="AB1" s="135" t="str">
        <f t="shared" si="1"/>
        <v>Sun</v>
      </c>
      <c r="AC1" s="134" t="str">
        <f t="shared" si="1"/>
        <v>Mon</v>
      </c>
      <c r="AD1" s="134" t="str">
        <f t="shared" si="1"/>
        <v>Tue</v>
      </c>
      <c r="AE1" s="134" t="str">
        <f t="shared" si="1"/>
        <v>Wed</v>
      </c>
      <c r="AF1" s="134" t="str">
        <f t="shared" si="1"/>
        <v>Thu</v>
      </c>
      <c r="AG1" s="134" t="str">
        <f t="shared" si="1"/>
        <v>Fri</v>
      </c>
      <c r="AH1" s="135" t="str">
        <f t="shared" si="1"/>
        <v>Sat</v>
      </c>
    </row>
    <row r="2">
      <c r="B2" s="15"/>
      <c r="C2" s="15"/>
      <c r="D2" s="15"/>
      <c r="E2" s="136">
        <v>45870.0</v>
      </c>
      <c r="F2" s="136">
        <v>45871.0</v>
      </c>
      <c r="G2" s="137">
        <v>45872.0</v>
      </c>
      <c r="H2" s="136">
        <v>45873.0</v>
      </c>
      <c r="I2" s="136">
        <v>45874.0</v>
      </c>
      <c r="J2" s="136">
        <v>45875.0</v>
      </c>
      <c r="K2" s="136">
        <v>45876.0</v>
      </c>
      <c r="L2" s="136">
        <v>45877.0</v>
      </c>
      <c r="M2" s="137">
        <v>45878.0</v>
      </c>
      <c r="N2" s="137">
        <v>45879.0</v>
      </c>
      <c r="O2" s="136">
        <v>45880.0</v>
      </c>
      <c r="P2" s="136">
        <v>45881.0</v>
      </c>
      <c r="Q2" s="136">
        <v>45882.0</v>
      </c>
      <c r="R2" s="137">
        <v>45883.0</v>
      </c>
      <c r="S2" s="136">
        <v>45884.0</v>
      </c>
      <c r="T2" s="137">
        <v>45885.0</v>
      </c>
      <c r="U2" s="137">
        <v>45886.0</v>
      </c>
      <c r="V2" s="136">
        <v>45887.0</v>
      </c>
      <c r="W2" s="136">
        <v>45888.0</v>
      </c>
      <c r="X2" s="136">
        <v>45889.0</v>
      </c>
      <c r="Y2" s="136">
        <v>45890.0</v>
      </c>
      <c r="Z2" s="136">
        <v>45891.0</v>
      </c>
      <c r="AA2" s="137">
        <v>45892.0</v>
      </c>
      <c r="AB2" s="137">
        <v>45893.0</v>
      </c>
      <c r="AC2" s="136">
        <v>45894.0</v>
      </c>
      <c r="AD2" s="136">
        <v>45895.0</v>
      </c>
      <c r="AE2" s="136">
        <v>45896.0</v>
      </c>
      <c r="AF2" s="136">
        <v>45897.0</v>
      </c>
      <c r="AG2" s="136">
        <v>45898.0</v>
      </c>
      <c r="AH2" s="137">
        <v>45899.0</v>
      </c>
    </row>
    <row r="3">
      <c r="A3" s="138">
        <v>45452.0</v>
      </c>
      <c r="B3" s="139">
        <v>1.0</v>
      </c>
      <c r="C3" s="197" t="s">
        <v>222</v>
      </c>
      <c r="D3" s="22">
        <f t="shared" ref="D3:D29" si="2">sum(E3:AH3)</f>
        <v>2.644444444</v>
      </c>
      <c r="E3" s="114" t="s">
        <v>316</v>
      </c>
      <c r="F3" s="115"/>
      <c r="G3" s="25"/>
      <c r="H3" s="114" t="s">
        <v>316</v>
      </c>
      <c r="I3" s="114" t="s">
        <v>316</v>
      </c>
      <c r="J3" s="114" t="s">
        <v>316</v>
      </c>
      <c r="K3" s="114" t="s">
        <v>316</v>
      </c>
      <c r="L3" s="114" t="s">
        <v>316</v>
      </c>
      <c r="M3" s="116"/>
      <c r="N3" s="25"/>
      <c r="O3" s="117">
        <v>0.3645833333333333</v>
      </c>
      <c r="P3" s="116">
        <v>0.3194444444444444</v>
      </c>
      <c r="Q3" s="117">
        <v>0.2881944444444444</v>
      </c>
      <c r="R3" s="114" t="s">
        <v>284</v>
      </c>
      <c r="S3" s="114" t="s">
        <v>316</v>
      </c>
      <c r="T3" s="116"/>
      <c r="U3" s="116"/>
      <c r="V3" s="116">
        <v>0.3076388888888889</v>
      </c>
      <c r="W3" s="114" t="s">
        <v>316</v>
      </c>
      <c r="X3" s="116">
        <v>0.26458333333333334</v>
      </c>
      <c r="Y3" s="117">
        <v>0.2708333333333333</v>
      </c>
      <c r="Z3" s="114" t="s">
        <v>316</v>
      </c>
      <c r="AA3" s="116"/>
      <c r="AB3" s="116"/>
      <c r="AC3" s="116">
        <v>0.2625</v>
      </c>
      <c r="AD3" s="114" t="s">
        <v>316</v>
      </c>
      <c r="AE3" s="116">
        <v>0.25763888888888886</v>
      </c>
      <c r="AF3" s="116">
        <v>0.3090277777777778</v>
      </c>
      <c r="AG3" s="116"/>
      <c r="AH3" s="116"/>
    </row>
    <row r="4">
      <c r="A4" s="15"/>
      <c r="B4" s="139">
        <v>2.0</v>
      </c>
      <c r="C4" s="197" t="s">
        <v>41</v>
      </c>
      <c r="D4" s="22">
        <f t="shared" si="2"/>
        <v>3.255555556</v>
      </c>
      <c r="E4" s="114" t="s">
        <v>316</v>
      </c>
      <c r="F4" s="115"/>
      <c r="G4" s="25"/>
      <c r="H4" s="116">
        <v>0.3236111111111111</v>
      </c>
      <c r="I4" s="116">
        <v>0.26944444444444443</v>
      </c>
      <c r="J4" s="114" t="s">
        <v>316</v>
      </c>
      <c r="K4" s="114" t="s">
        <v>269</v>
      </c>
      <c r="L4" s="114" t="s">
        <v>316</v>
      </c>
      <c r="M4" s="116"/>
      <c r="N4" s="25"/>
      <c r="O4" s="116">
        <v>0.28541666666666665</v>
      </c>
      <c r="P4" s="117">
        <v>0.3263888888888889</v>
      </c>
      <c r="Q4" s="117">
        <v>0.2708333333333333</v>
      </c>
      <c r="R4" s="114" t="s">
        <v>284</v>
      </c>
      <c r="S4" s="114" t="s">
        <v>316</v>
      </c>
      <c r="T4" s="116"/>
      <c r="U4" s="116"/>
      <c r="V4" s="114" t="s">
        <v>316</v>
      </c>
      <c r="W4" s="117">
        <v>0.3541666666666667</v>
      </c>
      <c r="X4" s="116">
        <v>0.325</v>
      </c>
      <c r="Y4" s="117">
        <v>0.28125</v>
      </c>
      <c r="Z4" s="114" t="s">
        <v>316</v>
      </c>
      <c r="AA4" s="116"/>
      <c r="AB4" s="116"/>
      <c r="AC4" s="117">
        <v>0.27361111111111114</v>
      </c>
      <c r="AD4" s="116">
        <v>0.275</v>
      </c>
      <c r="AE4" s="114" t="s">
        <v>316</v>
      </c>
      <c r="AF4" s="117">
        <v>0.2708333333333333</v>
      </c>
      <c r="AG4" s="116"/>
      <c r="AH4" s="116"/>
    </row>
    <row r="5">
      <c r="A5" s="144">
        <v>45483.0</v>
      </c>
      <c r="B5" s="145">
        <v>3.0</v>
      </c>
      <c r="C5" s="198" t="s">
        <v>234</v>
      </c>
      <c r="D5" s="22">
        <f t="shared" si="2"/>
        <v>4.986111111</v>
      </c>
      <c r="E5" s="147">
        <v>0.3611111111111111</v>
      </c>
      <c r="F5" s="115"/>
      <c r="G5" s="25"/>
      <c r="H5" s="117">
        <v>0.3680555555555556</v>
      </c>
      <c r="I5" s="117">
        <v>0.3576388888888889</v>
      </c>
      <c r="J5" s="114" t="s">
        <v>316</v>
      </c>
      <c r="K5" s="117">
        <v>0.3645833333333333</v>
      </c>
      <c r="L5" s="117">
        <v>0.3263888888888889</v>
      </c>
      <c r="M5" s="116"/>
      <c r="N5" s="25"/>
      <c r="O5" s="117">
        <v>0.3645833333333333</v>
      </c>
      <c r="P5" s="147">
        <v>0.3541666666666667</v>
      </c>
      <c r="Q5" s="117">
        <v>0.2881944444444444</v>
      </c>
      <c r="R5" s="114" t="s">
        <v>284</v>
      </c>
      <c r="S5" s="117">
        <v>0.2708333333333333</v>
      </c>
      <c r="T5" s="116"/>
      <c r="U5" s="116"/>
      <c r="V5" s="114" t="s">
        <v>316</v>
      </c>
      <c r="W5" s="117">
        <v>0.3541666666666667</v>
      </c>
      <c r="X5" s="117">
        <v>0.3298611111111111</v>
      </c>
      <c r="Y5" s="114" t="s">
        <v>316</v>
      </c>
      <c r="Z5" s="117">
        <v>0.3125</v>
      </c>
      <c r="AA5" s="116"/>
      <c r="AB5" s="116"/>
      <c r="AC5" s="114" t="s">
        <v>316</v>
      </c>
      <c r="AD5" s="117">
        <v>0.28125</v>
      </c>
      <c r="AE5" s="117">
        <v>0.3229166666666667</v>
      </c>
      <c r="AF5" s="117">
        <v>0.3298611111111111</v>
      </c>
      <c r="AG5" s="116"/>
      <c r="AH5" s="116"/>
    </row>
    <row r="6">
      <c r="A6" s="32"/>
      <c r="B6" s="186">
        <v>4.0</v>
      </c>
      <c r="C6" s="198" t="s">
        <v>201</v>
      </c>
      <c r="D6" s="22">
        <f t="shared" si="2"/>
        <v>6.722222222</v>
      </c>
      <c r="E6" s="116">
        <v>0.35555555555555557</v>
      </c>
      <c r="F6" s="116"/>
      <c r="G6" s="25"/>
      <c r="H6" s="116">
        <v>0.3729166666666667</v>
      </c>
      <c r="I6" s="116">
        <v>0.3576388888888889</v>
      </c>
      <c r="J6" s="116">
        <v>0.3590277777777778</v>
      </c>
      <c r="K6" s="114" t="s">
        <v>316</v>
      </c>
      <c r="L6" s="116">
        <v>0.35694444444444445</v>
      </c>
      <c r="M6" s="116"/>
      <c r="N6" s="25"/>
      <c r="O6" s="116">
        <v>0.35833333333333334</v>
      </c>
      <c r="P6" s="116">
        <v>0.34097222222222223</v>
      </c>
      <c r="Q6" s="116">
        <v>0.3548611111111111</v>
      </c>
      <c r="R6" s="114" t="s">
        <v>284</v>
      </c>
      <c r="S6" s="114" t="s">
        <v>316</v>
      </c>
      <c r="T6" s="116"/>
      <c r="U6" s="116"/>
      <c r="V6" s="116">
        <v>0.35555555555555557</v>
      </c>
      <c r="W6" s="116">
        <v>0.3576388888888889</v>
      </c>
      <c r="X6" s="116">
        <v>0.4340277777777778</v>
      </c>
      <c r="Y6" s="116">
        <v>0.4673611111111111</v>
      </c>
      <c r="Z6" s="116">
        <v>0.37777777777777777</v>
      </c>
      <c r="AA6" s="116"/>
      <c r="AB6" s="116"/>
      <c r="AC6" s="116">
        <v>0.5083333333333333</v>
      </c>
      <c r="AD6" s="116">
        <v>0.4673611111111111</v>
      </c>
      <c r="AE6" s="116">
        <v>0.4534722222222222</v>
      </c>
      <c r="AF6" s="117">
        <v>0.4444444444444444</v>
      </c>
      <c r="AG6" s="116"/>
      <c r="AH6" s="116"/>
    </row>
    <row r="7">
      <c r="A7" s="32"/>
      <c r="B7" s="186">
        <v>5.0</v>
      </c>
      <c r="C7" s="198" t="s">
        <v>246</v>
      </c>
      <c r="D7" s="22">
        <f t="shared" si="2"/>
        <v>3.556944444</v>
      </c>
      <c r="E7" s="114" t="s">
        <v>316</v>
      </c>
      <c r="F7" s="115"/>
      <c r="G7" s="25"/>
      <c r="H7" s="116">
        <v>0.3680555555555556</v>
      </c>
      <c r="I7" s="117">
        <v>0.28055555555555556</v>
      </c>
      <c r="J7" s="116">
        <v>0.37083333333333335</v>
      </c>
      <c r="K7" s="114" t="s">
        <v>316</v>
      </c>
      <c r="L7" s="114" t="s">
        <v>316</v>
      </c>
      <c r="M7" s="116"/>
      <c r="N7" s="25"/>
      <c r="O7" s="116">
        <v>0.36875</v>
      </c>
      <c r="P7" s="114" t="s">
        <v>316</v>
      </c>
      <c r="Q7" s="117">
        <v>0.3229166666666667</v>
      </c>
      <c r="R7" s="114" t="s">
        <v>284</v>
      </c>
      <c r="S7" s="114" t="s">
        <v>316</v>
      </c>
      <c r="T7" s="116"/>
      <c r="U7" s="116"/>
      <c r="V7" s="116">
        <v>0.38263888888888886</v>
      </c>
      <c r="W7" s="114" t="s">
        <v>316</v>
      </c>
      <c r="X7" s="116">
        <v>0.36180555555555555</v>
      </c>
      <c r="Y7" s="114" t="s">
        <v>316</v>
      </c>
      <c r="Z7" s="114" t="s">
        <v>316</v>
      </c>
      <c r="AA7" s="116"/>
      <c r="AB7" s="116"/>
      <c r="AC7" s="116">
        <v>0.3611111111111111</v>
      </c>
      <c r="AD7" s="114" t="s">
        <v>316</v>
      </c>
      <c r="AE7" s="116">
        <v>0.37569444444444444</v>
      </c>
      <c r="AF7" s="117">
        <v>0.3645833333333333</v>
      </c>
      <c r="AG7" s="116"/>
      <c r="AH7" s="116"/>
    </row>
    <row r="8">
      <c r="A8" s="32"/>
      <c r="B8" s="145">
        <v>6.0</v>
      </c>
      <c r="C8" s="198" t="s">
        <v>231</v>
      </c>
      <c r="D8" s="22" t="str">
        <f t="shared" si="2"/>
        <v>#N/A</v>
      </c>
      <c r="E8" s="116">
        <v>0.34305555555555556</v>
      </c>
      <c r="F8" s="116"/>
      <c r="G8" s="25"/>
      <c r="H8" s="116">
        <v>0.3541666666666667</v>
      </c>
      <c r="I8" s="116">
        <v>0.28055555555555556</v>
      </c>
      <c r="J8" s="117">
        <v>0.3645833333333333</v>
      </c>
      <c r="K8" s="116">
        <v>0.2847222222222222</v>
      </c>
      <c r="L8" s="114" t="s">
        <v>316</v>
      </c>
      <c r="M8" s="116"/>
      <c r="N8" s="25"/>
      <c r="O8" s="116">
        <v>0.3486111111111111</v>
      </c>
      <c r="P8" s="116">
        <v>0.28888888888888886</v>
      </c>
      <c r="Q8" s="116" t="e">
        <v>#N/A</v>
      </c>
      <c r="R8" s="114" t="s">
        <v>284</v>
      </c>
      <c r="S8" s="114" t="s">
        <v>316</v>
      </c>
      <c r="T8" s="116"/>
      <c r="U8" s="116"/>
      <c r="V8" s="116">
        <v>0.3798611111111111</v>
      </c>
      <c r="W8" s="114" t="s">
        <v>316</v>
      </c>
      <c r="X8" s="116">
        <v>0.44166666666666665</v>
      </c>
      <c r="Y8" s="116">
        <v>0.4111111111111111</v>
      </c>
      <c r="Z8" s="116">
        <v>0.38472222222222224</v>
      </c>
      <c r="AA8" s="116"/>
      <c r="AB8" s="116"/>
      <c r="AC8" s="116">
        <v>0.31805555555555554</v>
      </c>
      <c r="AD8" s="117">
        <v>0.3125</v>
      </c>
      <c r="AE8" s="116">
        <v>0.33541666666666664</v>
      </c>
      <c r="AF8" s="116">
        <v>0.38055555555555554</v>
      </c>
      <c r="AG8" s="116"/>
      <c r="AH8" s="116"/>
    </row>
    <row r="9">
      <c r="A9" s="32"/>
      <c r="B9" s="186">
        <v>7.0</v>
      </c>
      <c r="C9" s="199" t="s">
        <v>147</v>
      </c>
      <c r="D9" s="22">
        <f t="shared" si="2"/>
        <v>7.157638889</v>
      </c>
      <c r="E9" s="116">
        <v>0.36736111111111114</v>
      </c>
      <c r="F9" s="116"/>
      <c r="G9" s="25"/>
      <c r="H9" s="116">
        <v>0.3840277777777778</v>
      </c>
      <c r="I9" s="116">
        <v>0.3701388888888889</v>
      </c>
      <c r="J9" s="116">
        <v>0.38125</v>
      </c>
      <c r="K9" s="116">
        <v>0.3597222222222222</v>
      </c>
      <c r="L9" s="116">
        <v>0.38333333333333336</v>
      </c>
      <c r="M9" s="116"/>
      <c r="N9" s="25"/>
      <c r="O9" s="116">
        <v>0.40069444444444446</v>
      </c>
      <c r="P9" s="116">
        <v>0.40208333333333335</v>
      </c>
      <c r="Q9" s="116">
        <v>0.36944444444444446</v>
      </c>
      <c r="R9" s="114" t="s">
        <v>284</v>
      </c>
      <c r="S9" s="116">
        <v>0.3451388888888889</v>
      </c>
      <c r="T9" s="116"/>
      <c r="U9" s="116"/>
      <c r="V9" s="116">
        <v>0.36319444444444443</v>
      </c>
      <c r="W9" s="116">
        <v>0.36875</v>
      </c>
      <c r="X9" s="116">
        <v>0.37083333333333335</v>
      </c>
      <c r="Y9" s="116">
        <v>0.37083333333333335</v>
      </c>
      <c r="Z9" s="116">
        <v>0.3902777777777778</v>
      </c>
      <c r="AA9" s="116"/>
      <c r="AB9" s="116"/>
      <c r="AC9" s="116">
        <v>0.38055555555555554</v>
      </c>
      <c r="AD9" s="116">
        <v>0.38125</v>
      </c>
      <c r="AE9" s="116">
        <v>0.3729166666666667</v>
      </c>
      <c r="AF9" s="116">
        <v>0.3958333333333333</v>
      </c>
      <c r="AG9" s="116"/>
      <c r="AH9" s="116"/>
    </row>
    <row r="10">
      <c r="A10" s="32"/>
      <c r="B10" s="186">
        <v>8.0</v>
      </c>
      <c r="C10" s="198" t="s">
        <v>177</v>
      </c>
      <c r="D10" s="22">
        <f t="shared" si="2"/>
        <v>4.674305556</v>
      </c>
      <c r="E10" s="114" t="s">
        <v>316</v>
      </c>
      <c r="F10" s="115"/>
      <c r="G10" s="25"/>
      <c r="H10" s="114" t="s">
        <v>316</v>
      </c>
      <c r="I10" s="117">
        <v>0.3645833333333333</v>
      </c>
      <c r="J10" s="116">
        <v>0.36944444444444446</v>
      </c>
      <c r="K10" s="116">
        <v>0.3645833333333333</v>
      </c>
      <c r="L10" s="114" t="s">
        <v>316</v>
      </c>
      <c r="M10" s="116"/>
      <c r="N10" s="25"/>
      <c r="O10" s="116">
        <v>0.3506944444444444</v>
      </c>
      <c r="P10" s="116">
        <v>0.3590277777777778</v>
      </c>
      <c r="Q10" s="116">
        <v>0.37083333333333335</v>
      </c>
      <c r="R10" s="114" t="s">
        <v>284</v>
      </c>
      <c r="S10" s="114" t="s">
        <v>316</v>
      </c>
      <c r="T10" s="116"/>
      <c r="U10" s="116"/>
      <c r="V10" s="116">
        <v>0.3638888888888889</v>
      </c>
      <c r="W10" s="117">
        <v>0.3645833333333333</v>
      </c>
      <c r="X10" s="116">
        <v>0.3458333333333333</v>
      </c>
      <c r="Y10" s="116">
        <v>0.35347222222222224</v>
      </c>
      <c r="Z10" s="114" t="s">
        <v>316</v>
      </c>
      <c r="AA10" s="116"/>
      <c r="AB10" s="116"/>
      <c r="AC10" s="114" t="s">
        <v>316</v>
      </c>
      <c r="AD10" s="116">
        <v>0.35625</v>
      </c>
      <c r="AE10" s="116">
        <v>0.35208333333333336</v>
      </c>
      <c r="AF10" s="116">
        <v>0.3590277777777778</v>
      </c>
      <c r="AG10" s="116"/>
      <c r="AH10" s="116"/>
    </row>
    <row r="11">
      <c r="A11" s="32"/>
      <c r="B11" s="145">
        <v>9.0</v>
      </c>
      <c r="C11" s="199" t="s">
        <v>216</v>
      </c>
      <c r="D11" s="22">
        <f t="shared" si="2"/>
        <v>2.095833333</v>
      </c>
      <c r="E11" s="114" t="s">
        <v>316</v>
      </c>
      <c r="F11" s="115"/>
      <c r="G11" s="25"/>
      <c r="H11" s="114" t="s">
        <v>316</v>
      </c>
      <c r="I11" s="116">
        <v>0.38333333333333336</v>
      </c>
      <c r="J11" s="114" t="s">
        <v>316</v>
      </c>
      <c r="K11" s="116">
        <v>0.3194444444444444</v>
      </c>
      <c r="L11" s="114" t="s">
        <v>316</v>
      </c>
      <c r="M11" s="116"/>
      <c r="N11" s="25"/>
      <c r="O11" s="114" t="s">
        <v>316</v>
      </c>
      <c r="P11" s="116">
        <v>0.33194444444444443</v>
      </c>
      <c r="Q11" s="114" t="s">
        <v>316</v>
      </c>
      <c r="R11" s="114" t="s">
        <v>284</v>
      </c>
      <c r="S11" s="114" t="s">
        <v>316</v>
      </c>
      <c r="T11" s="116"/>
      <c r="U11" s="116"/>
      <c r="V11" s="114" t="s">
        <v>316</v>
      </c>
      <c r="W11" s="116">
        <v>0.37083333333333335</v>
      </c>
      <c r="X11" s="114" t="s">
        <v>316</v>
      </c>
      <c r="Y11" s="116">
        <v>0.3680555555555556</v>
      </c>
      <c r="Z11" s="114" t="s">
        <v>316</v>
      </c>
      <c r="AA11" s="116"/>
      <c r="AB11" s="116"/>
      <c r="AC11" s="114" t="s">
        <v>316</v>
      </c>
      <c r="AD11" s="114" t="s">
        <v>269</v>
      </c>
      <c r="AE11" s="114" t="s">
        <v>316</v>
      </c>
      <c r="AF11" s="116">
        <v>0.32222222222222224</v>
      </c>
      <c r="AG11" s="116"/>
      <c r="AH11" s="116"/>
    </row>
    <row r="12">
      <c r="A12" s="32"/>
      <c r="B12" s="186">
        <v>10.0</v>
      </c>
      <c r="C12" s="200" t="s">
        <v>336</v>
      </c>
      <c r="D12" s="22">
        <f t="shared" si="2"/>
        <v>6.14375</v>
      </c>
      <c r="E12" s="117">
        <v>0.28125</v>
      </c>
      <c r="F12" s="116"/>
      <c r="G12" s="25"/>
      <c r="H12" s="117">
        <v>0.3680555555555556</v>
      </c>
      <c r="I12" s="116">
        <v>0.3458333333333333</v>
      </c>
      <c r="J12" s="117">
        <v>0.3715277777777778</v>
      </c>
      <c r="K12" s="117">
        <v>0.3715277777777778</v>
      </c>
      <c r="L12" s="147">
        <v>0.3263888888888889</v>
      </c>
      <c r="M12" s="116"/>
      <c r="N12" s="25"/>
      <c r="O12" s="117">
        <v>0.3645833333333333</v>
      </c>
      <c r="P12" s="116">
        <v>0.34305555555555556</v>
      </c>
      <c r="Q12" s="117">
        <v>0.3263888888888889</v>
      </c>
      <c r="R12" s="114" t="s">
        <v>284</v>
      </c>
      <c r="S12" s="114" t="s">
        <v>316</v>
      </c>
      <c r="T12" s="116"/>
      <c r="U12" s="116"/>
      <c r="V12" s="116">
        <v>0.34097222222222223</v>
      </c>
      <c r="W12" s="117">
        <v>0.3645833333333333</v>
      </c>
      <c r="X12" s="116">
        <v>0.3486111111111111</v>
      </c>
      <c r="Y12" s="116">
        <v>0.32916666666666666</v>
      </c>
      <c r="Z12" s="117">
        <v>0.2881944444444444</v>
      </c>
      <c r="AA12" s="116"/>
      <c r="AB12" s="116"/>
      <c r="AC12" s="116">
        <v>0.33611111111111114</v>
      </c>
      <c r="AD12" s="117">
        <v>0.37430555555555556</v>
      </c>
      <c r="AE12" s="116">
        <v>0.33819444444444446</v>
      </c>
      <c r="AF12" s="116">
        <v>0.325</v>
      </c>
      <c r="AG12" s="116"/>
      <c r="AH12" s="116"/>
    </row>
    <row r="13">
      <c r="A13" s="32"/>
      <c r="B13" s="186">
        <v>11.0</v>
      </c>
      <c r="C13" s="198" t="s">
        <v>385</v>
      </c>
      <c r="D13" s="22">
        <f t="shared" si="2"/>
        <v>5.374305556</v>
      </c>
      <c r="E13" s="116">
        <v>0.3458333333333333</v>
      </c>
      <c r="F13" s="116"/>
      <c r="G13" s="25"/>
      <c r="H13" s="116">
        <v>0.38819444444444445</v>
      </c>
      <c r="I13" s="116">
        <v>0.3770833333333333</v>
      </c>
      <c r="J13" s="116">
        <v>0.34097222222222223</v>
      </c>
      <c r="K13" s="116">
        <v>0.36180555555555555</v>
      </c>
      <c r="L13" s="116">
        <v>0.37222222222222223</v>
      </c>
      <c r="M13" s="116"/>
      <c r="N13" s="25"/>
      <c r="O13" s="116">
        <v>0.3659722222222222</v>
      </c>
      <c r="P13" s="116">
        <v>0.35138888888888886</v>
      </c>
      <c r="Q13" s="116">
        <v>0.3375</v>
      </c>
      <c r="R13" s="114" t="s">
        <v>284</v>
      </c>
      <c r="S13" s="114" t="s">
        <v>316</v>
      </c>
      <c r="T13" s="116"/>
      <c r="U13" s="116"/>
      <c r="V13" s="114" t="s">
        <v>271</v>
      </c>
      <c r="W13" s="116">
        <v>0.3680555555555556</v>
      </c>
      <c r="X13" s="116">
        <v>0.32916666666666666</v>
      </c>
      <c r="Y13" s="116">
        <v>0.38680555555555557</v>
      </c>
      <c r="Z13" s="114" t="s">
        <v>316</v>
      </c>
      <c r="AA13" s="116"/>
      <c r="AB13" s="116"/>
      <c r="AC13" s="114" t="s">
        <v>316</v>
      </c>
      <c r="AD13" s="116">
        <v>0.37430555555555556</v>
      </c>
      <c r="AE13" s="116">
        <v>0.3625</v>
      </c>
      <c r="AF13" s="116">
        <v>0.3125</v>
      </c>
      <c r="AG13" s="116"/>
      <c r="AH13" s="116"/>
    </row>
    <row r="14">
      <c r="A14" s="32"/>
      <c r="B14" s="145">
        <v>12.0</v>
      </c>
      <c r="C14" s="198" t="s">
        <v>386</v>
      </c>
      <c r="D14" s="22">
        <f t="shared" si="2"/>
        <v>5.050694444</v>
      </c>
      <c r="E14" s="114" t="s">
        <v>316</v>
      </c>
      <c r="F14" s="115"/>
      <c r="G14" s="25"/>
      <c r="H14" s="114" t="s">
        <v>271</v>
      </c>
      <c r="I14" s="116">
        <v>0.37430555555555556</v>
      </c>
      <c r="J14" s="116">
        <v>0.3590277777777778</v>
      </c>
      <c r="K14" s="116">
        <v>0.35555555555555557</v>
      </c>
      <c r="L14" s="114" t="s">
        <v>316</v>
      </c>
      <c r="M14" s="116"/>
      <c r="N14" s="25"/>
      <c r="O14" s="116">
        <v>0.37083333333333335</v>
      </c>
      <c r="P14" s="116">
        <v>0.36736111111111114</v>
      </c>
      <c r="Q14" s="116">
        <v>0.3298611111111111</v>
      </c>
      <c r="R14" s="114" t="s">
        <v>284</v>
      </c>
      <c r="S14" s="114" t="s">
        <v>316</v>
      </c>
      <c r="T14" s="116"/>
      <c r="U14" s="116"/>
      <c r="V14" s="116">
        <v>0.36527777777777776</v>
      </c>
      <c r="W14" s="116">
        <v>0.39166666666666666</v>
      </c>
      <c r="X14" s="116">
        <v>0.37430555555555556</v>
      </c>
      <c r="Y14" s="116">
        <v>0.35625</v>
      </c>
      <c r="Z14" s="114" t="s">
        <v>316</v>
      </c>
      <c r="AA14" s="116"/>
      <c r="AB14" s="116"/>
      <c r="AC14" s="116">
        <v>0.33055555555555555</v>
      </c>
      <c r="AD14" s="116">
        <v>0.36527777777777776</v>
      </c>
      <c r="AE14" s="116">
        <v>0.3611111111111111</v>
      </c>
      <c r="AF14" s="116">
        <v>0.34930555555555554</v>
      </c>
      <c r="AG14" s="116"/>
      <c r="AH14" s="116"/>
    </row>
    <row r="15">
      <c r="A15" s="32"/>
      <c r="B15" s="186">
        <v>13.0</v>
      </c>
      <c r="C15" s="198" t="s">
        <v>387</v>
      </c>
      <c r="D15" s="22">
        <f t="shared" si="2"/>
        <v>6.2375</v>
      </c>
      <c r="E15" s="116">
        <v>0.33402777777777776</v>
      </c>
      <c r="F15" s="116"/>
      <c r="G15" s="25"/>
      <c r="H15" s="116">
        <v>0.35347222222222224</v>
      </c>
      <c r="I15" s="117">
        <v>0.35625</v>
      </c>
      <c r="J15" s="116">
        <v>0.36875</v>
      </c>
      <c r="K15" s="116">
        <v>0.3645833333333333</v>
      </c>
      <c r="L15" s="114" t="s">
        <v>271</v>
      </c>
      <c r="M15" s="116"/>
      <c r="N15" s="25"/>
      <c r="O15" s="116">
        <v>0.22083333333333333</v>
      </c>
      <c r="P15" s="116">
        <v>0.3840277777777778</v>
      </c>
      <c r="Q15" s="116">
        <v>0.38680555555555557</v>
      </c>
      <c r="R15" s="114" t="s">
        <v>284</v>
      </c>
      <c r="S15" s="114" t="s">
        <v>316</v>
      </c>
      <c r="T15" s="116"/>
      <c r="U15" s="116"/>
      <c r="V15" s="116">
        <v>0.39861111111111114</v>
      </c>
      <c r="W15" s="116">
        <v>0.4048611111111111</v>
      </c>
      <c r="X15" s="116">
        <v>0.36875</v>
      </c>
      <c r="Y15" s="116">
        <v>0.3729166666666667</v>
      </c>
      <c r="Z15" s="116">
        <v>0.38472222222222224</v>
      </c>
      <c r="AA15" s="116"/>
      <c r="AB15" s="116"/>
      <c r="AC15" s="116">
        <v>0.3923611111111111</v>
      </c>
      <c r="AD15" s="147">
        <v>0.375</v>
      </c>
      <c r="AE15" s="116">
        <v>0.3861111111111111</v>
      </c>
      <c r="AF15" s="116">
        <v>0.3854166666666667</v>
      </c>
      <c r="AG15" s="116"/>
      <c r="AH15" s="116"/>
    </row>
    <row r="16">
      <c r="A16" s="32"/>
      <c r="B16" s="186">
        <v>14.0</v>
      </c>
      <c r="C16" s="198" t="s">
        <v>388</v>
      </c>
      <c r="D16" s="22">
        <f t="shared" si="2"/>
        <v>5.183333333</v>
      </c>
      <c r="E16" s="114" t="s">
        <v>316</v>
      </c>
      <c r="F16" s="115"/>
      <c r="G16" s="25"/>
      <c r="H16" s="117">
        <v>0.39305555555555555</v>
      </c>
      <c r="I16" s="117">
        <v>0.3736111111111111</v>
      </c>
      <c r="J16" s="117">
        <v>0.2902777777777778</v>
      </c>
      <c r="K16" s="117">
        <v>0.3854166666666667</v>
      </c>
      <c r="L16" s="114" t="s">
        <v>316</v>
      </c>
      <c r="M16" s="116"/>
      <c r="N16" s="25"/>
      <c r="O16" s="117">
        <v>0.375</v>
      </c>
      <c r="P16" s="117">
        <v>0.3215277777777778</v>
      </c>
      <c r="Q16" s="117">
        <v>0.34097222222222223</v>
      </c>
      <c r="R16" s="114" t="s">
        <v>284</v>
      </c>
      <c r="S16" s="114" t="s">
        <v>316</v>
      </c>
      <c r="T16" s="116"/>
      <c r="U16" s="116"/>
      <c r="V16" s="117">
        <v>0.41944444444444445</v>
      </c>
      <c r="W16" s="117">
        <v>0.3541666666666667</v>
      </c>
      <c r="X16" s="117">
        <v>0.38472222222222224</v>
      </c>
      <c r="Y16" s="117">
        <v>0.4</v>
      </c>
      <c r="Z16" s="114" t="s">
        <v>316</v>
      </c>
      <c r="AA16" s="116"/>
      <c r="AB16" s="116"/>
      <c r="AC16" s="117">
        <v>0.36666666666666664</v>
      </c>
      <c r="AD16" s="114" t="s">
        <v>269</v>
      </c>
      <c r="AE16" s="117">
        <v>0.36180555555555555</v>
      </c>
      <c r="AF16" s="117">
        <v>0.4166666666666667</v>
      </c>
      <c r="AG16" s="116"/>
      <c r="AH16" s="116"/>
    </row>
    <row r="17">
      <c r="A17" s="32"/>
      <c r="B17" s="145">
        <v>15.0</v>
      </c>
      <c r="C17" s="198" t="s">
        <v>393</v>
      </c>
      <c r="D17" s="22">
        <f t="shared" si="2"/>
        <v>5.765277778</v>
      </c>
      <c r="E17" s="116">
        <v>0.4097222222222222</v>
      </c>
      <c r="F17" s="116"/>
      <c r="G17" s="25"/>
      <c r="H17" s="114" t="s">
        <v>316</v>
      </c>
      <c r="I17" s="116">
        <v>0.38263888888888886</v>
      </c>
      <c r="J17" s="116">
        <v>0.37569444444444444</v>
      </c>
      <c r="K17" s="116">
        <v>0.38680555555555557</v>
      </c>
      <c r="L17" s="114" t="s">
        <v>316</v>
      </c>
      <c r="M17" s="116"/>
      <c r="N17" s="25"/>
      <c r="O17" s="116">
        <v>0.37569444444444444</v>
      </c>
      <c r="P17" s="116">
        <v>0.37430555555555556</v>
      </c>
      <c r="Q17" s="116">
        <v>0.38819444444444445</v>
      </c>
      <c r="R17" s="114" t="s">
        <v>284</v>
      </c>
      <c r="S17" s="114" t="s">
        <v>316</v>
      </c>
      <c r="T17" s="116"/>
      <c r="U17" s="116"/>
      <c r="V17" s="116">
        <v>0.3597222222222222</v>
      </c>
      <c r="W17" s="116">
        <v>0.38333333333333336</v>
      </c>
      <c r="X17" s="116">
        <v>0.40208333333333335</v>
      </c>
      <c r="Y17" s="116">
        <v>0.3763888888888889</v>
      </c>
      <c r="Z17" s="116">
        <v>0.3736111111111111</v>
      </c>
      <c r="AA17" s="116"/>
      <c r="AB17" s="116"/>
      <c r="AC17" s="114" t="s">
        <v>271</v>
      </c>
      <c r="AD17" s="116">
        <v>0.3902777777777778</v>
      </c>
      <c r="AE17" s="116">
        <v>0.40902777777777777</v>
      </c>
      <c r="AF17" s="116">
        <v>0.37777777777777777</v>
      </c>
      <c r="AG17" s="116"/>
      <c r="AH17" s="116"/>
    </row>
    <row r="18">
      <c r="A18" s="32"/>
      <c r="B18" s="186">
        <v>16.0</v>
      </c>
      <c r="C18" s="198" t="s">
        <v>389</v>
      </c>
      <c r="D18" s="22">
        <f t="shared" si="2"/>
        <v>6.647222222</v>
      </c>
      <c r="E18" s="116">
        <v>0.34097222222222223</v>
      </c>
      <c r="F18" s="116"/>
      <c r="G18" s="25"/>
      <c r="H18" s="116">
        <v>0.35694444444444445</v>
      </c>
      <c r="I18" s="116">
        <v>0.41388888888888886</v>
      </c>
      <c r="J18" s="116">
        <v>0.40208333333333335</v>
      </c>
      <c r="K18" s="116">
        <v>0.3416666666666667</v>
      </c>
      <c r="L18" s="116">
        <v>0.40694444444444444</v>
      </c>
      <c r="M18" s="116"/>
      <c r="N18" s="25"/>
      <c r="O18" s="116">
        <v>0.4756944444444444</v>
      </c>
      <c r="P18" s="117">
        <v>0.3541666666666667</v>
      </c>
      <c r="Q18" s="116">
        <v>0.3861111111111111</v>
      </c>
      <c r="R18" s="114" t="s">
        <v>284</v>
      </c>
      <c r="S18" s="114" t="s">
        <v>316</v>
      </c>
      <c r="T18" s="116"/>
      <c r="U18" s="116"/>
      <c r="V18" s="116">
        <v>0.23402777777777778</v>
      </c>
      <c r="W18" s="116">
        <v>0.38472222222222224</v>
      </c>
      <c r="X18" s="116">
        <v>0.37569444444444444</v>
      </c>
      <c r="Y18" s="116">
        <v>0.31180555555555556</v>
      </c>
      <c r="Z18" s="116">
        <v>0.39444444444444443</v>
      </c>
      <c r="AA18" s="116"/>
      <c r="AB18" s="116"/>
      <c r="AC18" s="117">
        <v>0.3548611111111111</v>
      </c>
      <c r="AD18" s="116">
        <v>0.36041666666666666</v>
      </c>
      <c r="AE18" s="116">
        <v>0.3784722222222222</v>
      </c>
      <c r="AF18" s="116">
        <v>0.37430555555555556</v>
      </c>
      <c r="AG18" s="116"/>
      <c r="AH18" s="116"/>
    </row>
    <row r="19">
      <c r="A19" s="32"/>
      <c r="B19" s="186">
        <v>17.0</v>
      </c>
      <c r="C19" s="198" t="s">
        <v>390</v>
      </c>
      <c r="D19" s="22">
        <f t="shared" si="2"/>
        <v>6.682638889</v>
      </c>
      <c r="E19" s="116">
        <v>0.3638888888888889</v>
      </c>
      <c r="F19" s="116"/>
      <c r="G19" s="25"/>
      <c r="H19" s="117">
        <v>0.3541666666666667</v>
      </c>
      <c r="I19" s="116">
        <v>0.3784722222222222</v>
      </c>
      <c r="J19" s="116">
        <v>0.4013888888888889</v>
      </c>
      <c r="K19" s="116">
        <v>0.3888888888888889</v>
      </c>
      <c r="L19" s="116">
        <v>0.37222222222222223</v>
      </c>
      <c r="M19" s="116"/>
      <c r="N19" s="25"/>
      <c r="O19" s="116">
        <v>0.37569444444444444</v>
      </c>
      <c r="P19" s="117">
        <v>0.3645833333333333</v>
      </c>
      <c r="Q19" s="116">
        <v>0.38958333333333334</v>
      </c>
      <c r="R19" s="114" t="s">
        <v>284</v>
      </c>
      <c r="S19" s="114" t="s">
        <v>316</v>
      </c>
      <c r="T19" s="116"/>
      <c r="U19" s="116"/>
      <c r="V19" s="116">
        <v>0.3784722222222222</v>
      </c>
      <c r="W19" s="116">
        <v>0.36944444444444446</v>
      </c>
      <c r="X19" s="116">
        <v>0.3680555555555556</v>
      </c>
      <c r="Y19" s="116">
        <v>0.3638888888888889</v>
      </c>
      <c r="Z19" s="116">
        <v>0.3611111111111111</v>
      </c>
      <c r="AA19" s="116"/>
      <c r="AB19" s="116"/>
      <c r="AC19" s="116">
        <v>0.3548611111111111</v>
      </c>
      <c r="AD19" s="116">
        <v>0.37222222222222223</v>
      </c>
      <c r="AE19" s="116">
        <v>0.36041666666666666</v>
      </c>
      <c r="AF19" s="116">
        <v>0.36527777777777776</v>
      </c>
      <c r="AG19" s="116"/>
      <c r="AH19" s="116"/>
    </row>
    <row r="20">
      <c r="A20" s="32"/>
      <c r="B20" s="145">
        <v>18.0</v>
      </c>
      <c r="C20" s="198" t="s">
        <v>391</v>
      </c>
      <c r="D20" s="22">
        <f t="shared" si="2"/>
        <v>7.611805556</v>
      </c>
      <c r="E20" s="116">
        <v>0.38680555555555557</v>
      </c>
      <c r="F20" s="116"/>
      <c r="G20" s="25"/>
      <c r="H20" s="116">
        <v>0.3784722222222222</v>
      </c>
      <c r="I20" s="116">
        <v>0.41041666666666665</v>
      </c>
      <c r="J20" s="116">
        <v>0.4388888888888889</v>
      </c>
      <c r="K20" s="116">
        <v>0.4013888888888889</v>
      </c>
      <c r="L20" s="116">
        <v>0.3458333333333333</v>
      </c>
      <c r="M20" s="116"/>
      <c r="N20" s="25"/>
      <c r="O20" s="116">
        <v>0.38680555555555557</v>
      </c>
      <c r="P20" s="116">
        <v>0.41180555555555554</v>
      </c>
      <c r="Q20" s="116">
        <v>0.3736111111111111</v>
      </c>
      <c r="R20" s="114" t="s">
        <v>284</v>
      </c>
      <c r="S20" s="116">
        <v>0.3423611111111111</v>
      </c>
      <c r="T20" s="116"/>
      <c r="U20" s="116"/>
      <c r="V20" s="116">
        <v>0.4354166666666667</v>
      </c>
      <c r="W20" s="116">
        <v>0.38680555555555557</v>
      </c>
      <c r="X20" s="116">
        <v>0.45625</v>
      </c>
      <c r="Y20" s="116">
        <v>0.37916666666666665</v>
      </c>
      <c r="Z20" s="116">
        <v>0.3423611111111111</v>
      </c>
      <c r="AA20" s="116"/>
      <c r="AB20" s="116"/>
      <c r="AC20" s="116">
        <v>0.42986111111111114</v>
      </c>
      <c r="AD20" s="116">
        <v>0.4111111111111111</v>
      </c>
      <c r="AE20" s="116">
        <v>0.4673611111111111</v>
      </c>
      <c r="AF20" s="116">
        <v>0.4270833333333333</v>
      </c>
      <c r="AG20" s="116"/>
      <c r="AH20" s="116"/>
    </row>
    <row r="21">
      <c r="A21" s="32"/>
      <c r="B21" s="186">
        <v>19.0</v>
      </c>
      <c r="C21" s="198" t="s">
        <v>392</v>
      </c>
      <c r="D21" s="22">
        <f t="shared" si="2"/>
        <v>5.98125</v>
      </c>
      <c r="E21" s="116">
        <v>0.2972222222222222</v>
      </c>
      <c r="F21" s="116"/>
      <c r="G21" s="25"/>
      <c r="H21" s="114" t="s">
        <v>269</v>
      </c>
      <c r="I21" s="116">
        <v>0.41180555555555554</v>
      </c>
      <c r="J21" s="116">
        <v>0.39305555555555555</v>
      </c>
      <c r="K21" s="116">
        <v>0.3576388888888889</v>
      </c>
      <c r="L21" s="116">
        <v>0.28888888888888886</v>
      </c>
      <c r="M21" s="116"/>
      <c r="N21" s="25"/>
      <c r="O21" s="116">
        <v>0.36180555555555555</v>
      </c>
      <c r="P21" s="114" t="s">
        <v>271</v>
      </c>
      <c r="Q21" s="116">
        <v>0.36180555555555555</v>
      </c>
      <c r="R21" s="114" t="s">
        <v>284</v>
      </c>
      <c r="S21" s="116">
        <v>0.32708333333333334</v>
      </c>
      <c r="T21" s="116"/>
      <c r="U21" s="116"/>
      <c r="V21" s="116">
        <v>0.3284722222222222</v>
      </c>
      <c r="W21" s="116">
        <v>0.38055555555555554</v>
      </c>
      <c r="X21" s="116">
        <v>0.3645833333333333</v>
      </c>
      <c r="Y21" s="116">
        <v>0.38263888888888886</v>
      </c>
      <c r="Z21" s="116">
        <v>0.3736111111111111</v>
      </c>
      <c r="AA21" s="116"/>
      <c r="AB21" s="116"/>
      <c r="AC21" s="116">
        <v>0.29444444444444445</v>
      </c>
      <c r="AD21" s="117">
        <v>0.3701388888888889</v>
      </c>
      <c r="AE21" s="116">
        <v>0.36736111111111114</v>
      </c>
      <c r="AF21" s="116">
        <v>0.32013888888888886</v>
      </c>
      <c r="AG21" s="116"/>
      <c r="AH21" s="116"/>
    </row>
    <row r="22">
      <c r="A22" s="32"/>
      <c r="B22" s="186">
        <v>20.0</v>
      </c>
      <c r="C22" s="198" t="s">
        <v>150</v>
      </c>
      <c r="D22" s="22">
        <f t="shared" si="2"/>
        <v>6.046527778</v>
      </c>
      <c r="E22" s="114" t="s">
        <v>316</v>
      </c>
      <c r="F22" s="116"/>
      <c r="G22" s="25"/>
      <c r="H22" s="116">
        <v>0.3729166666666667</v>
      </c>
      <c r="I22" s="116">
        <v>0.3888888888888889</v>
      </c>
      <c r="J22" s="116">
        <v>0.38819444444444445</v>
      </c>
      <c r="K22" s="116">
        <v>0.3875</v>
      </c>
      <c r="L22" s="116">
        <v>0.3875</v>
      </c>
      <c r="M22" s="116"/>
      <c r="N22" s="25"/>
      <c r="O22" s="116">
        <v>0.38055555555555554</v>
      </c>
      <c r="P22" s="114" t="s">
        <v>316</v>
      </c>
      <c r="Q22" s="116">
        <v>0.3854166666666667</v>
      </c>
      <c r="R22" s="114" t="s">
        <v>284</v>
      </c>
      <c r="S22" s="116">
        <v>0.37083333333333335</v>
      </c>
      <c r="T22" s="116"/>
      <c r="U22" s="116"/>
      <c r="V22" s="116">
        <v>0.35208333333333336</v>
      </c>
      <c r="W22" s="116">
        <v>0.38680555555555557</v>
      </c>
      <c r="X22" s="116">
        <v>0.38680555555555557</v>
      </c>
      <c r="Y22" s="116">
        <v>0.35138888888888886</v>
      </c>
      <c r="Z22" s="114" t="s">
        <v>316</v>
      </c>
      <c r="AA22" s="116"/>
      <c r="AB22" s="116"/>
      <c r="AC22" s="116">
        <v>0.3819444444444444</v>
      </c>
      <c r="AD22" s="116">
        <v>0.3701388888888889</v>
      </c>
      <c r="AE22" s="116">
        <v>0.3715277777777778</v>
      </c>
      <c r="AF22" s="116">
        <v>0.3840277777777778</v>
      </c>
      <c r="AG22" s="116"/>
      <c r="AH22" s="116"/>
    </row>
    <row r="23">
      <c r="A23" s="153" t="s">
        <v>274</v>
      </c>
      <c r="B23" s="154">
        <v>21.0</v>
      </c>
      <c r="C23" s="201" t="s">
        <v>213</v>
      </c>
      <c r="D23" s="22">
        <f t="shared" si="2"/>
        <v>3.372916667</v>
      </c>
      <c r="E23" s="114" t="s">
        <v>316</v>
      </c>
      <c r="F23" s="115"/>
      <c r="G23" s="25"/>
      <c r="H23" s="114" t="s">
        <v>316</v>
      </c>
      <c r="I23" s="116">
        <v>0.36736111111111114</v>
      </c>
      <c r="J23" s="116">
        <v>0.5645833333333333</v>
      </c>
      <c r="K23" s="114" t="s">
        <v>269</v>
      </c>
      <c r="L23" s="114" t="s">
        <v>316</v>
      </c>
      <c r="M23" s="116"/>
      <c r="N23" s="25"/>
      <c r="O23" s="114" t="s">
        <v>316</v>
      </c>
      <c r="P23" s="116">
        <v>0.375</v>
      </c>
      <c r="Q23" s="116">
        <v>0.3416666666666667</v>
      </c>
      <c r="R23" s="114" t="s">
        <v>284</v>
      </c>
      <c r="S23" s="114" t="s">
        <v>316</v>
      </c>
      <c r="T23" s="116"/>
      <c r="U23" s="116"/>
      <c r="V23" s="114" t="s">
        <v>316</v>
      </c>
      <c r="W23" s="116">
        <v>0.3611111111111111</v>
      </c>
      <c r="X23" s="116">
        <v>0.37569444444444444</v>
      </c>
      <c r="Y23" s="116">
        <v>0.31805555555555554</v>
      </c>
      <c r="Z23" s="114" t="s">
        <v>316</v>
      </c>
      <c r="AA23" s="116"/>
      <c r="AB23" s="116"/>
      <c r="AC23" s="114" t="s">
        <v>316</v>
      </c>
      <c r="AD23" s="114" t="s">
        <v>316</v>
      </c>
      <c r="AE23" s="116">
        <v>0.34791666666666665</v>
      </c>
      <c r="AF23" s="116">
        <v>0.3215277777777778</v>
      </c>
      <c r="AG23" s="116"/>
      <c r="AH23" s="116"/>
    </row>
    <row r="24">
      <c r="A24" s="32"/>
      <c r="B24" s="154">
        <v>22.0</v>
      </c>
      <c r="C24" s="201" t="s">
        <v>54</v>
      </c>
      <c r="D24" s="22">
        <f t="shared" si="2"/>
        <v>4.561805556</v>
      </c>
      <c r="E24" s="114" t="s">
        <v>316</v>
      </c>
      <c r="F24" s="115"/>
      <c r="G24" s="25"/>
      <c r="H24" s="116">
        <v>0.43472222222222223</v>
      </c>
      <c r="I24" s="116">
        <v>0.3784722222222222</v>
      </c>
      <c r="J24" s="116">
        <v>0.47708333333333336</v>
      </c>
      <c r="K24" s="114" t="s">
        <v>316</v>
      </c>
      <c r="L24" s="114" t="s">
        <v>316</v>
      </c>
      <c r="M24" s="116"/>
      <c r="N24" s="25"/>
      <c r="O24" s="116">
        <v>0.39305555555555555</v>
      </c>
      <c r="P24" s="147">
        <v>0.3541666666666667</v>
      </c>
      <c r="Q24" s="116">
        <v>0.3888888888888889</v>
      </c>
      <c r="R24" s="114" t="s">
        <v>284</v>
      </c>
      <c r="S24" s="114" t="s">
        <v>316</v>
      </c>
      <c r="T24" s="116"/>
      <c r="U24" s="116"/>
      <c r="V24" s="116">
        <v>0.39652777777777776</v>
      </c>
      <c r="W24" s="116">
        <v>0.40902777777777777</v>
      </c>
      <c r="X24" s="116">
        <v>0.36944444444444446</v>
      </c>
      <c r="Y24" s="114" t="s">
        <v>316</v>
      </c>
      <c r="Z24" s="114" t="s">
        <v>316</v>
      </c>
      <c r="AA24" s="116"/>
      <c r="AB24" s="116"/>
      <c r="AC24" s="114"/>
      <c r="AD24" s="116">
        <v>0.4673611111111111</v>
      </c>
      <c r="AE24" s="116">
        <v>0.4930555555555556</v>
      </c>
      <c r="AF24" s="114" t="s">
        <v>398</v>
      </c>
      <c r="AG24" s="116"/>
      <c r="AH24" s="116"/>
    </row>
    <row r="25">
      <c r="A25" s="32"/>
      <c r="B25" s="191">
        <v>23.0</v>
      </c>
      <c r="C25" s="201" t="s">
        <v>159</v>
      </c>
      <c r="D25" s="22">
        <f t="shared" si="2"/>
        <v>3.632638889</v>
      </c>
      <c r="E25" s="114" t="s">
        <v>316</v>
      </c>
      <c r="F25" s="115"/>
      <c r="G25" s="25"/>
      <c r="H25" s="114" t="s">
        <v>316</v>
      </c>
      <c r="I25" s="116">
        <v>0.36319444444444443</v>
      </c>
      <c r="J25" s="116">
        <v>0.4083333333333333</v>
      </c>
      <c r="K25" s="116">
        <v>0.36527777777777776</v>
      </c>
      <c r="L25" s="114" t="s">
        <v>316</v>
      </c>
      <c r="M25" s="116"/>
      <c r="N25" s="25"/>
      <c r="O25" s="114" t="s">
        <v>316</v>
      </c>
      <c r="P25" s="117">
        <v>0.3541666666666667</v>
      </c>
      <c r="Q25" s="117">
        <v>0.3229166666666667</v>
      </c>
      <c r="R25" s="114" t="s">
        <v>284</v>
      </c>
      <c r="S25" s="114" t="s">
        <v>316</v>
      </c>
      <c r="T25" s="116"/>
      <c r="U25" s="116"/>
      <c r="V25" s="114" t="s">
        <v>316</v>
      </c>
      <c r="W25" s="116">
        <v>0.36527777777777776</v>
      </c>
      <c r="X25" s="116">
        <v>0.35625</v>
      </c>
      <c r="Y25" s="116">
        <v>0.36736111111111114</v>
      </c>
      <c r="Z25" s="114" t="s">
        <v>316</v>
      </c>
      <c r="AA25" s="116"/>
      <c r="AB25" s="116"/>
      <c r="AC25" s="114" t="s">
        <v>316</v>
      </c>
      <c r="AD25" s="114" t="s">
        <v>271</v>
      </c>
      <c r="AE25" s="116">
        <v>0.3638888888888889</v>
      </c>
      <c r="AF25" s="116">
        <v>0.3659722222222222</v>
      </c>
      <c r="AG25" s="116"/>
      <c r="AH25" s="116"/>
    </row>
    <row r="26">
      <c r="A26" s="32"/>
      <c r="B26" s="154">
        <v>24.0</v>
      </c>
      <c r="C26" s="201" t="s">
        <v>156</v>
      </c>
      <c r="D26" s="22">
        <f t="shared" si="2"/>
        <v>4.293055556</v>
      </c>
      <c r="E26" s="114" t="s">
        <v>316</v>
      </c>
      <c r="F26" s="115"/>
      <c r="G26" s="25"/>
      <c r="H26" s="116">
        <v>0.36041666666666666</v>
      </c>
      <c r="I26" s="116">
        <v>0.37777777777777777</v>
      </c>
      <c r="J26" s="116">
        <v>0.3972222222222222</v>
      </c>
      <c r="K26" s="114" t="s">
        <v>316</v>
      </c>
      <c r="L26" s="114" t="s">
        <v>316</v>
      </c>
      <c r="M26" s="116"/>
      <c r="N26" s="25"/>
      <c r="O26" s="116">
        <v>0.3819444444444444</v>
      </c>
      <c r="P26" s="116">
        <v>0.36666666666666664</v>
      </c>
      <c r="Q26" s="116">
        <v>0.3902777777777778</v>
      </c>
      <c r="R26" s="114" t="s">
        <v>284</v>
      </c>
      <c r="S26" s="114" t="s">
        <v>316</v>
      </c>
      <c r="T26" s="116"/>
      <c r="U26" s="116"/>
      <c r="V26" s="116">
        <v>0.4583333333333333</v>
      </c>
      <c r="W26" s="116">
        <v>0.46041666666666664</v>
      </c>
      <c r="X26" s="116">
        <v>0.3680555555555556</v>
      </c>
      <c r="Y26" s="114" t="s">
        <v>316</v>
      </c>
      <c r="Z26" s="114" t="s">
        <v>316</v>
      </c>
      <c r="AA26" s="116"/>
      <c r="AB26" s="116"/>
      <c r="AC26" s="114" t="s">
        <v>316</v>
      </c>
      <c r="AD26" s="116">
        <v>0.3423611111111111</v>
      </c>
      <c r="AE26" s="116">
        <v>0.38958333333333334</v>
      </c>
      <c r="AF26" s="114" t="s">
        <v>316</v>
      </c>
      <c r="AG26" s="116"/>
      <c r="AH26" s="116"/>
    </row>
    <row r="27">
      <c r="A27" s="32"/>
      <c r="B27" s="154">
        <v>25.0</v>
      </c>
      <c r="C27" s="201" t="s">
        <v>57</v>
      </c>
      <c r="D27" s="22">
        <f t="shared" si="2"/>
        <v>2.439583333</v>
      </c>
      <c r="E27" s="114" t="s">
        <v>316</v>
      </c>
      <c r="F27" s="115"/>
      <c r="G27" s="25"/>
      <c r="H27" s="116">
        <v>0.3958333333333333</v>
      </c>
      <c r="I27" s="114" t="s">
        <v>316</v>
      </c>
      <c r="J27" s="116">
        <v>0.44305555555555554</v>
      </c>
      <c r="K27" s="116">
        <v>0.2777777777777778</v>
      </c>
      <c r="L27" s="114" t="s">
        <v>316</v>
      </c>
      <c r="M27" s="116"/>
      <c r="N27" s="25"/>
      <c r="O27" s="116">
        <v>0.34375</v>
      </c>
      <c r="P27" s="114" t="s">
        <v>316</v>
      </c>
      <c r="Q27" s="114" t="s">
        <v>269</v>
      </c>
      <c r="R27" s="114" t="s">
        <v>284</v>
      </c>
      <c r="S27" s="114" t="s">
        <v>316</v>
      </c>
      <c r="T27" s="116"/>
      <c r="U27" s="116"/>
      <c r="V27" s="116">
        <v>0.3388888888888889</v>
      </c>
      <c r="W27" s="114" t="s">
        <v>316</v>
      </c>
      <c r="X27" s="114" t="s">
        <v>269</v>
      </c>
      <c r="Y27" s="114" t="s">
        <v>269</v>
      </c>
      <c r="Z27" s="114" t="s">
        <v>316</v>
      </c>
      <c r="AA27" s="116"/>
      <c r="AB27" s="116"/>
      <c r="AC27" s="114" t="s">
        <v>316</v>
      </c>
      <c r="AD27" s="116"/>
      <c r="AE27" s="117">
        <v>0.3298611111111111</v>
      </c>
      <c r="AF27" s="116">
        <v>0.3104166666666667</v>
      </c>
      <c r="AG27" s="116"/>
      <c r="AH27" s="116"/>
    </row>
    <row r="28">
      <c r="A28" s="32"/>
      <c r="B28" s="191">
        <v>26.0</v>
      </c>
      <c r="C28" s="201" t="s">
        <v>263</v>
      </c>
      <c r="D28" s="22">
        <f t="shared" si="2"/>
        <v>4.767361111</v>
      </c>
      <c r="E28" s="114" t="s">
        <v>316</v>
      </c>
      <c r="F28" s="115"/>
      <c r="G28" s="25"/>
      <c r="H28" s="116">
        <v>0.34652777777777777</v>
      </c>
      <c r="I28" s="116">
        <v>0.3736111111111111</v>
      </c>
      <c r="J28" s="116">
        <v>0.4097222222222222</v>
      </c>
      <c r="K28" s="114" t="s">
        <v>316</v>
      </c>
      <c r="L28" s="114" t="s">
        <v>316</v>
      </c>
      <c r="M28" s="116"/>
      <c r="N28" s="25"/>
      <c r="O28" s="116">
        <v>0.38819444444444445</v>
      </c>
      <c r="P28" s="116">
        <v>0.2798611111111111</v>
      </c>
      <c r="Q28" s="116">
        <v>0.3819444444444444</v>
      </c>
      <c r="R28" s="114" t="s">
        <v>284</v>
      </c>
      <c r="S28" s="114" t="s">
        <v>316</v>
      </c>
      <c r="T28" s="116"/>
      <c r="U28" s="116"/>
      <c r="V28" s="116">
        <v>0.37222222222222223</v>
      </c>
      <c r="W28" s="116">
        <v>0.4131944444444444</v>
      </c>
      <c r="X28" s="116">
        <v>0.3638888888888889</v>
      </c>
      <c r="Y28" s="116">
        <v>0.3638888888888889</v>
      </c>
      <c r="Z28" s="114" t="s">
        <v>316</v>
      </c>
      <c r="AA28" s="116"/>
      <c r="AB28" s="116"/>
      <c r="AC28" s="114" t="s">
        <v>271</v>
      </c>
      <c r="AD28" s="116">
        <v>0.3104166666666667</v>
      </c>
      <c r="AE28" s="116">
        <v>0.34652777777777777</v>
      </c>
      <c r="AF28" s="116">
        <v>0.4173611111111111</v>
      </c>
      <c r="AG28" s="116"/>
      <c r="AH28" s="116"/>
    </row>
    <row r="29">
      <c r="A29" s="32"/>
      <c r="B29" s="154">
        <v>27.0</v>
      </c>
      <c r="C29" s="202" t="s">
        <v>339</v>
      </c>
      <c r="D29" s="22">
        <f t="shared" si="2"/>
        <v>5.520833333</v>
      </c>
      <c r="E29" s="114" t="s">
        <v>316</v>
      </c>
      <c r="F29" s="115"/>
      <c r="G29" s="25"/>
      <c r="H29" s="116">
        <v>0.3527777777777778</v>
      </c>
      <c r="I29" s="116">
        <v>0.36180555555555555</v>
      </c>
      <c r="J29" s="116">
        <v>0.2902777777777778</v>
      </c>
      <c r="K29" s="116">
        <v>0.4576388888888889</v>
      </c>
      <c r="L29" s="114" t="s">
        <v>316</v>
      </c>
      <c r="M29" s="116"/>
      <c r="N29" s="25"/>
      <c r="O29" s="116">
        <v>0.3284722222222222</v>
      </c>
      <c r="P29" s="116">
        <v>0.3159722222222222</v>
      </c>
      <c r="Q29" s="116">
        <v>0.4340277777777778</v>
      </c>
      <c r="R29" s="114" t="s">
        <v>284</v>
      </c>
      <c r="S29" s="114" t="s">
        <v>316</v>
      </c>
      <c r="T29" s="116"/>
      <c r="U29" s="116"/>
      <c r="V29" s="116">
        <v>0.3715277777777778</v>
      </c>
      <c r="W29" s="116">
        <v>0.3416666666666667</v>
      </c>
      <c r="X29" s="116">
        <v>0.3840277777777778</v>
      </c>
      <c r="Y29" s="116">
        <v>0.3993055555555556</v>
      </c>
      <c r="Z29" s="114" t="s">
        <v>316</v>
      </c>
      <c r="AA29" s="116"/>
      <c r="AB29" s="116"/>
      <c r="AC29" s="116">
        <v>0.36666666666666664</v>
      </c>
      <c r="AD29" s="116">
        <v>0.3611111111111111</v>
      </c>
      <c r="AE29" s="116">
        <v>0.3472222222222222</v>
      </c>
      <c r="AF29" s="116">
        <v>0.4083333333333333</v>
      </c>
      <c r="AG29" s="116"/>
      <c r="AH29" s="116"/>
    </row>
    <row r="30">
      <c r="A30" s="32"/>
      <c r="B30" s="154">
        <v>28.0</v>
      </c>
      <c r="C30" s="201" t="s">
        <v>257</v>
      </c>
      <c r="D30" s="22">
        <v>0.7166666666666666</v>
      </c>
      <c r="E30" s="114" t="s">
        <v>316</v>
      </c>
      <c r="F30" s="115"/>
      <c r="G30" s="25"/>
      <c r="H30" s="116">
        <v>0.3506944444444444</v>
      </c>
      <c r="I30" s="114" t="s">
        <v>316</v>
      </c>
      <c r="J30" s="116">
        <v>0.3659722222222222</v>
      </c>
      <c r="K30" s="114" t="s">
        <v>316</v>
      </c>
      <c r="L30" s="114" t="s">
        <v>316</v>
      </c>
      <c r="M30" s="116"/>
      <c r="N30" s="25"/>
      <c r="O30" s="116">
        <v>0.3576388888888889</v>
      </c>
      <c r="P30" s="114" t="s">
        <v>316</v>
      </c>
      <c r="Q30" s="117">
        <v>0.3125</v>
      </c>
      <c r="R30" s="114" t="s">
        <v>284</v>
      </c>
      <c r="S30" s="114" t="s">
        <v>316</v>
      </c>
      <c r="T30" s="116"/>
      <c r="U30" s="116"/>
      <c r="V30" s="116">
        <v>0.35</v>
      </c>
      <c r="W30" s="114" t="s">
        <v>316</v>
      </c>
      <c r="X30" s="116">
        <v>0.3451388888888889</v>
      </c>
      <c r="Y30" s="117">
        <v>0.35138888888888886</v>
      </c>
      <c r="Z30" s="114" t="s">
        <v>316</v>
      </c>
      <c r="AA30" s="116"/>
      <c r="AB30" s="116"/>
      <c r="AC30" s="114" t="s">
        <v>269</v>
      </c>
      <c r="AD30" s="114" t="s">
        <v>316</v>
      </c>
      <c r="AE30" s="116">
        <v>0.3541666666666667</v>
      </c>
      <c r="AF30" s="116" t="e">
        <v>#N/A</v>
      </c>
      <c r="AG30" s="116"/>
      <c r="AH30" s="116"/>
    </row>
    <row r="31">
      <c r="A31" s="32"/>
      <c r="B31" s="192">
        <v>29.0</v>
      </c>
      <c r="C31" s="203" t="s">
        <v>132</v>
      </c>
      <c r="D31" s="22">
        <f t="shared" ref="D31:D76" si="3">sum(E31:AH31)</f>
        <v>5.366666667</v>
      </c>
      <c r="E31" s="114" t="s">
        <v>316</v>
      </c>
      <c r="F31" s="115"/>
      <c r="G31" s="25"/>
      <c r="H31" s="116">
        <v>0.3368055555555556</v>
      </c>
      <c r="I31" s="116">
        <v>0.3993055555555556</v>
      </c>
      <c r="J31" s="147">
        <v>0.3819444444444444</v>
      </c>
      <c r="K31" s="116">
        <v>0.4013888888888889</v>
      </c>
      <c r="L31" s="114" t="s">
        <v>316</v>
      </c>
      <c r="M31" s="116"/>
      <c r="N31" s="25"/>
      <c r="O31" s="116">
        <v>0.40555555555555556</v>
      </c>
      <c r="P31" s="116">
        <v>0.4361111111111111</v>
      </c>
      <c r="Q31" s="116">
        <v>0.3625</v>
      </c>
      <c r="R31" s="114" t="s">
        <v>284</v>
      </c>
      <c r="S31" s="114" t="s">
        <v>316</v>
      </c>
      <c r="T31" s="116"/>
      <c r="U31" s="116"/>
      <c r="V31" s="117">
        <v>0.3541666666666667</v>
      </c>
      <c r="W31" s="116">
        <v>0.36875</v>
      </c>
      <c r="X31" s="116">
        <v>0.39166666666666666</v>
      </c>
      <c r="Y31" s="116">
        <v>0.35138888888888886</v>
      </c>
      <c r="Z31" s="114" t="s">
        <v>316</v>
      </c>
      <c r="AA31" s="116"/>
      <c r="AB31" s="116"/>
      <c r="AC31" s="114" t="s">
        <v>269</v>
      </c>
      <c r="AD31" s="116">
        <v>0.5</v>
      </c>
      <c r="AE31" s="117">
        <v>0.3645833333333333</v>
      </c>
      <c r="AF31" s="117">
        <v>0.3125</v>
      </c>
      <c r="AG31" s="116"/>
      <c r="AH31" s="116"/>
    </row>
    <row r="32">
      <c r="A32" s="32"/>
      <c r="B32" s="156">
        <v>30.0</v>
      </c>
      <c r="C32" s="203" t="s">
        <v>99</v>
      </c>
      <c r="D32" s="22">
        <f t="shared" si="3"/>
        <v>3.409027778</v>
      </c>
      <c r="E32" s="114" t="s">
        <v>316</v>
      </c>
      <c r="F32" s="115"/>
      <c r="G32" s="25"/>
      <c r="H32" s="116">
        <v>0.33402777777777776</v>
      </c>
      <c r="I32" s="116">
        <v>0.34375</v>
      </c>
      <c r="J32" s="114" t="s">
        <v>316</v>
      </c>
      <c r="K32" s="117">
        <v>0.3645833333333333</v>
      </c>
      <c r="L32" s="114" t="s">
        <v>316</v>
      </c>
      <c r="M32" s="116"/>
      <c r="N32" s="25"/>
      <c r="O32" s="116">
        <v>0.40902777777777777</v>
      </c>
      <c r="P32" s="116">
        <v>0.31666666666666665</v>
      </c>
      <c r="Q32" s="114" t="s">
        <v>316</v>
      </c>
      <c r="R32" s="114" t="s">
        <v>284</v>
      </c>
      <c r="S32" s="114" t="s">
        <v>316</v>
      </c>
      <c r="T32" s="116"/>
      <c r="U32" s="116"/>
      <c r="V32" s="116">
        <v>0.32013888888888886</v>
      </c>
      <c r="W32" s="117">
        <v>0.3194444444444444</v>
      </c>
      <c r="X32" s="114" t="s">
        <v>316</v>
      </c>
      <c r="Y32" s="116">
        <v>0.30416666666666664</v>
      </c>
      <c r="Z32" s="114" t="s">
        <v>316</v>
      </c>
      <c r="AA32" s="116"/>
      <c r="AB32" s="116"/>
      <c r="AC32" s="114" t="s">
        <v>316</v>
      </c>
      <c r="AD32" s="116">
        <v>0.34444444444444444</v>
      </c>
      <c r="AE32" s="116">
        <v>0.3527777777777778</v>
      </c>
      <c r="AF32" s="116"/>
      <c r="AG32" s="116"/>
      <c r="AH32" s="116"/>
    </row>
    <row r="33">
      <c r="A33" s="32"/>
      <c r="B33" s="156">
        <v>31.0</v>
      </c>
      <c r="C33" s="203" t="s">
        <v>93</v>
      </c>
      <c r="D33" s="22">
        <f t="shared" si="3"/>
        <v>6.519444444</v>
      </c>
      <c r="E33" s="116">
        <v>0.47638888888888886</v>
      </c>
      <c r="F33" s="116"/>
      <c r="G33" s="25"/>
      <c r="H33" s="114" t="s">
        <v>269</v>
      </c>
      <c r="I33" s="116">
        <v>0.40069444444444446</v>
      </c>
      <c r="J33" s="116">
        <v>0.475</v>
      </c>
      <c r="K33" s="116">
        <v>0.44513888888888886</v>
      </c>
      <c r="L33" s="116">
        <v>0.4701388888888889</v>
      </c>
      <c r="M33" s="116"/>
      <c r="N33" s="25"/>
      <c r="O33" s="116">
        <v>0.38819444444444445</v>
      </c>
      <c r="P33" s="116">
        <v>0.4597222222222222</v>
      </c>
      <c r="Q33" s="116">
        <v>0.4375</v>
      </c>
      <c r="R33" s="114" t="s">
        <v>284</v>
      </c>
      <c r="S33" s="114" t="s">
        <v>316</v>
      </c>
      <c r="T33" s="116"/>
      <c r="U33" s="116"/>
      <c r="V33" s="117">
        <v>0.3541666666666667</v>
      </c>
      <c r="W33" s="116">
        <v>0.4527777777777778</v>
      </c>
      <c r="X33" s="116">
        <v>0.44930555555555557</v>
      </c>
      <c r="Y33" s="116">
        <v>0.4395833333333333</v>
      </c>
      <c r="Z33" s="114" t="s">
        <v>316</v>
      </c>
      <c r="AA33" s="116"/>
      <c r="AB33" s="116"/>
      <c r="AC33" s="116">
        <v>0.42777777777777776</v>
      </c>
      <c r="AD33" s="116">
        <v>0.3798611111111111</v>
      </c>
      <c r="AE33" s="116">
        <v>0.46319444444444446</v>
      </c>
      <c r="AF33" s="116"/>
      <c r="AG33" s="116"/>
      <c r="AH33" s="116"/>
    </row>
    <row r="34">
      <c r="A34" s="32"/>
      <c r="B34" s="192">
        <v>32.0</v>
      </c>
      <c r="C34" s="203" t="s">
        <v>135</v>
      </c>
      <c r="D34" s="22">
        <f t="shared" si="3"/>
        <v>6.680555556</v>
      </c>
      <c r="E34" s="116">
        <v>0.39652777777777776</v>
      </c>
      <c r="F34" s="116"/>
      <c r="G34" s="25"/>
      <c r="H34" s="116">
        <v>0.4076388888888889</v>
      </c>
      <c r="I34" s="116">
        <v>0.3548611111111111</v>
      </c>
      <c r="J34" s="116">
        <v>0.46319444444444446</v>
      </c>
      <c r="K34" s="116">
        <v>0.43125</v>
      </c>
      <c r="L34" s="114" t="s">
        <v>316</v>
      </c>
      <c r="M34" s="116"/>
      <c r="N34" s="25"/>
      <c r="O34" s="116">
        <v>0.3840277777777778</v>
      </c>
      <c r="P34" s="116">
        <v>0.4125</v>
      </c>
      <c r="Q34" s="116">
        <v>0.4534722222222222</v>
      </c>
      <c r="R34" s="114" t="s">
        <v>284</v>
      </c>
      <c r="S34" s="114" t="s">
        <v>316</v>
      </c>
      <c r="T34" s="116"/>
      <c r="U34" s="116"/>
      <c r="V34" s="117">
        <v>0.3541666666666667</v>
      </c>
      <c r="W34" s="116">
        <v>0.4847222222222222</v>
      </c>
      <c r="X34" s="116">
        <v>0.46111111111111114</v>
      </c>
      <c r="Y34" s="116">
        <v>0.4409722222222222</v>
      </c>
      <c r="Z34" s="114" t="s">
        <v>316</v>
      </c>
      <c r="AA34" s="116"/>
      <c r="AB34" s="116"/>
      <c r="AC34" s="116">
        <v>0.4527777777777778</v>
      </c>
      <c r="AD34" s="116">
        <v>0.4</v>
      </c>
      <c r="AE34" s="116">
        <v>0.4534722222222222</v>
      </c>
      <c r="AF34" s="117">
        <v>0.3298611111111111</v>
      </c>
      <c r="AG34" s="116"/>
      <c r="AH34" s="116"/>
    </row>
    <row r="35">
      <c r="A35" s="32"/>
      <c r="B35" s="156">
        <v>33.0</v>
      </c>
      <c r="C35" s="203" t="s">
        <v>183</v>
      </c>
      <c r="D35" s="22">
        <f t="shared" si="3"/>
        <v>5.609722222</v>
      </c>
      <c r="E35" s="114" t="s">
        <v>316</v>
      </c>
      <c r="F35" s="116"/>
      <c r="G35" s="25"/>
      <c r="H35" s="116">
        <v>0.29444444444444445</v>
      </c>
      <c r="I35" s="116">
        <v>0.3680555555555556</v>
      </c>
      <c r="J35" s="116">
        <v>0.3416666666666667</v>
      </c>
      <c r="K35" s="116">
        <v>0.3680555555555556</v>
      </c>
      <c r="L35" s="114" t="s">
        <v>316</v>
      </c>
      <c r="M35" s="116"/>
      <c r="N35" s="25"/>
      <c r="O35" s="116">
        <v>0.3680555555555556</v>
      </c>
      <c r="P35" s="116">
        <v>0.44166666666666665</v>
      </c>
      <c r="Q35" s="116">
        <v>0.36527777777777776</v>
      </c>
      <c r="R35" s="114" t="s">
        <v>284</v>
      </c>
      <c r="S35" s="114" t="s">
        <v>316</v>
      </c>
      <c r="T35" s="116"/>
      <c r="U35" s="116"/>
      <c r="V35" s="116">
        <v>0.34097222222222223</v>
      </c>
      <c r="W35" s="116">
        <v>0.44583333333333336</v>
      </c>
      <c r="X35" s="116">
        <v>0.4652777777777778</v>
      </c>
      <c r="Y35" s="116">
        <v>0.34652777777777777</v>
      </c>
      <c r="Z35" s="114" t="s">
        <v>316</v>
      </c>
      <c r="AA35" s="116"/>
      <c r="AB35" s="116"/>
      <c r="AC35" s="116">
        <v>0.32013888888888886</v>
      </c>
      <c r="AD35" s="116">
        <v>0.3888888888888889</v>
      </c>
      <c r="AE35" s="116">
        <v>0.3638888888888889</v>
      </c>
      <c r="AF35" s="116">
        <v>0.3909722222222222</v>
      </c>
      <c r="AG35" s="116"/>
      <c r="AH35" s="116"/>
    </row>
    <row r="36">
      <c r="A36" s="32"/>
      <c r="B36" s="156">
        <v>34.0</v>
      </c>
      <c r="C36" s="203" t="s">
        <v>186</v>
      </c>
      <c r="D36" s="22">
        <f t="shared" si="3"/>
        <v>4.704166667</v>
      </c>
      <c r="E36" s="114" t="s">
        <v>316</v>
      </c>
      <c r="F36" s="115"/>
      <c r="G36" s="25"/>
      <c r="H36" s="116">
        <v>0.39444444444444443</v>
      </c>
      <c r="I36" s="116">
        <v>0.3736111111111111</v>
      </c>
      <c r="J36" s="116">
        <v>0.40555555555555556</v>
      </c>
      <c r="K36" s="116">
        <v>0.4340277777777778</v>
      </c>
      <c r="L36" s="114" t="s">
        <v>316</v>
      </c>
      <c r="M36" s="116"/>
      <c r="N36" s="25"/>
      <c r="O36" s="116">
        <v>0.325</v>
      </c>
      <c r="P36" s="116">
        <v>0.3909722222222222</v>
      </c>
      <c r="Q36" s="116">
        <v>0.36875</v>
      </c>
      <c r="R36" s="114" t="s">
        <v>284</v>
      </c>
      <c r="S36" s="114" t="s">
        <v>316</v>
      </c>
      <c r="T36" s="116"/>
      <c r="U36" s="116"/>
      <c r="V36" s="114" t="s">
        <v>269</v>
      </c>
      <c r="W36" s="116">
        <v>0.34375</v>
      </c>
      <c r="X36" s="116">
        <v>0.44513888888888886</v>
      </c>
      <c r="Y36" s="116">
        <v>0.3715277777777778</v>
      </c>
      <c r="Z36" s="114" t="s">
        <v>316</v>
      </c>
      <c r="AA36" s="116"/>
      <c r="AB36" s="116"/>
      <c r="AC36" s="114" t="s">
        <v>316</v>
      </c>
      <c r="AD36" s="116">
        <v>0.4048611111111111</v>
      </c>
      <c r="AE36" s="116">
        <v>0.4465277777777778</v>
      </c>
      <c r="AF36" s="114" t="s">
        <v>316</v>
      </c>
      <c r="AG36" s="116"/>
      <c r="AH36" s="116"/>
    </row>
    <row r="37">
      <c r="A37" s="32"/>
      <c r="B37" s="192">
        <v>35.0</v>
      </c>
      <c r="C37" s="203" t="s">
        <v>141</v>
      </c>
      <c r="D37" s="22">
        <f t="shared" si="3"/>
        <v>5.071527778</v>
      </c>
      <c r="E37" s="114" t="s">
        <v>316</v>
      </c>
      <c r="F37" s="115"/>
      <c r="G37" s="25"/>
      <c r="H37" s="116">
        <v>0.3326388888888889</v>
      </c>
      <c r="I37" s="116">
        <v>0.3854166666666667</v>
      </c>
      <c r="J37" s="116">
        <v>0.3680555555555556</v>
      </c>
      <c r="K37" s="116">
        <v>0.3548611111111111</v>
      </c>
      <c r="L37" s="114" t="s">
        <v>316</v>
      </c>
      <c r="M37" s="116"/>
      <c r="N37" s="25"/>
      <c r="O37" s="116">
        <v>0.3527777777777778</v>
      </c>
      <c r="P37" s="116">
        <v>0.3875</v>
      </c>
      <c r="Q37" s="116">
        <v>0.35833333333333334</v>
      </c>
      <c r="R37" s="114" t="s">
        <v>284</v>
      </c>
      <c r="S37" s="114" t="s">
        <v>316</v>
      </c>
      <c r="T37" s="116"/>
      <c r="U37" s="116"/>
      <c r="V37" s="114" t="s">
        <v>316</v>
      </c>
      <c r="W37" s="116">
        <v>0.37222222222222223</v>
      </c>
      <c r="X37" s="116">
        <v>0.3798611111111111</v>
      </c>
      <c r="Y37" s="116">
        <v>0.35138888888888886</v>
      </c>
      <c r="Z37" s="114" t="s">
        <v>316</v>
      </c>
      <c r="AA37" s="116"/>
      <c r="AB37" s="116"/>
      <c r="AC37" s="116">
        <v>0.3375</v>
      </c>
      <c r="AD37" s="116">
        <v>0.38125</v>
      </c>
      <c r="AE37" s="116">
        <v>0.35347222222222224</v>
      </c>
      <c r="AF37" s="116">
        <v>0.35625</v>
      </c>
      <c r="AG37" s="116"/>
      <c r="AH37" s="116"/>
    </row>
    <row r="38">
      <c r="A38" s="15"/>
      <c r="B38" s="156">
        <v>36.0</v>
      </c>
      <c r="C38" s="203" t="s">
        <v>207</v>
      </c>
      <c r="D38" s="22">
        <f t="shared" si="3"/>
        <v>4.414583333</v>
      </c>
      <c r="E38" s="114" t="s">
        <v>316</v>
      </c>
      <c r="F38" s="115"/>
      <c r="G38" s="25"/>
      <c r="H38" s="116">
        <v>0.28402777777777777</v>
      </c>
      <c r="I38" s="116">
        <v>0.3090277777777778</v>
      </c>
      <c r="J38" s="116">
        <v>0.31319444444444444</v>
      </c>
      <c r="K38" s="116"/>
      <c r="L38" s="114" t="s">
        <v>316</v>
      </c>
      <c r="M38" s="116"/>
      <c r="N38" s="25"/>
      <c r="O38" s="117">
        <v>0.3645833333333333</v>
      </c>
      <c r="P38" s="116">
        <v>0.3368055555555556</v>
      </c>
      <c r="Q38" s="116">
        <v>0.2569444444444444</v>
      </c>
      <c r="R38" s="114" t="s">
        <v>284</v>
      </c>
      <c r="S38" s="114" t="s">
        <v>316</v>
      </c>
      <c r="T38" s="116"/>
      <c r="U38" s="116"/>
      <c r="V38" s="116">
        <v>0.45</v>
      </c>
      <c r="W38" s="116">
        <v>0.30625</v>
      </c>
      <c r="X38" s="116">
        <v>0.2875</v>
      </c>
      <c r="Y38" s="116">
        <v>0.3090277777777778</v>
      </c>
      <c r="Z38" s="114" t="s">
        <v>316</v>
      </c>
      <c r="AA38" s="116"/>
      <c r="AB38" s="116"/>
      <c r="AC38" s="116">
        <v>0.2916666666666667</v>
      </c>
      <c r="AD38" s="116">
        <v>0.30069444444444443</v>
      </c>
      <c r="AE38" s="116">
        <v>0.29930555555555555</v>
      </c>
      <c r="AF38" s="116">
        <v>0.3055555555555556</v>
      </c>
      <c r="AG38" s="116"/>
      <c r="AH38" s="116"/>
    </row>
    <row r="39">
      <c r="A39" s="161" t="s">
        <v>278</v>
      </c>
      <c r="B39" s="156">
        <v>37.0</v>
      </c>
      <c r="C39" s="203" t="s">
        <v>78</v>
      </c>
      <c r="D39" s="22">
        <f t="shared" si="3"/>
        <v>7.643055556</v>
      </c>
      <c r="E39" s="116">
        <v>0.44375</v>
      </c>
      <c r="F39" s="116"/>
      <c r="G39" s="25"/>
      <c r="H39" s="116">
        <v>0.4125</v>
      </c>
      <c r="I39" s="116">
        <v>0.36527777777777776</v>
      </c>
      <c r="J39" s="116">
        <v>0.43472222222222223</v>
      </c>
      <c r="K39" s="116">
        <v>0.42986111111111114</v>
      </c>
      <c r="L39" s="116">
        <v>0.4048611111111111</v>
      </c>
      <c r="M39" s="116"/>
      <c r="N39" s="25"/>
      <c r="O39" s="116">
        <v>0.38333333333333336</v>
      </c>
      <c r="P39" s="116">
        <v>0.40625</v>
      </c>
      <c r="Q39" s="116">
        <v>0.4395833333333333</v>
      </c>
      <c r="R39" s="114" t="s">
        <v>284</v>
      </c>
      <c r="S39" s="116">
        <v>0.3958333333333333</v>
      </c>
      <c r="T39" s="116"/>
      <c r="U39" s="116"/>
      <c r="V39" s="116">
        <v>0.3861111111111111</v>
      </c>
      <c r="W39" s="116">
        <v>0.45</v>
      </c>
      <c r="X39" s="116">
        <v>0.4201388888888889</v>
      </c>
      <c r="Y39" s="116">
        <v>0.4076388888888889</v>
      </c>
      <c r="Z39" s="116">
        <v>0.3611111111111111</v>
      </c>
      <c r="AA39" s="116"/>
      <c r="AB39" s="116"/>
      <c r="AC39" s="116">
        <v>0.3159722222222222</v>
      </c>
      <c r="AD39" s="116">
        <v>0.37916666666666665</v>
      </c>
      <c r="AE39" s="116">
        <v>0.4444444444444444</v>
      </c>
      <c r="AF39" s="116">
        <v>0.3625</v>
      </c>
      <c r="AG39" s="116"/>
      <c r="AH39" s="116"/>
    </row>
    <row r="40">
      <c r="A40" s="32"/>
      <c r="B40" s="192">
        <v>38.0</v>
      </c>
      <c r="C40" s="203" t="s">
        <v>14</v>
      </c>
      <c r="D40" s="22">
        <f t="shared" si="3"/>
        <v>5.5625</v>
      </c>
      <c r="E40" s="114" t="s">
        <v>316</v>
      </c>
      <c r="F40" s="115"/>
      <c r="G40" s="25"/>
      <c r="H40" s="117">
        <v>0.3472222222222222</v>
      </c>
      <c r="I40" s="116">
        <v>0.4895833333333333</v>
      </c>
      <c r="J40" s="116">
        <v>0.4673611111111111</v>
      </c>
      <c r="K40" s="116">
        <v>0.3923611111111111</v>
      </c>
      <c r="L40" s="114" t="s">
        <v>316</v>
      </c>
      <c r="M40" s="116"/>
      <c r="N40" s="25"/>
      <c r="O40" s="116">
        <v>0.40625</v>
      </c>
      <c r="P40" s="116">
        <v>0.3680555555555556</v>
      </c>
      <c r="Q40" s="117">
        <v>0.3541666666666667</v>
      </c>
      <c r="R40" s="114" t="s">
        <v>284</v>
      </c>
      <c r="S40" s="114" t="s">
        <v>316</v>
      </c>
      <c r="T40" s="116"/>
      <c r="U40" s="116"/>
      <c r="V40" s="116">
        <v>0.35</v>
      </c>
      <c r="W40" s="117">
        <v>0.3576388888888889</v>
      </c>
      <c r="X40" s="116">
        <v>0.4736111111111111</v>
      </c>
      <c r="Y40" s="116">
        <v>0.4131944444444444</v>
      </c>
      <c r="Z40" s="114" t="s">
        <v>316</v>
      </c>
      <c r="AA40" s="116"/>
      <c r="AB40" s="116"/>
      <c r="AC40" s="116"/>
      <c r="AD40" s="116">
        <v>0.33541666666666664</v>
      </c>
      <c r="AE40" s="116">
        <v>0.4215277777777778</v>
      </c>
      <c r="AF40" s="116">
        <v>0.3861111111111111</v>
      </c>
      <c r="AG40" s="116"/>
      <c r="AH40" s="116"/>
    </row>
    <row r="41">
      <c r="A41" s="32"/>
      <c r="B41" s="156">
        <v>39.0</v>
      </c>
      <c r="C41" s="203" t="s">
        <v>105</v>
      </c>
      <c r="D41" s="22">
        <f t="shared" si="3"/>
        <v>5.303472222</v>
      </c>
      <c r="E41" s="114" t="s">
        <v>316</v>
      </c>
      <c r="F41" s="115"/>
      <c r="G41" s="25"/>
      <c r="H41" s="114" t="s">
        <v>269</v>
      </c>
      <c r="I41" s="116">
        <v>0.37083333333333335</v>
      </c>
      <c r="J41" s="117">
        <v>0.32916666666666666</v>
      </c>
      <c r="K41" s="116">
        <v>0.3854166666666667</v>
      </c>
      <c r="L41" s="114" t="s">
        <v>316</v>
      </c>
      <c r="M41" s="116"/>
      <c r="N41" s="25"/>
      <c r="O41" s="117">
        <v>0.3645833333333333</v>
      </c>
      <c r="P41" s="116">
        <v>0.40069444444444446</v>
      </c>
      <c r="Q41" s="116">
        <v>0.38958333333333334</v>
      </c>
      <c r="R41" s="114" t="s">
        <v>284</v>
      </c>
      <c r="S41" s="116">
        <v>0.34652777777777777</v>
      </c>
      <c r="T41" s="116"/>
      <c r="U41" s="116"/>
      <c r="V41" s="116">
        <v>0.37222222222222223</v>
      </c>
      <c r="W41" s="116">
        <v>0.4479166666666667</v>
      </c>
      <c r="X41" s="116">
        <v>0.3875</v>
      </c>
      <c r="Y41" s="116">
        <v>0.3993055555555556</v>
      </c>
      <c r="Z41" s="114" t="s">
        <v>316</v>
      </c>
      <c r="AA41" s="116"/>
      <c r="AB41" s="116"/>
      <c r="AC41" s="114" t="s">
        <v>271</v>
      </c>
      <c r="AD41" s="116">
        <v>0.375</v>
      </c>
      <c r="AE41" s="116">
        <v>0.36527777777777776</v>
      </c>
      <c r="AF41" s="116">
        <v>0.36944444444444446</v>
      </c>
      <c r="AG41" s="116"/>
      <c r="AH41" s="116"/>
    </row>
    <row r="42">
      <c r="A42" s="32"/>
      <c r="B42" s="156">
        <v>40.0</v>
      </c>
      <c r="C42" s="203" t="s">
        <v>29</v>
      </c>
      <c r="D42" s="22">
        <f t="shared" si="3"/>
        <v>2.271527778</v>
      </c>
      <c r="E42" s="114" t="s">
        <v>316</v>
      </c>
      <c r="F42" s="115"/>
      <c r="G42" s="25"/>
      <c r="H42" s="116">
        <v>0.33125</v>
      </c>
      <c r="I42" s="114" t="s">
        <v>316</v>
      </c>
      <c r="J42" s="116">
        <v>0.32916666666666666</v>
      </c>
      <c r="K42" s="114" t="s">
        <v>316</v>
      </c>
      <c r="L42" s="114" t="s">
        <v>316</v>
      </c>
      <c r="M42" s="116"/>
      <c r="N42" s="25"/>
      <c r="O42" s="114" t="s">
        <v>269</v>
      </c>
      <c r="P42" s="114" t="s">
        <v>316</v>
      </c>
      <c r="Q42" s="116">
        <v>0.275</v>
      </c>
      <c r="R42" s="114" t="s">
        <v>284</v>
      </c>
      <c r="S42" s="114" t="s">
        <v>316</v>
      </c>
      <c r="T42" s="116"/>
      <c r="U42" s="116"/>
      <c r="V42" s="116">
        <v>0.3229166666666667</v>
      </c>
      <c r="W42" s="114" t="s">
        <v>316</v>
      </c>
      <c r="X42" s="116">
        <v>0.33611111111111114</v>
      </c>
      <c r="Y42" s="114" t="s">
        <v>316</v>
      </c>
      <c r="Z42" s="114" t="s">
        <v>316</v>
      </c>
      <c r="AA42" s="116"/>
      <c r="AB42" s="116"/>
      <c r="AC42" s="114" t="s">
        <v>271</v>
      </c>
      <c r="AD42" s="114" t="s">
        <v>316</v>
      </c>
      <c r="AE42" s="116">
        <v>0.3347222222222222</v>
      </c>
      <c r="AF42" s="117">
        <v>0.3423611111111111</v>
      </c>
      <c r="AG42" s="116"/>
      <c r="AH42" s="116"/>
    </row>
    <row r="43">
      <c r="A43" s="32"/>
      <c r="B43" s="194">
        <v>41.0</v>
      </c>
      <c r="C43" s="198" t="s">
        <v>249</v>
      </c>
      <c r="D43" s="22">
        <f t="shared" si="3"/>
        <v>5.473611111</v>
      </c>
      <c r="E43" s="114" t="s">
        <v>316</v>
      </c>
      <c r="F43" s="115"/>
      <c r="G43" s="25"/>
      <c r="H43" s="116">
        <v>0.3597222222222222</v>
      </c>
      <c r="I43" s="116">
        <v>0.35625</v>
      </c>
      <c r="J43" s="116">
        <v>0.34097222222222223</v>
      </c>
      <c r="K43" s="116">
        <v>0.36041666666666666</v>
      </c>
      <c r="L43" s="114" t="s">
        <v>316</v>
      </c>
      <c r="M43" s="116"/>
      <c r="N43" s="25"/>
      <c r="O43" s="116">
        <v>0.34930555555555554</v>
      </c>
      <c r="P43" s="116">
        <v>0.3548611111111111</v>
      </c>
      <c r="Q43" s="116">
        <v>0.3576388888888889</v>
      </c>
      <c r="R43" s="114" t="s">
        <v>284</v>
      </c>
      <c r="S43" s="114" t="s">
        <v>316</v>
      </c>
      <c r="T43" s="116"/>
      <c r="U43" s="116"/>
      <c r="V43" s="116">
        <v>0.375</v>
      </c>
      <c r="W43" s="116">
        <v>0.36666666666666664</v>
      </c>
      <c r="X43" s="116">
        <v>0.3506944444444444</v>
      </c>
      <c r="Y43" s="116">
        <v>0.36319444444444443</v>
      </c>
      <c r="Z43" s="114" t="s">
        <v>316</v>
      </c>
      <c r="AA43" s="116"/>
      <c r="AB43" s="116"/>
      <c r="AC43" s="116">
        <v>0.3541666666666667</v>
      </c>
      <c r="AD43" s="116">
        <v>0.34930555555555554</v>
      </c>
      <c r="AE43" s="116">
        <v>0.4048611111111111</v>
      </c>
      <c r="AF43" s="116">
        <v>0.4305555555555556</v>
      </c>
      <c r="AG43" s="116"/>
      <c r="AH43" s="116"/>
    </row>
    <row r="44">
      <c r="A44" s="32"/>
      <c r="B44" s="151">
        <v>42.0</v>
      </c>
      <c r="C44" s="198" t="s">
        <v>394</v>
      </c>
      <c r="D44" s="22">
        <f t="shared" si="3"/>
        <v>6.3</v>
      </c>
      <c r="E44" s="116">
        <v>0.4076388888888889</v>
      </c>
      <c r="F44" s="116"/>
      <c r="G44" s="25"/>
      <c r="H44" s="117">
        <v>0.3597222222222222</v>
      </c>
      <c r="I44" s="116">
        <v>0.3541666666666667</v>
      </c>
      <c r="J44" s="116">
        <v>0.37083333333333335</v>
      </c>
      <c r="K44" s="116">
        <v>0.32569444444444445</v>
      </c>
      <c r="L44" s="116">
        <v>0.39305555555555555</v>
      </c>
      <c r="M44" s="116"/>
      <c r="N44" s="25"/>
      <c r="O44" s="116">
        <v>0.3888888888888889</v>
      </c>
      <c r="P44" s="116">
        <v>0.3763888888888889</v>
      </c>
      <c r="Q44" s="116">
        <v>0.3736111111111111</v>
      </c>
      <c r="R44" s="114" t="s">
        <v>284</v>
      </c>
      <c r="S44" s="114" t="s">
        <v>316</v>
      </c>
      <c r="T44" s="116"/>
      <c r="U44" s="116"/>
      <c r="V44" s="116">
        <v>0.33402777777777776</v>
      </c>
      <c r="W44" s="116">
        <v>0.38055555555555554</v>
      </c>
      <c r="X44" s="116">
        <v>0.3729166666666667</v>
      </c>
      <c r="Y44" s="116">
        <v>0.38125</v>
      </c>
      <c r="Z44" s="116">
        <v>0.36319444444444443</v>
      </c>
      <c r="AA44" s="116"/>
      <c r="AB44" s="116"/>
      <c r="AC44" s="114" t="s">
        <v>316</v>
      </c>
      <c r="AD44" s="116">
        <v>0.36944444444444446</v>
      </c>
      <c r="AE44" s="116">
        <v>0.3729166666666667</v>
      </c>
      <c r="AF44" s="116">
        <v>0.37569444444444444</v>
      </c>
      <c r="AG44" s="116"/>
      <c r="AH44" s="116"/>
    </row>
    <row r="45">
      <c r="A45" s="32"/>
      <c r="B45" s="151">
        <v>43.0</v>
      </c>
      <c r="C45" s="198" t="s">
        <v>72</v>
      </c>
      <c r="D45" s="22">
        <f t="shared" si="3"/>
        <v>6.156944444</v>
      </c>
      <c r="E45" s="114" t="s">
        <v>316</v>
      </c>
      <c r="F45" s="115"/>
      <c r="G45" s="25"/>
      <c r="H45" s="116">
        <v>0.4166666666666667</v>
      </c>
      <c r="I45" s="116">
        <v>0.4048611111111111</v>
      </c>
      <c r="J45" s="116">
        <v>0.40694444444444444</v>
      </c>
      <c r="K45" s="116">
        <v>0.44930555555555557</v>
      </c>
      <c r="L45" s="114" t="s">
        <v>316</v>
      </c>
      <c r="M45" s="116"/>
      <c r="N45" s="25"/>
      <c r="O45" s="116">
        <v>0.38958333333333334</v>
      </c>
      <c r="P45" s="117">
        <v>0.3888888888888889</v>
      </c>
      <c r="Q45" s="117">
        <v>0.3736111111111111</v>
      </c>
      <c r="R45" s="114" t="s">
        <v>284</v>
      </c>
      <c r="S45" s="114" t="s">
        <v>316</v>
      </c>
      <c r="T45" s="116"/>
      <c r="U45" s="116"/>
      <c r="V45" s="116">
        <v>0.35833333333333334</v>
      </c>
      <c r="W45" s="116">
        <v>0.4597222222222222</v>
      </c>
      <c r="X45" s="116">
        <v>0.4576388888888889</v>
      </c>
      <c r="Y45" s="116">
        <v>0.4326388888888889</v>
      </c>
      <c r="Z45" s="114" t="s">
        <v>316</v>
      </c>
      <c r="AA45" s="116"/>
      <c r="AB45" s="116"/>
      <c r="AC45" s="116">
        <v>0.425</v>
      </c>
      <c r="AD45" s="116">
        <v>0.3972222222222222</v>
      </c>
      <c r="AE45" s="116">
        <v>0.38472222222222224</v>
      </c>
      <c r="AF45" s="116">
        <v>0.41180555555555554</v>
      </c>
      <c r="AG45" s="116"/>
      <c r="AH45" s="116"/>
    </row>
    <row r="46">
      <c r="A46" s="32"/>
      <c r="B46" s="194">
        <v>44.0</v>
      </c>
      <c r="C46" s="198" t="s">
        <v>204</v>
      </c>
      <c r="D46" s="22">
        <f t="shared" si="3"/>
        <v>5.222916667</v>
      </c>
      <c r="E46" s="114" t="s">
        <v>316</v>
      </c>
      <c r="F46" s="115"/>
      <c r="G46" s="25"/>
      <c r="H46" s="116">
        <v>0.39166666666666666</v>
      </c>
      <c r="I46" s="116">
        <v>0.3701388888888889</v>
      </c>
      <c r="J46" s="116">
        <v>0.3736111111111111</v>
      </c>
      <c r="K46" s="116">
        <v>0.3715277777777778</v>
      </c>
      <c r="L46" s="114" t="s">
        <v>316</v>
      </c>
      <c r="M46" s="116"/>
      <c r="N46" s="25"/>
      <c r="O46" s="116">
        <v>0.36527777777777776</v>
      </c>
      <c r="P46" s="114" t="s">
        <v>271</v>
      </c>
      <c r="Q46" s="116">
        <v>0.3875</v>
      </c>
      <c r="R46" s="114" t="s">
        <v>284</v>
      </c>
      <c r="S46" s="114" t="s">
        <v>316</v>
      </c>
      <c r="T46" s="116"/>
      <c r="U46" s="116"/>
      <c r="V46" s="116">
        <v>0.36527777777777776</v>
      </c>
      <c r="W46" s="116">
        <v>0.375</v>
      </c>
      <c r="X46" s="116">
        <v>0.3645833333333333</v>
      </c>
      <c r="Y46" s="116">
        <v>0.36180555555555555</v>
      </c>
      <c r="Z46" s="114" t="s">
        <v>316</v>
      </c>
      <c r="AA46" s="116"/>
      <c r="AB46" s="116"/>
      <c r="AC46" s="116">
        <v>0.36180555555555555</v>
      </c>
      <c r="AD46" s="116">
        <v>0.40902777777777777</v>
      </c>
      <c r="AE46" s="116">
        <v>0.35208333333333336</v>
      </c>
      <c r="AF46" s="116">
        <v>0.3736111111111111</v>
      </c>
      <c r="AG46" s="116"/>
      <c r="AH46" s="116"/>
    </row>
    <row r="47">
      <c r="A47" s="32"/>
      <c r="B47" s="151">
        <v>45.0</v>
      </c>
      <c r="C47" s="198" t="s">
        <v>279</v>
      </c>
      <c r="D47" s="22">
        <f t="shared" si="3"/>
        <v>5.054861111</v>
      </c>
      <c r="E47" s="114" t="s">
        <v>316</v>
      </c>
      <c r="F47" s="115"/>
      <c r="G47" s="25"/>
      <c r="H47" s="116">
        <v>0.3590277777777778</v>
      </c>
      <c r="I47" s="116">
        <v>0.3527777777777778</v>
      </c>
      <c r="J47" s="116">
        <v>0.36875</v>
      </c>
      <c r="K47" s="116">
        <v>0.36944444444444446</v>
      </c>
      <c r="L47" s="114" t="s">
        <v>316</v>
      </c>
      <c r="M47" s="116"/>
      <c r="N47" s="25"/>
      <c r="O47" s="116">
        <v>0.36041666666666666</v>
      </c>
      <c r="P47" s="116">
        <v>0.36041666666666666</v>
      </c>
      <c r="Q47" s="116">
        <v>0.35555555555555557</v>
      </c>
      <c r="R47" s="114" t="s">
        <v>284</v>
      </c>
      <c r="S47" s="114" t="s">
        <v>316</v>
      </c>
      <c r="T47" s="116"/>
      <c r="U47" s="116"/>
      <c r="V47" s="116">
        <v>0.3590277777777778</v>
      </c>
      <c r="W47" s="116">
        <v>0.3590277777777778</v>
      </c>
      <c r="X47" s="116">
        <v>0.3597222222222222</v>
      </c>
      <c r="Y47" s="116">
        <v>0.3576388888888889</v>
      </c>
      <c r="Z47" s="114" t="s">
        <v>316</v>
      </c>
      <c r="AA47" s="116"/>
      <c r="AB47" s="116"/>
      <c r="AC47" s="114" t="s">
        <v>316</v>
      </c>
      <c r="AD47" s="116">
        <v>0.35347222222222224</v>
      </c>
      <c r="AE47" s="116">
        <v>0.3701388888888889</v>
      </c>
      <c r="AF47" s="116">
        <v>0.36944444444444446</v>
      </c>
      <c r="AG47" s="116"/>
      <c r="AH47" s="116"/>
    </row>
    <row r="48">
      <c r="A48" s="32"/>
      <c r="B48" s="151">
        <v>46.0</v>
      </c>
      <c r="C48" s="204" t="s">
        <v>81</v>
      </c>
      <c r="D48" s="22">
        <f t="shared" si="3"/>
        <v>7.115277778</v>
      </c>
      <c r="E48" s="116">
        <v>0.5041666666666667</v>
      </c>
      <c r="F48" s="116"/>
      <c r="G48" s="25"/>
      <c r="H48" s="116">
        <v>0.46041666666666664</v>
      </c>
      <c r="I48" s="117">
        <v>0.4375</v>
      </c>
      <c r="J48" s="116">
        <v>0.3659722222222222</v>
      </c>
      <c r="K48" s="116">
        <v>0.4909722222222222</v>
      </c>
      <c r="L48" s="116">
        <v>0.4388888888888889</v>
      </c>
      <c r="M48" s="116"/>
      <c r="N48" s="25"/>
      <c r="O48" s="116">
        <v>0.44305555555555554</v>
      </c>
      <c r="P48" s="116">
        <v>0.48333333333333334</v>
      </c>
      <c r="Q48" s="116">
        <v>0.38819444444444445</v>
      </c>
      <c r="R48" s="114" t="s">
        <v>284</v>
      </c>
      <c r="S48" s="114" t="s">
        <v>316</v>
      </c>
      <c r="T48" s="116"/>
      <c r="U48" s="116"/>
      <c r="V48" s="116">
        <v>0.45069444444444445</v>
      </c>
      <c r="W48" s="116">
        <v>0.4576388888888889</v>
      </c>
      <c r="X48" s="117">
        <v>0.2708333333333333</v>
      </c>
      <c r="Y48" s="116">
        <v>0.46875</v>
      </c>
      <c r="Z48" s="114" t="s">
        <v>316</v>
      </c>
      <c r="AA48" s="116"/>
      <c r="AB48" s="116"/>
      <c r="AC48" s="117">
        <v>0.3020833333333333</v>
      </c>
      <c r="AD48" s="116">
        <v>0.30833333333333335</v>
      </c>
      <c r="AE48" s="116">
        <v>0.38958333333333334</v>
      </c>
      <c r="AF48" s="116">
        <v>0.4548611111111111</v>
      </c>
      <c r="AG48" s="116"/>
      <c r="AH48" s="116"/>
    </row>
    <row r="49">
      <c r="A49" s="32"/>
      <c r="B49" s="194">
        <v>47.0</v>
      </c>
      <c r="C49" s="198" t="s">
        <v>153</v>
      </c>
      <c r="D49" s="22">
        <f t="shared" si="3"/>
        <v>5.250694444</v>
      </c>
      <c r="E49" s="116">
        <v>0.5173611111111112</v>
      </c>
      <c r="F49" s="116"/>
      <c r="G49" s="25"/>
      <c r="H49" s="116">
        <v>0.45069444444444445</v>
      </c>
      <c r="I49" s="116">
        <v>0.3819444444444444</v>
      </c>
      <c r="J49" s="116">
        <v>0.4666666666666667</v>
      </c>
      <c r="K49" s="117">
        <v>0.3645833333333333</v>
      </c>
      <c r="L49" s="114" t="s">
        <v>316</v>
      </c>
      <c r="M49" s="116"/>
      <c r="N49" s="25"/>
      <c r="O49" s="117">
        <v>0.3645833333333333</v>
      </c>
      <c r="P49" s="116">
        <v>0.43680555555555556</v>
      </c>
      <c r="Q49" s="116">
        <v>0.39166666666666666</v>
      </c>
      <c r="R49" s="114" t="s">
        <v>284</v>
      </c>
      <c r="S49" s="114" t="s">
        <v>316</v>
      </c>
      <c r="T49" s="116"/>
      <c r="U49" s="116"/>
      <c r="V49" s="114" t="s">
        <v>271</v>
      </c>
      <c r="W49" s="114" t="s">
        <v>271</v>
      </c>
      <c r="X49" s="116">
        <v>0.35625</v>
      </c>
      <c r="Y49" s="116">
        <v>0.36736111111111114</v>
      </c>
      <c r="Z49" s="114" t="s">
        <v>316</v>
      </c>
      <c r="AA49" s="116"/>
      <c r="AB49" s="116"/>
      <c r="AC49" s="116">
        <v>0.3125</v>
      </c>
      <c r="AD49" s="114" t="s">
        <v>269</v>
      </c>
      <c r="AE49" s="116">
        <v>0.3951388888888889</v>
      </c>
      <c r="AF49" s="116">
        <v>0.44513888888888886</v>
      </c>
      <c r="AG49" s="116"/>
      <c r="AH49" s="116"/>
    </row>
    <row r="50">
      <c r="A50" s="15"/>
      <c r="B50" s="151">
        <v>48.0</v>
      </c>
      <c r="C50" s="198" t="s">
        <v>198</v>
      </c>
      <c r="D50" s="22">
        <f t="shared" si="3"/>
        <v>5.711111111</v>
      </c>
      <c r="E50" s="114" t="s">
        <v>316</v>
      </c>
      <c r="F50" s="115"/>
      <c r="G50" s="25"/>
      <c r="H50" s="116">
        <v>0.37777777777777777</v>
      </c>
      <c r="I50" s="116">
        <v>0.36944444444444446</v>
      </c>
      <c r="J50" s="116">
        <v>0.38680555555555557</v>
      </c>
      <c r="K50" s="116">
        <v>0.3854166666666667</v>
      </c>
      <c r="L50" s="114" t="s">
        <v>316</v>
      </c>
      <c r="M50" s="116"/>
      <c r="N50" s="25"/>
      <c r="O50" s="116">
        <v>0.3861111111111111</v>
      </c>
      <c r="P50" s="116">
        <v>0.38680555555555557</v>
      </c>
      <c r="Q50" s="116">
        <v>0.3625</v>
      </c>
      <c r="R50" s="114" t="s">
        <v>284</v>
      </c>
      <c r="S50" s="114" t="s">
        <v>316</v>
      </c>
      <c r="T50" s="116"/>
      <c r="U50" s="116"/>
      <c r="V50" s="116">
        <v>0.3715277777777778</v>
      </c>
      <c r="W50" s="116">
        <v>0.38333333333333336</v>
      </c>
      <c r="X50" s="116">
        <v>0.38263888888888886</v>
      </c>
      <c r="Y50" s="116">
        <v>0.37430555555555556</v>
      </c>
      <c r="Z50" s="114" t="s">
        <v>316</v>
      </c>
      <c r="AA50" s="116"/>
      <c r="AB50" s="116"/>
      <c r="AC50" s="116">
        <v>0.3715277777777778</v>
      </c>
      <c r="AD50" s="116">
        <v>0.3861111111111111</v>
      </c>
      <c r="AE50" s="116">
        <v>0.39444444444444443</v>
      </c>
      <c r="AF50" s="116">
        <v>0.3923611111111111</v>
      </c>
      <c r="AG50" s="116"/>
      <c r="AH50" s="116"/>
    </row>
    <row r="51">
      <c r="A51" s="196"/>
      <c r="B51" s="156">
        <v>49.0</v>
      </c>
      <c r="C51" s="203" t="s">
        <v>23</v>
      </c>
      <c r="D51" s="22">
        <f t="shared" si="3"/>
        <v>4.129166667</v>
      </c>
      <c r="E51" s="114" t="s">
        <v>316</v>
      </c>
      <c r="F51" s="115"/>
      <c r="G51" s="25"/>
      <c r="H51" s="116">
        <v>0.3902777777777778</v>
      </c>
      <c r="I51" s="116"/>
      <c r="J51" s="116">
        <v>0.3034722222222222</v>
      </c>
      <c r="K51" s="116">
        <v>0.35833333333333334</v>
      </c>
      <c r="L51" s="114" t="s">
        <v>316</v>
      </c>
      <c r="M51" s="116"/>
      <c r="N51" s="25"/>
      <c r="O51" s="116">
        <v>0.33125</v>
      </c>
      <c r="P51" s="117">
        <v>0.35694444444444445</v>
      </c>
      <c r="Q51" s="117">
        <v>0.3541666666666667</v>
      </c>
      <c r="R51" s="114" t="s">
        <v>284</v>
      </c>
      <c r="S51" s="114" t="s">
        <v>316</v>
      </c>
      <c r="T51" s="116"/>
      <c r="U51" s="116"/>
      <c r="V51" s="117">
        <v>0.3541666666666667</v>
      </c>
      <c r="W51" s="117">
        <v>0.3298611111111111</v>
      </c>
      <c r="X51" s="116">
        <v>0.33541666666666664</v>
      </c>
      <c r="Y51" s="116"/>
      <c r="Z51" s="114" t="s">
        <v>316</v>
      </c>
      <c r="AA51" s="116"/>
      <c r="AB51" s="116"/>
      <c r="AC51" s="116">
        <v>0.30972222222222223</v>
      </c>
      <c r="AD51" s="116"/>
      <c r="AE51" s="116">
        <v>0.35138888888888886</v>
      </c>
      <c r="AF51" s="116">
        <v>0.3541666666666667</v>
      </c>
      <c r="AG51" s="116"/>
      <c r="AH51" s="116"/>
    </row>
    <row r="52">
      <c r="A52" s="32"/>
      <c r="B52" s="192">
        <v>50.0</v>
      </c>
      <c r="C52" s="205" t="s">
        <v>17</v>
      </c>
      <c r="D52" s="22" t="str">
        <f t="shared" si="3"/>
        <v>#N/A</v>
      </c>
      <c r="E52" s="114" t="s">
        <v>316</v>
      </c>
      <c r="F52" s="115"/>
      <c r="G52" s="25"/>
      <c r="H52" s="114" t="s">
        <v>316</v>
      </c>
      <c r="I52" s="147">
        <v>0.3645833333333333</v>
      </c>
      <c r="J52" s="116"/>
      <c r="K52" s="117">
        <v>0.3263888888888889</v>
      </c>
      <c r="L52" s="114" t="s">
        <v>316</v>
      </c>
      <c r="M52" s="116"/>
      <c r="N52" s="25"/>
      <c r="O52" s="114" t="s">
        <v>316</v>
      </c>
      <c r="P52" s="116">
        <v>0.3923611111111111</v>
      </c>
      <c r="Q52" s="114" t="s">
        <v>316</v>
      </c>
      <c r="R52" s="114" t="s">
        <v>284</v>
      </c>
      <c r="S52" s="114" t="s">
        <v>316</v>
      </c>
      <c r="T52" s="116"/>
      <c r="U52" s="116"/>
      <c r="V52" s="114" t="s">
        <v>316</v>
      </c>
      <c r="W52" s="116">
        <v>0.4527777777777778</v>
      </c>
      <c r="X52" s="114" t="s">
        <v>316</v>
      </c>
      <c r="Y52" s="116">
        <v>0.4076388888888889</v>
      </c>
      <c r="Z52" s="114" t="s">
        <v>316</v>
      </c>
      <c r="AA52" s="116"/>
      <c r="AB52" s="116"/>
      <c r="AC52" s="114" t="s">
        <v>269</v>
      </c>
      <c r="AD52" s="114" t="s">
        <v>269</v>
      </c>
      <c r="AE52" s="116" t="e">
        <v>#N/A</v>
      </c>
      <c r="AF52" s="116"/>
      <c r="AG52" s="116"/>
      <c r="AH52" s="116"/>
    </row>
    <row r="53">
      <c r="A53" s="32"/>
      <c r="B53" s="154">
        <v>51.0</v>
      </c>
      <c r="C53" s="201" t="s">
        <v>260</v>
      </c>
      <c r="D53" s="22">
        <f t="shared" si="3"/>
        <v>4.541666667</v>
      </c>
      <c r="E53" s="114" t="s">
        <v>316</v>
      </c>
      <c r="F53" s="115"/>
      <c r="G53" s="25"/>
      <c r="H53" s="116">
        <v>0.3076388888888889</v>
      </c>
      <c r="I53" s="116">
        <v>0.33611111111111114</v>
      </c>
      <c r="J53" s="116">
        <v>0.32916666666666666</v>
      </c>
      <c r="K53" s="116">
        <v>0.31319444444444444</v>
      </c>
      <c r="L53" s="114" t="s">
        <v>316</v>
      </c>
      <c r="M53" s="116"/>
      <c r="N53" s="25"/>
      <c r="O53" s="116">
        <v>0.32013888888888886</v>
      </c>
      <c r="P53" s="116">
        <v>0.32083333333333336</v>
      </c>
      <c r="Q53" s="116">
        <v>0.34305555555555556</v>
      </c>
      <c r="R53" s="114" t="s">
        <v>284</v>
      </c>
      <c r="S53" s="114" t="s">
        <v>316</v>
      </c>
      <c r="T53" s="116"/>
      <c r="U53" s="116"/>
      <c r="V53" s="116">
        <v>0.31805555555555554</v>
      </c>
      <c r="W53" s="116">
        <v>0.32916666666666666</v>
      </c>
      <c r="X53" s="116">
        <v>0.3138888888888889</v>
      </c>
      <c r="Y53" s="116">
        <v>0.3076388888888889</v>
      </c>
      <c r="Z53" s="114" t="s">
        <v>316</v>
      </c>
      <c r="AA53" s="116"/>
      <c r="AB53" s="116"/>
      <c r="AC53" s="114" t="s">
        <v>316</v>
      </c>
      <c r="AD53" s="116">
        <v>0.32916666666666666</v>
      </c>
      <c r="AE53" s="116">
        <v>0.3229166666666667</v>
      </c>
      <c r="AF53" s="116">
        <v>0.3506944444444444</v>
      </c>
      <c r="AG53" s="116"/>
      <c r="AH53" s="116"/>
    </row>
    <row r="54">
      <c r="A54" s="32"/>
      <c r="B54" s="154">
        <v>52.0</v>
      </c>
      <c r="C54" s="201" t="s">
        <v>26</v>
      </c>
      <c r="D54" s="22">
        <f t="shared" si="3"/>
        <v>3.158333333</v>
      </c>
      <c r="E54" s="114" t="s">
        <v>272</v>
      </c>
      <c r="F54" s="115"/>
      <c r="G54" s="25"/>
      <c r="H54" s="114" t="s">
        <v>316</v>
      </c>
      <c r="I54" s="114" t="s">
        <v>316</v>
      </c>
      <c r="J54" s="114" t="s">
        <v>316</v>
      </c>
      <c r="K54" s="114" t="s">
        <v>316</v>
      </c>
      <c r="L54" s="114" t="s">
        <v>316</v>
      </c>
      <c r="M54" s="116"/>
      <c r="N54" s="25"/>
      <c r="O54" s="116">
        <v>0.35</v>
      </c>
      <c r="P54" s="117">
        <v>0.3541666666666667</v>
      </c>
      <c r="Q54" s="116">
        <v>0.22013888888888888</v>
      </c>
      <c r="R54" s="114" t="s">
        <v>284</v>
      </c>
      <c r="S54" s="114" t="s">
        <v>316</v>
      </c>
      <c r="T54" s="116"/>
      <c r="U54" s="116"/>
      <c r="V54" s="116">
        <v>0.5256944444444445</v>
      </c>
      <c r="W54" s="117">
        <v>0.3298611111111111</v>
      </c>
      <c r="X54" s="117">
        <v>0.3125</v>
      </c>
      <c r="Y54" s="114" t="s">
        <v>316</v>
      </c>
      <c r="Z54" s="114" t="s">
        <v>316</v>
      </c>
      <c r="AA54" s="116"/>
      <c r="AB54" s="116"/>
      <c r="AC54" s="114" t="s">
        <v>316</v>
      </c>
      <c r="AD54" s="117">
        <v>0.3229166666666667</v>
      </c>
      <c r="AE54" s="116">
        <v>0.4041666666666667</v>
      </c>
      <c r="AF54" s="116">
        <v>0.3388888888888889</v>
      </c>
      <c r="AG54" s="116"/>
      <c r="AH54" s="116"/>
    </row>
    <row r="55">
      <c r="A55" s="32"/>
      <c r="B55" s="154">
        <v>53.0</v>
      </c>
      <c r="C55" s="201" t="s">
        <v>51</v>
      </c>
      <c r="D55" s="22" t="str">
        <f t="shared" si="3"/>
        <v>#N/A</v>
      </c>
      <c r="E55" s="114" t="s">
        <v>316</v>
      </c>
      <c r="F55" s="115"/>
      <c r="G55" s="25"/>
      <c r="H55" s="114" t="s">
        <v>316</v>
      </c>
      <c r="I55" s="114" t="s">
        <v>316</v>
      </c>
      <c r="J55" s="114" t="s">
        <v>316</v>
      </c>
      <c r="K55" s="114" t="s">
        <v>316</v>
      </c>
      <c r="L55" s="114" t="s">
        <v>316</v>
      </c>
      <c r="M55" s="116"/>
      <c r="N55" s="25"/>
      <c r="O55" s="117">
        <v>0.3645833333333333</v>
      </c>
      <c r="P55" s="116">
        <v>0.23194444444444445</v>
      </c>
      <c r="Q55" s="114" t="s">
        <v>316</v>
      </c>
      <c r="R55" s="114" t="s">
        <v>284</v>
      </c>
      <c r="S55" s="114" t="s">
        <v>316</v>
      </c>
      <c r="T55" s="116"/>
      <c r="U55" s="116"/>
      <c r="V55" s="114" t="s">
        <v>316</v>
      </c>
      <c r="W55" s="117">
        <v>0.28125</v>
      </c>
      <c r="X55" s="117">
        <v>0.3125</v>
      </c>
      <c r="Y55" s="116"/>
      <c r="Z55" s="114" t="s">
        <v>316</v>
      </c>
      <c r="AA55" s="116"/>
      <c r="AB55" s="116"/>
      <c r="AC55" s="116" t="e">
        <v>#N/A</v>
      </c>
      <c r="AD55" s="117">
        <v>0.3298611111111111</v>
      </c>
      <c r="AE55" s="116">
        <v>0.3055555555555556</v>
      </c>
      <c r="AF55" s="116" t="e">
        <v>#N/A</v>
      </c>
      <c r="AG55" s="116"/>
      <c r="AH55" s="116"/>
    </row>
    <row r="56">
      <c r="A56" s="32"/>
      <c r="B56" s="154">
        <v>54.0</v>
      </c>
      <c r="C56" s="201" t="s">
        <v>396</v>
      </c>
      <c r="D56" s="22">
        <f t="shared" si="3"/>
        <v>5.378472222</v>
      </c>
      <c r="E56" s="114" t="s">
        <v>316</v>
      </c>
      <c r="F56" s="115"/>
      <c r="G56" s="25"/>
      <c r="H56" s="116">
        <v>0.39305555555555555</v>
      </c>
      <c r="I56" s="116">
        <v>0.3993055555555556</v>
      </c>
      <c r="J56" s="116">
        <v>0.4215277777777778</v>
      </c>
      <c r="K56" s="117">
        <v>0.3645833333333333</v>
      </c>
      <c r="L56" s="114" t="s">
        <v>316</v>
      </c>
      <c r="M56" s="116"/>
      <c r="N56" s="25"/>
      <c r="O56" s="117">
        <v>0.3541666666666667</v>
      </c>
      <c r="P56" s="147">
        <v>0.3645833333333333</v>
      </c>
      <c r="Q56" s="147">
        <v>0.3645833333333333</v>
      </c>
      <c r="R56" s="114" t="s">
        <v>284</v>
      </c>
      <c r="S56" s="114" t="s">
        <v>316</v>
      </c>
      <c r="T56" s="116"/>
      <c r="U56" s="116"/>
      <c r="V56" s="117">
        <v>0.3645833333333333</v>
      </c>
      <c r="W56" s="117">
        <v>0.4326388888888889</v>
      </c>
      <c r="X56" s="117">
        <v>0.38333333333333336</v>
      </c>
      <c r="Y56" s="117">
        <v>0.3854166666666667</v>
      </c>
      <c r="Z56" s="114" t="s">
        <v>316</v>
      </c>
      <c r="AA56" s="116"/>
      <c r="AB56" s="116"/>
      <c r="AC56" s="114" t="s">
        <v>271</v>
      </c>
      <c r="AD56" s="117">
        <v>0.375</v>
      </c>
      <c r="AE56" s="117">
        <v>0.3854166666666667</v>
      </c>
      <c r="AF56" s="147">
        <v>0.3902777777777778</v>
      </c>
      <c r="AG56" s="116"/>
      <c r="AH56" s="116"/>
    </row>
    <row r="57">
      <c r="A57" s="32"/>
      <c r="B57" s="191">
        <v>55.0</v>
      </c>
      <c r="C57" s="201" t="s">
        <v>397</v>
      </c>
      <c r="D57" s="22">
        <f t="shared" si="3"/>
        <v>6.409027778</v>
      </c>
      <c r="E57" s="114" t="s">
        <v>316</v>
      </c>
      <c r="F57" s="115"/>
      <c r="G57" s="25"/>
      <c r="H57" s="117">
        <v>0.3645833333333333</v>
      </c>
      <c r="I57" s="116">
        <v>0.3993055555555556</v>
      </c>
      <c r="J57" s="116">
        <v>0.4375</v>
      </c>
      <c r="K57" s="116">
        <v>0.4125</v>
      </c>
      <c r="L57" s="116">
        <v>0.25555555555555554</v>
      </c>
      <c r="M57" s="116"/>
      <c r="N57" s="25"/>
      <c r="O57" s="116">
        <v>0.38680555555555557</v>
      </c>
      <c r="P57" s="116">
        <v>0.4326388888888889</v>
      </c>
      <c r="Q57" s="116">
        <v>0.35833333333333334</v>
      </c>
      <c r="R57" s="114" t="s">
        <v>284</v>
      </c>
      <c r="S57" s="114" t="s">
        <v>316</v>
      </c>
      <c r="T57" s="116"/>
      <c r="U57" s="116"/>
      <c r="V57" s="116">
        <v>0.3902777777777778</v>
      </c>
      <c r="W57" s="116">
        <v>0.4895833333333333</v>
      </c>
      <c r="X57" s="116">
        <v>0.38333333333333336</v>
      </c>
      <c r="Y57" s="116">
        <v>0.4423611111111111</v>
      </c>
      <c r="Z57" s="116">
        <v>0.3375</v>
      </c>
      <c r="AA57" s="116"/>
      <c r="AB57" s="116"/>
      <c r="AC57" s="116">
        <v>0.38680555555555557</v>
      </c>
      <c r="AD57" s="116"/>
      <c r="AE57" s="116">
        <v>0.4756944444444444</v>
      </c>
      <c r="AF57" s="116">
        <v>0.45625</v>
      </c>
      <c r="AG57" s="116"/>
      <c r="AH57" s="116"/>
    </row>
    <row r="58">
      <c r="A58" s="193" t="s">
        <v>281</v>
      </c>
      <c r="B58" s="151">
        <v>56.0</v>
      </c>
      <c r="C58" s="198" t="s">
        <v>32</v>
      </c>
      <c r="D58" s="22">
        <f t="shared" si="3"/>
        <v>2.70625</v>
      </c>
      <c r="E58" s="114" t="s">
        <v>316</v>
      </c>
      <c r="F58" s="116"/>
      <c r="G58" s="25"/>
      <c r="H58" s="117">
        <v>0.3125</v>
      </c>
      <c r="I58" s="114" t="s">
        <v>316</v>
      </c>
      <c r="J58" s="116">
        <v>0.3701388888888889</v>
      </c>
      <c r="K58" s="117">
        <v>0.3680555555555556</v>
      </c>
      <c r="L58" s="114" t="s">
        <v>316</v>
      </c>
      <c r="M58" s="116"/>
      <c r="N58" s="25"/>
      <c r="O58" s="114" t="s">
        <v>271</v>
      </c>
      <c r="P58" s="117">
        <v>0.3298611111111111</v>
      </c>
      <c r="Q58" s="117">
        <v>0.3715277777777778</v>
      </c>
      <c r="R58" s="114" t="s">
        <v>284</v>
      </c>
      <c r="S58" s="114" t="s">
        <v>316</v>
      </c>
      <c r="T58" s="116"/>
      <c r="U58" s="116"/>
      <c r="V58" s="117">
        <v>0.3326388888888889</v>
      </c>
      <c r="W58" s="114" t="s">
        <v>316</v>
      </c>
      <c r="X58" s="117">
        <v>0.3333333333333333</v>
      </c>
      <c r="Y58" s="114" t="s">
        <v>316</v>
      </c>
      <c r="Z58" s="114" t="s">
        <v>316</v>
      </c>
      <c r="AA58" s="116"/>
      <c r="AB58" s="116"/>
      <c r="AC58" s="117">
        <v>0.2881944444444444</v>
      </c>
      <c r="AD58" s="114" t="s">
        <v>316</v>
      </c>
      <c r="AE58" s="116"/>
      <c r="AF58" s="116"/>
      <c r="AG58" s="116"/>
      <c r="AH58" s="116"/>
    </row>
    <row r="59">
      <c r="A59" s="166" t="s">
        <v>282</v>
      </c>
      <c r="B59" s="167">
        <v>57.0</v>
      </c>
      <c r="C59" s="206" t="s">
        <v>138</v>
      </c>
      <c r="D59" s="22">
        <f t="shared" si="3"/>
        <v>5.702777778</v>
      </c>
      <c r="E59" s="114" t="s">
        <v>316</v>
      </c>
      <c r="F59" s="115"/>
      <c r="G59" s="25"/>
      <c r="H59" s="116">
        <v>0.4215277777777778</v>
      </c>
      <c r="I59" s="116">
        <v>0.3375</v>
      </c>
      <c r="J59" s="116">
        <v>0.2923611111111111</v>
      </c>
      <c r="K59" s="116">
        <v>0.31527777777777777</v>
      </c>
      <c r="L59" s="116">
        <v>0.36736111111111114</v>
      </c>
      <c r="M59" s="116"/>
      <c r="N59" s="25"/>
      <c r="O59" s="116">
        <v>0.37569444444444444</v>
      </c>
      <c r="P59" s="117">
        <v>0.3819444444444444</v>
      </c>
      <c r="Q59" s="116">
        <v>0.3368055555555556</v>
      </c>
      <c r="R59" s="114" t="s">
        <v>284</v>
      </c>
      <c r="S59" s="114" t="s">
        <v>316</v>
      </c>
      <c r="T59" s="116"/>
      <c r="U59" s="116"/>
      <c r="V59" s="116">
        <v>0.3451388888888889</v>
      </c>
      <c r="W59" s="116">
        <v>0.2465277777777778</v>
      </c>
      <c r="X59" s="116">
        <v>0.3145833333333333</v>
      </c>
      <c r="Y59" s="116">
        <v>0.33958333333333335</v>
      </c>
      <c r="Z59" s="116">
        <v>0.36527777777777776</v>
      </c>
      <c r="AA59" s="116"/>
      <c r="AB59" s="116"/>
      <c r="AC59" s="116">
        <v>0.27291666666666664</v>
      </c>
      <c r="AD59" s="116">
        <v>0.3055555555555556</v>
      </c>
      <c r="AE59" s="116">
        <v>0.33402777777777776</v>
      </c>
      <c r="AF59" s="116">
        <v>0.3506944444444444</v>
      </c>
      <c r="AG59" s="116"/>
      <c r="AH59" s="116"/>
    </row>
    <row r="60">
      <c r="A60" s="32"/>
      <c r="B60" s="195">
        <v>58.0</v>
      </c>
      <c r="C60" s="206" t="s">
        <v>228</v>
      </c>
      <c r="D60" s="22">
        <f t="shared" si="3"/>
        <v>3.579166667</v>
      </c>
      <c r="E60" s="114" t="s">
        <v>316</v>
      </c>
      <c r="F60" s="115"/>
      <c r="G60" s="25"/>
      <c r="H60" s="116">
        <v>0.3416666666666667</v>
      </c>
      <c r="I60" s="114" t="s">
        <v>316</v>
      </c>
      <c r="J60" s="116">
        <v>0.35625</v>
      </c>
      <c r="K60" s="116">
        <v>0.3368055555555556</v>
      </c>
      <c r="L60" s="114" t="s">
        <v>316</v>
      </c>
      <c r="M60" s="116"/>
      <c r="N60" s="25"/>
      <c r="O60" s="116">
        <v>0.36319444444444443</v>
      </c>
      <c r="P60" s="116">
        <v>0.375</v>
      </c>
      <c r="Q60" s="114" t="s">
        <v>316</v>
      </c>
      <c r="R60" s="114" t="s">
        <v>284</v>
      </c>
      <c r="S60" s="114" t="s">
        <v>316</v>
      </c>
      <c r="T60" s="116"/>
      <c r="U60" s="116"/>
      <c r="V60" s="116">
        <v>0.36875</v>
      </c>
      <c r="W60" s="114" t="s">
        <v>269</v>
      </c>
      <c r="X60" s="116"/>
      <c r="Y60" s="116">
        <v>0.3451388888888889</v>
      </c>
      <c r="Z60" s="114" t="s">
        <v>316</v>
      </c>
      <c r="AA60" s="116"/>
      <c r="AB60" s="116"/>
      <c r="AC60" s="117">
        <v>0.3298611111111111</v>
      </c>
      <c r="AD60" s="114" t="s">
        <v>316</v>
      </c>
      <c r="AE60" s="117">
        <v>0.43819444444444444</v>
      </c>
      <c r="AF60" s="116">
        <v>0.32430555555555557</v>
      </c>
      <c r="AG60" s="116"/>
      <c r="AH60" s="116"/>
    </row>
    <row r="61">
      <c r="A61" s="32"/>
      <c r="B61" s="167">
        <v>59.0</v>
      </c>
      <c r="C61" s="206" t="s">
        <v>273</v>
      </c>
      <c r="D61" s="22">
        <f t="shared" si="3"/>
        <v>3.624305556</v>
      </c>
      <c r="E61" s="114" t="s">
        <v>316</v>
      </c>
      <c r="F61" s="115"/>
      <c r="G61" s="25"/>
      <c r="H61" s="116">
        <v>0.33611111111111114</v>
      </c>
      <c r="I61" s="116">
        <v>0.3138888888888889</v>
      </c>
      <c r="J61" s="116">
        <v>0.32430555555555557</v>
      </c>
      <c r="K61" s="114" t="s">
        <v>316</v>
      </c>
      <c r="L61" s="114" t="s">
        <v>316</v>
      </c>
      <c r="M61" s="116"/>
      <c r="N61" s="25"/>
      <c r="O61" s="116">
        <v>0.32222222222222224</v>
      </c>
      <c r="P61" s="116">
        <v>0.3326388888888889</v>
      </c>
      <c r="Q61" s="114" t="s">
        <v>316</v>
      </c>
      <c r="R61" s="114" t="s">
        <v>284</v>
      </c>
      <c r="S61" s="114" t="s">
        <v>316</v>
      </c>
      <c r="T61" s="116"/>
      <c r="U61" s="116"/>
      <c r="V61" s="116">
        <v>0.33611111111111114</v>
      </c>
      <c r="W61" s="116">
        <v>0.33819444444444446</v>
      </c>
      <c r="X61" s="147">
        <v>0.32222222222222224</v>
      </c>
      <c r="Y61" s="114" t="s">
        <v>316</v>
      </c>
      <c r="Z61" s="114" t="s">
        <v>316</v>
      </c>
      <c r="AA61" s="116"/>
      <c r="AB61" s="116"/>
      <c r="AC61" s="116">
        <v>0.3347222222222222</v>
      </c>
      <c r="AD61" s="116">
        <v>0.32916666666666666</v>
      </c>
      <c r="AE61" s="116">
        <v>0.3347222222222222</v>
      </c>
      <c r="AF61" s="114" t="s">
        <v>316</v>
      </c>
      <c r="AG61" s="116"/>
      <c r="AH61" s="116"/>
    </row>
    <row r="62">
      <c r="A62" s="32"/>
      <c r="B62" s="167">
        <v>60.0</v>
      </c>
      <c r="C62" s="206" t="s">
        <v>10</v>
      </c>
      <c r="D62" s="22">
        <f t="shared" si="3"/>
        <v>4.771527778</v>
      </c>
      <c r="E62" s="114" t="s">
        <v>316</v>
      </c>
      <c r="F62" s="115"/>
      <c r="G62" s="25"/>
      <c r="H62" s="117">
        <v>0.3333333333333333</v>
      </c>
      <c r="I62" s="117">
        <v>0.3645833333333333</v>
      </c>
      <c r="J62" s="117">
        <v>0.3819444444444444</v>
      </c>
      <c r="K62" s="117">
        <v>0.3263888888888889</v>
      </c>
      <c r="L62" s="114" t="s">
        <v>316</v>
      </c>
      <c r="M62" s="116"/>
      <c r="N62" s="25"/>
      <c r="O62" s="117">
        <v>0.2986111111111111</v>
      </c>
      <c r="P62" s="117">
        <v>0.3020833333333333</v>
      </c>
      <c r="Q62" s="117">
        <v>0.3645833333333333</v>
      </c>
      <c r="R62" s="114" t="s">
        <v>284</v>
      </c>
      <c r="S62" s="114" t="s">
        <v>316</v>
      </c>
      <c r="T62" s="116"/>
      <c r="U62" s="116"/>
      <c r="V62" s="117">
        <v>0.3298611111111111</v>
      </c>
      <c r="W62" s="117">
        <v>0.3229166666666667</v>
      </c>
      <c r="X62" s="117">
        <v>0.2708333333333333</v>
      </c>
      <c r="Y62" s="117">
        <v>0.2777777777777778</v>
      </c>
      <c r="Z62" s="114" t="s">
        <v>316</v>
      </c>
      <c r="AA62" s="116"/>
      <c r="AB62" s="116"/>
      <c r="AC62" s="117">
        <v>0.2708333333333333</v>
      </c>
      <c r="AD62" s="116">
        <v>0.38333333333333336</v>
      </c>
      <c r="AE62" s="117">
        <v>0.2604166666666667</v>
      </c>
      <c r="AF62" s="117">
        <v>0.28402777777777777</v>
      </c>
      <c r="AG62" s="116"/>
      <c r="AH62" s="116"/>
    </row>
    <row r="63">
      <c r="A63" s="32"/>
      <c r="B63" s="195">
        <v>61.0</v>
      </c>
      <c r="C63" s="206" t="s">
        <v>6</v>
      </c>
      <c r="D63" s="22">
        <f t="shared" si="3"/>
        <v>7.815277778</v>
      </c>
      <c r="E63" s="116">
        <v>0.42986111111111114</v>
      </c>
      <c r="F63" s="116"/>
      <c r="G63" s="25"/>
      <c r="H63" s="117">
        <v>0.4305555555555556</v>
      </c>
      <c r="I63" s="116">
        <v>0.42430555555555555</v>
      </c>
      <c r="J63" s="116">
        <v>0.42430555555555555</v>
      </c>
      <c r="K63" s="117">
        <v>0.4166666666666667</v>
      </c>
      <c r="L63" s="117">
        <v>0.4166666666666667</v>
      </c>
      <c r="M63" s="117">
        <v>0.3909722222222222</v>
      </c>
      <c r="N63" s="25"/>
      <c r="O63" s="147">
        <v>0.4375</v>
      </c>
      <c r="P63" s="116">
        <v>0.47152777777777777</v>
      </c>
      <c r="Q63" s="117">
        <v>0.4583333333333333</v>
      </c>
      <c r="R63" s="114" t="s">
        <v>284</v>
      </c>
      <c r="S63" s="114" t="s">
        <v>316</v>
      </c>
      <c r="T63" s="116"/>
      <c r="U63" s="116"/>
      <c r="V63" s="117">
        <v>0.4548611111111111</v>
      </c>
      <c r="W63" s="117">
        <v>0.3958333333333333</v>
      </c>
      <c r="X63" s="117">
        <v>0.4166666666666667</v>
      </c>
      <c r="Y63" s="117">
        <v>0.2708333333333333</v>
      </c>
      <c r="Z63" s="147">
        <v>0.375</v>
      </c>
      <c r="AA63" s="116"/>
      <c r="AB63" s="116"/>
      <c r="AC63" s="117">
        <v>0.375</v>
      </c>
      <c r="AD63" s="117">
        <v>0.3854166666666667</v>
      </c>
      <c r="AE63" s="117">
        <v>0.3854166666666667</v>
      </c>
      <c r="AF63" s="116">
        <v>0.45555555555555555</v>
      </c>
      <c r="AG63" s="116"/>
      <c r="AH63" s="116"/>
    </row>
    <row r="64">
      <c r="A64" s="32"/>
      <c r="B64" s="167">
        <v>62.0</v>
      </c>
      <c r="C64" s="206" t="s">
        <v>75</v>
      </c>
      <c r="D64" s="22">
        <f t="shared" si="3"/>
        <v>3.763194444</v>
      </c>
      <c r="E64" s="114" t="s">
        <v>316</v>
      </c>
      <c r="F64" s="115"/>
      <c r="G64" s="25"/>
      <c r="H64" s="147">
        <v>0.3125</v>
      </c>
      <c r="I64" s="116">
        <v>0.3090277777777778</v>
      </c>
      <c r="J64" s="116">
        <v>0.3277777777777778</v>
      </c>
      <c r="K64" s="116">
        <v>0.2777777777777778</v>
      </c>
      <c r="L64" s="114" t="s">
        <v>316</v>
      </c>
      <c r="M64" s="116"/>
      <c r="N64" s="25"/>
      <c r="O64" s="114" t="s">
        <v>316</v>
      </c>
      <c r="P64" s="116">
        <v>0.27708333333333335</v>
      </c>
      <c r="Q64" s="114" t="s">
        <v>316</v>
      </c>
      <c r="R64" s="114" t="s">
        <v>284</v>
      </c>
      <c r="S64" s="114" t="s">
        <v>316</v>
      </c>
      <c r="T64" s="116"/>
      <c r="U64" s="116"/>
      <c r="V64" s="116">
        <v>0.2590277777777778</v>
      </c>
      <c r="W64" s="116">
        <v>0.27847222222222223</v>
      </c>
      <c r="X64" s="116">
        <v>0.2875</v>
      </c>
      <c r="Y64" s="116">
        <v>0.30277777777777776</v>
      </c>
      <c r="Z64" s="114" t="s">
        <v>316</v>
      </c>
      <c r="AA64" s="116"/>
      <c r="AB64" s="116"/>
      <c r="AC64" s="116">
        <v>0.28680555555555554</v>
      </c>
      <c r="AD64" s="116">
        <v>0.2847222222222222</v>
      </c>
      <c r="AE64" s="116">
        <v>0.29791666666666666</v>
      </c>
      <c r="AF64" s="116">
        <v>0.26180555555555557</v>
      </c>
      <c r="AG64" s="116"/>
      <c r="AH64" s="116"/>
    </row>
    <row r="65">
      <c r="A65" s="32"/>
      <c r="B65" s="167">
        <v>63.0</v>
      </c>
      <c r="C65" s="206" t="s">
        <v>120</v>
      </c>
      <c r="D65" s="22">
        <f t="shared" si="3"/>
        <v>6.683333333</v>
      </c>
      <c r="E65" s="117">
        <v>0.4305555555555556</v>
      </c>
      <c r="F65" s="114" t="s">
        <v>284</v>
      </c>
      <c r="G65" s="26" t="s">
        <v>284</v>
      </c>
      <c r="H65" s="117">
        <v>0.3645833333333333</v>
      </c>
      <c r="I65" s="117">
        <v>0.4215277777777778</v>
      </c>
      <c r="J65" s="117">
        <v>0.37083333333333335</v>
      </c>
      <c r="K65" s="117">
        <v>0.34097222222222223</v>
      </c>
      <c r="L65" s="117">
        <v>0.3472222222222222</v>
      </c>
      <c r="M65" s="114" t="s">
        <v>284</v>
      </c>
      <c r="N65" s="26" t="s">
        <v>284</v>
      </c>
      <c r="O65" s="117">
        <v>0.3375</v>
      </c>
      <c r="P65" s="117">
        <v>0.34097222222222223</v>
      </c>
      <c r="Q65" s="117">
        <v>0.3638888888888889</v>
      </c>
      <c r="R65" s="114" t="s">
        <v>284</v>
      </c>
      <c r="S65" s="116">
        <v>0.3951388888888889</v>
      </c>
      <c r="T65" s="114" t="s">
        <v>284</v>
      </c>
      <c r="U65" s="114" t="s">
        <v>284</v>
      </c>
      <c r="V65" s="116">
        <v>0.36180555555555555</v>
      </c>
      <c r="W65" s="117">
        <v>0.37222222222222223</v>
      </c>
      <c r="X65" s="116">
        <v>0.3611111111111111</v>
      </c>
      <c r="Y65" s="117">
        <v>0.3625</v>
      </c>
      <c r="Z65" s="147">
        <v>0.3715277777777778</v>
      </c>
      <c r="AA65" s="114"/>
      <c r="AB65" s="114"/>
      <c r="AC65" s="117">
        <v>0.3736111111111111</v>
      </c>
      <c r="AD65" s="117">
        <v>0.37569444444444444</v>
      </c>
      <c r="AE65" s="116"/>
      <c r="AF65" s="116">
        <v>0.39166666666666666</v>
      </c>
      <c r="AG65" s="116"/>
      <c r="AH65" s="116"/>
    </row>
    <row r="66">
      <c r="A66" s="32"/>
      <c r="B66" s="195">
        <v>64.0</v>
      </c>
      <c r="C66" s="207" t="s">
        <v>123</v>
      </c>
      <c r="D66" s="22">
        <f t="shared" si="3"/>
        <v>7.859027778</v>
      </c>
      <c r="E66" s="116">
        <v>0.3854166666666667</v>
      </c>
      <c r="F66" s="117">
        <v>0.35</v>
      </c>
      <c r="G66" s="23">
        <v>0.35</v>
      </c>
      <c r="H66" s="117">
        <v>0.3888888888888889</v>
      </c>
      <c r="I66" s="116">
        <v>0.36736111111111114</v>
      </c>
      <c r="J66" s="116">
        <v>0.38680555555555557</v>
      </c>
      <c r="K66" s="116">
        <v>0.41875</v>
      </c>
      <c r="L66" s="116">
        <v>0.35</v>
      </c>
      <c r="M66" s="114" t="s">
        <v>284</v>
      </c>
      <c r="N66" s="26" t="s">
        <v>284</v>
      </c>
      <c r="O66" s="116">
        <v>0.4097222222222222</v>
      </c>
      <c r="P66" s="116">
        <v>0.38472222222222224</v>
      </c>
      <c r="Q66" s="116">
        <v>0.30972222222222223</v>
      </c>
      <c r="R66" s="114" t="s">
        <v>284</v>
      </c>
      <c r="S66" s="116">
        <v>0.3951388888888889</v>
      </c>
      <c r="T66" s="116"/>
      <c r="U66" s="116"/>
      <c r="V66" s="116">
        <v>0.3798611111111111</v>
      </c>
      <c r="W66" s="116">
        <v>0.36875</v>
      </c>
      <c r="X66" s="116">
        <v>0.37083333333333335</v>
      </c>
      <c r="Y66" s="116">
        <v>0.37222222222222223</v>
      </c>
      <c r="Z66" s="116">
        <v>0.35625</v>
      </c>
      <c r="AA66" s="116"/>
      <c r="AB66" s="116"/>
      <c r="AC66" s="116">
        <v>0.3784722222222222</v>
      </c>
      <c r="AD66" s="116">
        <v>0.3729166666666667</v>
      </c>
      <c r="AE66" s="116">
        <v>0.3611111111111111</v>
      </c>
      <c r="AF66" s="116">
        <v>0.40208333333333335</v>
      </c>
      <c r="AG66" s="116"/>
      <c r="AH66" s="116"/>
    </row>
    <row r="67">
      <c r="A67" s="32"/>
      <c r="B67" s="167">
        <v>65.0</v>
      </c>
      <c r="C67" s="206" t="s">
        <v>111</v>
      </c>
      <c r="D67" s="22">
        <f t="shared" si="3"/>
        <v>7.8</v>
      </c>
      <c r="E67" s="116">
        <v>0.43125</v>
      </c>
      <c r="F67" s="117">
        <v>0.4236111111111111</v>
      </c>
      <c r="G67" s="26" t="s">
        <v>284</v>
      </c>
      <c r="H67" s="116">
        <v>0.42291666666666666</v>
      </c>
      <c r="I67" s="114" t="s">
        <v>284</v>
      </c>
      <c r="J67" s="114" t="s">
        <v>284</v>
      </c>
      <c r="K67" s="116">
        <v>0.35</v>
      </c>
      <c r="L67" s="116">
        <v>0.3472222222222222</v>
      </c>
      <c r="M67" s="117">
        <v>0.3486111111111111</v>
      </c>
      <c r="N67" s="26" t="s">
        <v>284</v>
      </c>
      <c r="O67" s="116">
        <v>0.4</v>
      </c>
      <c r="P67" s="116">
        <v>0.36944444444444446</v>
      </c>
      <c r="Q67" s="116">
        <v>0.3402777777777778</v>
      </c>
      <c r="R67" s="114" t="s">
        <v>284</v>
      </c>
      <c r="S67" s="116">
        <v>0.46944444444444444</v>
      </c>
      <c r="T67" s="117">
        <v>0.3104166666666667</v>
      </c>
      <c r="U67" s="114" t="s">
        <v>284</v>
      </c>
      <c r="V67" s="116">
        <v>0.3659722222222222</v>
      </c>
      <c r="W67" s="116">
        <v>0.3458333333333333</v>
      </c>
      <c r="X67" s="116">
        <v>0.32430555555555557</v>
      </c>
      <c r="Y67" s="116">
        <v>0.35625</v>
      </c>
      <c r="Z67" s="116">
        <v>0.34791666666666665</v>
      </c>
      <c r="AA67" s="117">
        <v>0.3909722222222222</v>
      </c>
      <c r="AB67" s="114"/>
      <c r="AC67" s="116">
        <v>0.3909722222222222</v>
      </c>
      <c r="AD67" s="116">
        <v>0.36319444444444443</v>
      </c>
      <c r="AE67" s="116">
        <v>0.3402777777777778</v>
      </c>
      <c r="AF67" s="116">
        <v>0.3611111111111111</v>
      </c>
      <c r="AG67" s="116"/>
      <c r="AH67" s="116"/>
    </row>
    <row r="68">
      <c r="A68" s="32"/>
      <c r="B68" s="167">
        <v>66.0</v>
      </c>
      <c r="C68" s="207" t="s">
        <v>114</v>
      </c>
      <c r="D68" s="22">
        <f t="shared" si="3"/>
        <v>7.031944444</v>
      </c>
      <c r="E68" s="117">
        <v>0.35694444444444445</v>
      </c>
      <c r="F68" s="114" t="s">
        <v>284</v>
      </c>
      <c r="G68" s="23">
        <v>0.4270833333333333</v>
      </c>
      <c r="H68" s="116">
        <v>0.3736111111111111</v>
      </c>
      <c r="I68" s="116">
        <v>0.37083333333333335</v>
      </c>
      <c r="J68" s="116">
        <v>0.4756944444444444</v>
      </c>
      <c r="K68" s="114" t="s">
        <v>284</v>
      </c>
      <c r="L68" s="147">
        <v>0.3402777777777778</v>
      </c>
      <c r="M68" s="114" t="s">
        <v>284</v>
      </c>
      <c r="N68" s="159">
        <v>0.3125</v>
      </c>
      <c r="O68" s="117">
        <v>0.3541666666666667</v>
      </c>
      <c r="P68" s="117">
        <v>0.3645833333333333</v>
      </c>
      <c r="Q68" s="116">
        <v>0.3451388888888889</v>
      </c>
      <c r="R68" s="114" t="s">
        <v>284</v>
      </c>
      <c r="S68" s="117">
        <v>0.2986111111111111</v>
      </c>
      <c r="T68" s="114" t="s">
        <v>284</v>
      </c>
      <c r="U68" s="117">
        <v>0.3020833333333333</v>
      </c>
      <c r="V68" s="116">
        <v>0.3638888888888889</v>
      </c>
      <c r="W68" s="116">
        <v>0.33055555555555555</v>
      </c>
      <c r="X68" s="116">
        <v>0.30486111111111114</v>
      </c>
      <c r="Y68" s="116">
        <v>0.30625</v>
      </c>
      <c r="Z68" s="117">
        <v>0.3298611111111111</v>
      </c>
      <c r="AA68" s="114"/>
      <c r="AB68" s="114"/>
      <c r="AC68" s="114"/>
      <c r="AD68" s="116">
        <v>0.3715277777777778</v>
      </c>
      <c r="AE68" s="116">
        <v>0.36666666666666664</v>
      </c>
      <c r="AF68" s="116">
        <v>0.3368055555555556</v>
      </c>
      <c r="AG68" s="116"/>
      <c r="AH68" s="116"/>
    </row>
    <row r="69">
      <c r="A69" s="32"/>
      <c r="B69" s="195">
        <v>67.0</v>
      </c>
      <c r="C69" s="207" t="s">
        <v>129</v>
      </c>
      <c r="D69" s="22">
        <f t="shared" si="3"/>
        <v>5.459722222</v>
      </c>
      <c r="E69" s="116">
        <v>0.34375</v>
      </c>
      <c r="F69" s="117">
        <v>0.3229166666666667</v>
      </c>
      <c r="G69" s="23">
        <v>0.36319444444444443</v>
      </c>
      <c r="H69" s="114" t="s">
        <v>284</v>
      </c>
      <c r="I69" s="116">
        <v>0.35138888888888886</v>
      </c>
      <c r="J69" s="116">
        <v>0.3472222222222222</v>
      </c>
      <c r="K69" s="116">
        <v>0.3486111111111111</v>
      </c>
      <c r="L69" s="116">
        <v>0.34791666666666665</v>
      </c>
      <c r="M69" s="117">
        <v>0.275</v>
      </c>
      <c r="N69" s="23">
        <v>0.3451388888888889</v>
      </c>
      <c r="O69" s="116">
        <v>0.34930555555555554</v>
      </c>
      <c r="P69" s="114" t="s">
        <v>284</v>
      </c>
      <c r="Q69" s="116">
        <v>0.35</v>
      </c>
      <c r="R69" s="117">
        <v>0.3451388888888889</v>
      </c>
      <c r="S69" s="116">
        <v>0.3506944444444444</v>
      </c>
      <c r="T69" s="117">
        <v>0.32013888888888886</v>
      </c>
      <c r="U69" s="117">
        <v>0.35694444444444445</v>
      </c>
      <c r="V69" s="116">
        <v>0.3423611111111111</v>
      </c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</row>
    <row r="70">
      <c r="A70" s="32"/>
      <c r="B70" s="167">
        <v>68.0</v>
      </c>
      <c r="C70" s="206" t="s">
        <v>126</v>
      </c>
      <c r="D70" s="22">
        <f t="shared" si="3"/>
        <v>13.06111111</v>
      </c>
      <c r="E70" s="116">
        <v>0.4875</v>
      </c>
      <c r="F70" s="117">
        <v>0.5020833333333333</v>
      </c>
      <c r="G70" s="23">
        <v>0.5354166666666667</v>
      </c>
      <c r="H70" s="116">
        <v>0.5083333333333333</v>
      </c>
      <c r="I70" s="116">
        <v>0.6548611111111111</v>
      </c>
      <c r="J70" s="117">
        <v>0.3541666666666667</v>
      </c>
      <c r="K70" s="116">
        <v>0.5361111111111111</v>
      </c>
      <c r="L70" s="116">
        <v>0.49236111111111114</v>
      </c>
      <c r="M70" s="147">
        <v>0.4861111111111111</v>
      </c>
      <c r="N70" s="23">
        <v>0.525</v>
      </c>
      <c r="O70" s="114" t="s">
        <v>284</v>
      </c>
      <c r="P70" s="116">
        <v>0.36041666666666666</v>
      </c>
      <c r="Q70" s="116">
        <v>0.59375</v>
      </c>
      <c r="R70" s="117">
        <v>0.42986111111111114</v>
      </c>
      <c r="S70" s="116">
        <v>0.4263888888888889</v>
      </c>
      <c r="T70" s="117">
        <v>0.6743055555555556</v>
      </c>
      <c r="U70" s="117">
        <v>0.4583333333333333</v>
      </c>
      <c r="V70" s="116">
        <v>0.475</v>
      </c>
      <c r="W70" s="116">
        <v>0.42986111111111114</v>
      </c>
      <c r="X70" s="117">
        <v>0.38819444444444445</v>
      </c>
      <c r="Y70" s="116">
        <v>0.46111111111111114</v>
      </c>
      <c r="Z70" s="116">
        <v>0.50625</v>
      </c>
      <c r="AA70" s="117">
        <v>0.4638888888888889</v>
      </c>
      <c r="AB70" s="117">
        <v>0.5</v>
      </c>
      <c r="AC70" s="116">
        <v>0.4354166666666667</v>
      </c>
      <c r="AD70" s="116">
        <v>0.4965277777777778</v>
      </c>
      <c r="AE70" s="116">
        <v>0.4666666666666667</v>
      </c>
      <c r="AF70" s="116">
        <v>0.4131944444444444</v>
      </c>
      <c r="AG70" s="116"/>
      <c r="AH70" s="116"/>
    </row>
    <row r="71">
      <c r="A71" s="32"/>
      <c r="B71" s="167">
        <v>69.0</v>
      </c>
      <c r="C71" s="206" t="s">
        <v>287</v>
      </c>
      <c r="D71" s="22">
        <f t="shared" si="3"/>
        <v>9.35625</v>
      </c>
      <c r="E71" s="116">
        <v>0.3888888888888889</v>
      </c>
      <c r="F71" s="117">
        <v>0.3736111111111111</v>
      </c>
      <c r="G71" s="23">
        <v>0.3645833333333333</v>
      </c>
      <c r="H71" s="116">
        <v>0.34097222222222223</v>
      </c>
      <c r="I71" s="116">
        <v>0.3958333333333333</v>
      </c>
      <c r="J71" s="116">
        <v>0.42291666666666666</v>
      </c>
      <c r="K71" s="114" t="s">
        <v>284</v>
      </c>
      <c r="L71" s="116">
        <v>0.38958333333333334</v>
      </c>
      <c r="M71" s="147">
        <v>0.4173611111111111</v>
      </c>
      <c r="N71" s="23">
        <v>0.3888888888888889</v>
      </c>
      <c r="O71" s="116">
        <v>0.375</v>
      </c>
      <c r="P71" s="116">
        <v>0.36944444444444446</v>
      </c>
      <c r="Q71" s="116">
        <v>0.4263888888888889</v>
      </c>
      <c r="R71" s="114" t="s">
        <v>284</v>
      </c>
      <c r="S71" s="116">
        <v>0.36527777777777776</v>
      </c>
      <c r="T71" s="117">
        <v>0.37222222222222223</v>
      </c>
      <c r="U71" s="117">
        <v>0.37430555555555556</v>
      </c>
      <c r="V71" s="116">
        <v>0.38055555555555554</v>
      </c>
      <c r="W71" s="116">
        <v>0.36527777777777776</v>
      </c>
      <c r="X71" s="116">
        <v>0.30833333333333335</v>
      </c>
      <c r="Y71" s="114" t="s">
        <v>284</v>
      </c>
      <c r="Z71" s="116">
        <v>0.38125</v>
      </c>
      <c r="AA71" s="117">
        <v>0.34375</v>
      </c>
      <c r="AB71" s="117">
        <v>0.3423611111111111</v>
      </c>
      <c r="AC71" s="147">
        <v>0.3298611111111111</v>
      </c>
      <c r="AD71" s="116">
        <v>0.41388888888888886</v>
      </c>
      <c r="AE71" s="116">
        <v>0.3840277777777778</v>
      </c>
      <c r="AF71" s="116">
        <v>0.3416666666666667</v>
      </c>
      <c r="AG71" s="116"/>
      <c r="AH71" s="116"/>
    </row>
    <row r="72">
      <c r="A72" s="32"/>
      <c r="B72" s="195">
        <v>70.0</v>
      </c>
      <c r="C72" s="208" t="s">
        <v>162</v>
      </c>
      <c r="D72" s="22">
        <f t="shared" si="3"/>
        <v>8.825694444</v>
      </c>
      <c r="E72" s="116">
        <v>0.3902777777777778</v>
      </c>
      <c r="F72" s="117">
        <v>0.3541666666666667</v>
      </c>
      <c r="G72" s="26" t="s">
        <v>284</v>
      </c>
      <c r="H72" s="116">
        <v>0.41805555555555557</v>
      </c>
      <c r="I72" s="116">
        <v>0.4236111111111111</v>
      </c>
      <c r="J72" s="116">
        <v>0.4236111111111111</v>
      </c>
      <c r="K72" s="117">
        <v>0.3541666666666667</v>
      </c>
      <c r="L72" s="117">
        <v>0.3645833333333333</v>
      </c>
      <c r="M72" s="117">
        <v>0.2708333333333333</v>
      </c>
      <c r="N72" s="26" t="s">
        <v>284</v>
      </c>
      <c r="O72" s="116">
        <v>0.43819444444444444</v>
      </c>
      <c r="P72" s="116">
        <v>0.4708333333333333</v>
      </c>
      <c r="Q72" s="117">
        <v>0.375</v>
      </c>
      <c r="R72" s="114" t="s">
        <v>284</v>
      </c>
      <c r="S72" s="117">
        <v>0.3854166666666667</v>
      </c>
      <c r="T72" s="117">
        <v>0.3263888888888889</v>
      </c>
      <c r="U72" s="117">
        <v>0.3298611111111111</v>
      </c>
      <c r="V72" s="117">
        <v>0.39791666666666664</v>
      </c>
      <c r="W72" s="117">
        <v>0.40625</v>
      </c>
      <c r="X72" s="116">
        <v>0.38263888888888886</v>
      </c>
      <c r="Y72" s="114" t="s">
        <v>284</v>
      </c>
      <c r="Z72" s="117">
        <v>0.35555555555555557</v>
      </c>
      <c r="AA72" s="117">
        <v>0.375</v>
      </c>
      <c r="AB72" s="117">
        <v>0.3298611111111111</v>
      </c>
      <c r="AC72" s="117">
        <v>0.41388888888888886</v>
      </c>
      <c r="AD72" s="117">
        <v>0.3840277777777778</v>
      </c>
      <c r="AE72" s="116"/>
      <c r="AF72" s="116">
        <v>0.45555555555555555</v>
      </c>
      <c r="AG72" s="116"/>
      <c r="AH72" s="116"/>
    </row>
    <row r="73">
      <c r="A73" s="32"/>
      <c r="B73" s="209">
        <v>71.0</v>
      </c>
      <c r="C73" s="210" t="s">
        <v>38</v>
      </c>
      <c r="D73" s="211" t="str">
        <f t="shared" si="3"/>
        <v>#N/A</v>
      </c>
      <c r="E73" s="212">
        <v>0.40208333333333335</v>
      </c>
      <c r="F73" s="212"/>
      <c r="G73" s="212"/>
      <c r="H73" s="212">
        <v>0.3798611111111111</v>
      </c>
      <c r="I73" s="212">
        <v>0.42569444444444443</v>
      </c>
      <c r="J73" s="212">
        <v>0.38263888888888886</v>
      </c>
      <c r="K73" s="212">
        <v>0.4013888888888889</v>
      </c>
      <c r="L73" s="212">
        <v>0.3888888888888889</v>
      </c>
      <c r="M73" s="213">
        <v>0.43125</v>
      </c>
      <c r="N73" s="213">
        <v>0.3548611111111111</v>
      </c>
      <c r="O73" s="212">
        <v>0.39305555555555555</v>
      </c>
      <c r="P73" s="212">
        <v>0.34930555555555554</v>
      </c>
      <c r="Q73" s="212" t="e">
        <v>#N/A</v>
      </c>
      <c r="R73" s="214" t="s">
        <v>284</v>
      </c>
      <c r="S73" s="212" t="e">
        <v>#N/A</v>
      </c>
      <c r="T73" s="212"/>
      <c r="U73" s="212"/>
      <c r="V73" s="212" t="e">
        <v>#N/A</v>
      </c>
      <c r="W73" s="212" t="e">
        <v>#N/A</v>
      </c>
      <c r="X73" s="212" t="e">
        <v>#N/A</v>
      </c>
      <c r="Y73" s="212" t="e">
        <v>#N/A</v>
      </c>
      <c r="Z73" s="212" t="e">
        <v>#N/A</v>
      </c>
      <c r="AA73" s="212"/>
      <c r="AB73" s="212"/>
      <c r="AC73" s="212" t="e">
        <v>#N/A</v>
      </c>
      <c r="AD73" s="212" t="e">
        <v>#N/A</v>
      </c>
      <c r="AE73" s="116" t="e">
        <v>#N/A</v>
      </c>
      <c r="AF73" s="116" t="e">
        <v>#N/A</v>
      </c>
      <c r="AG73" s="116"/>
      <c r="AH73" s="212"/>
    </row>
    <row r="74">
      <c r="A74" s="32"/>
      <c r="B74" s="167">
        <v>72.0</v>
      </c>
      <c r="C74" s="206" t="s">
        <v>117</v>
      </c>
      <c r="D74" s="22">
        <f t="shared" si="3"/>
        <v>6.154166667</v>
      </c>
      <c r="E74" s="116">
        <f>VLOOKUP($C:$C,Data!$D:$P,13,false)</f>
        <v>0.4180555556</v>
      </c>
      <c r="F74" s="114"/>
      <c r="G74" s="26"/>
      <c r="H74" s="147">
        <v>0.3715277777777778</v>
      </c>
      <c r="I74" s="117">
        <v>0.3638888888888889</v>
      </c>
      <c r="J74" s="117">
        <v>0.375</v>
      </c>
      <c r="K74" s="117">
        <v>0.3541666666666667</v>
      </c>
      <c r="L74" s="117">
        <v>0.38958333333333334</v>
      </c>
      <c r="M74" s="114" t="s">
        <v>284</v>
      </c>
      <c r="N74" s="26" t="s">
        <v>284</v>
      </c>
      <c r="O74" s="117">
        <v>0.36041666666666666</v>
      </c>
      <c r="P74" s="117">
        <v>0.3506944444444444</v>
      </c>
      <c r="Q74" s="117">
        <v>0.36944444444444446</v>
      </c>
      <c r="R74" s="114" t="s">
        <v>284</v>
      </c>
      <c r="S74" s="116">
        <v>0.17916666666666667</v>
      </c>
      <c r="T74" s="116"/>
      <c r="U74" s="116"/>
      <c r="V74" s="116">
        <v>0.39861111111111114</v>
      </c>
      <c r="W74" s="116">
        <v>0.41041666666666665</v>
      </c>
      <c r="X74" s="116"/>
      <c r="Y74" s="116">
        <v>0.38472222222222224</v>
      </c>
      <c r="Z74" s="116">
        <v>0.29930555555555555</v>
      </c>
      <c r="AA74" s="114"/>
      <c r="AB74" s="114"/>
      <c r="AC74" s="147">
        <v>0.37430555555555556</v>
      </c>
      <c r="AD74" s="116">
        <v>0.39375</v>
      </c>
      <c r="AE74" s="116">
        <v>0.3611111111111111</v>
      </c>
      <c r="AF74" s="116"/>
      <c r="AG74" s="116"/>
      <c r="AH74" s="116"/>
    </row>
    <row r="75">
      <c r="A75" s="32"/>
      <c r="B75" s="195">
        <v>73.0</v>
      </c>
      <c r="C75" s="206" t="s">
        <v>237</v>
      </c>
      <c r="D75" s="22" t="str">
        <f t="shared" si="3"/>
        <v>#N/A</v>
      </c>
      <c r="E75" s="147">
        <v>0.3541666666666667</v>
      </c>
      <c r="F75" s="114" t="e">
        <v>#N/A</v>
      </c>
      <c r="G75" s="23">
        <v>0.3770833333333333</v>
      </c>
      <c r="H75" s="116">
        <v>0.33611111111111114</v>
      </c>
      <c r="I75" s="114" t="e">
        <v>#N/A</v>
      </c>
      <c r="J75" s="114" t="e">
        <v>#N/A</v>
      </c>
      <c r="K75" s="116">
        <v>0.3298611111111111</v>
      </c>
      <c r="L75" s="116">
        <v>0.33402777777777776</v>
      </c>
      <c r="M75" s="114" t="s">
        <v>284</v>
      </c>
      <c r="N75" s="23">
        <v>0.3298611111111111</v>
      </c>
      <c r="O75" s="117">
        <v>0.35625</v>
      </c>
      <c r="P75" s="116">
        <v>0.35347222222222224</v>
      </c>
      <c r="Q75" s="114" t="s">
        <v>284</v>
      </c>
      <c r="R75" s="117">
        <v>0.3194444444444444</v>
      </c>
      <c r="S75" s="117">
        <v>0.3145833333333333</v>
      </c>
      <c r="T75" s="117">
        <v>0.33611111111111114</v>
      </c>
      <c r="U75" s="117">
        <v>0.3229166666666667</v>
      </c>
      <c r="V75" s="114" t="s">
        <v>284</v>
      </c>
      <c r="W75" s="117">
        <v>0.3298611111111111</v>
      </c>
      <c r="X75" s="116">
        <v>0.3423611111111111</v>
      </c>
      <c r="Y75" s="117">
        <v>0.3645833333333333</v>
      </c>
      <c r="Z75" s="116">
        <v>0.3236111111111111</v>
      </c>
      <c r="AA75" s="117">
        <v>0.33402777777777776</v>
      </c>
      <c r="AB75" s="117">
        <v>0.33125</v>
      </c>
      <c r="AC75" s="114"/>
      <c r="AD75" s="116">
        <v>0.3013888888888889</v>
      </c>
      <c r="AE75" s="116" t="e">
        <v>#N/A</v>
      </c>
      <c r="AF75" s="116" t="e">
        <v>#N/A</v>
      </c>
      <c r="AG75" s="116"/>
      <c r="AH75" s="116"/>
    </row>
    <row r="76">
      <c r="A76" s="15"/>
      <c r="B76" s="167">
        <v>74.0</v>
      </c>
      <c r="C76" s="206" t="s">
        <v>288</v>
      </c>
      <c r="D76" s="22" t="str">
        <f t="shared" si="3"/>
        <v>#N/A</v>
      </c>
      <c r="E76" s="215" t="e">
        <v>#N/A</v>
      </c>
      <c r="F76" s="216">
        <v>0.3298611111111111</v>
      </c>
      <c r="G76" s="217">
        <v>0.3263888888888889</v>
      </c>
      <c r="H76" s="117">
        <v>0.3611111111111111</v>
      </c>
      <c r="I76" s="117">
        <v>0.3645833333333333</v>
      </c>
      <c r="J76" s="117">
        <v>0.3229166666666667</v>
      </c>
      <c r="K76" s="117">
        <v>0.3215277777777778</v>
      </c>
      <c r="L76" s="114" t="s">
        <v>284</v>
      </c>
      <c r="M76" s="117">
        <v>0.2881944444444444</v>
      </c>
      <c r="N76" s="23">
        <v>0.3138888888888889</v>
      </c>
      <c r="O76" s="117">
        <v>0.3638888888888889</v>
      </c>
      <c r="P76" s="117">
        <v>0.29305555555555557</v>
      </c>
      <c r="Q76" s="117">
        <v>0.2965277777777778</v>
      </c>
      <c r="R76" s="117">
        <v>0.3402777777777778</v>
      </c>
      <c r="S76" s="114" t="s">
        <v>284</v>
      </c>
      <c r="T76" s="117">
        <v>0.32708333333333334</v>
      </c>
      <c r="U76" s="117">
        <v>0.2881944444444444</v>
      </c>
      <c r="V76" s="117">
        <v>0.33402777777777776</v>
      </c>
      <c r="W76" s="117">
        <v>0.3375</v>
      </c>
      <c r="X76" s="117">
        <v>0.3145833333333333</v>
      </c>
      <c r="Y76" s="147">
        <v>0.31666666666666665</v>
      </c>
      <c r="Z76" s="114" t="e">
        <v>#N/A</v>
      </c>
      <c r="AA76" s="117">
        <v>0.32222222222222224</v>
      </c>
      <c r="AB76" s="117">
        <v>0.29097222222222224</v>
      </c>
      <c r="AC76" s="117">
        <v>0.3506944444444444</v>
      </c>
      <c r="AD76" s="147">
        <v>0.3402777777777778</v>
      </c>
      <c r="AE76" s="116">
        <v>0.0</v>
      </c>
      <c r="AF76" s="116"/>
      <c r="AG76" s="116"/>
      <c r="AH76" s="116"/>
    </row>
    <row r="77">
      <c r="E77" s="65"/>
    </row>
    <row r="78">
      <c r="E78" s="65"/>
    </row>
    <row r="79">
      <c r="E79" s="65"/>
    </row>
    <row r="80">
      <c r="E80" s="65"/>
    </row>
    <row r="81">
      <c r="E81" s="65"/>
    </row>
    <row r="82">
      <c r="E82" s="65"/>
    </row>
    <row r="83">
      <c r="E83" s="65"/>
    </row>
    <row r="84">
      <c r="E84" s="65"/>
    </row>
    <row r="85">
      <c r="E85" s="65"/>
    </row>
    <row r="86">
      <c r="E86" s="65"/>
    </row>
    <row r="98">
      <c r="E98" s="65"/>
    </row>
    <row r="99">
      <c r="E99" s="65"/>
    </row>
    <row r="100">
      <c r="E100" s="65"/>
    </row>
    <row r="101">
      <c r="E101" s="65"/>
    </row>
    <row r="102">
      <c r="E102" s="65"/>
    </row>
    <row r="103">
      <c r="E103" s="65"/>
    </row>
    <row r="104">
      <c r="E104" s="65"/>
    </row>
    <row r="105">
      <c r="E105" s="65"/>
    </row>
    <row r="106">
      <c r="E106" s="65"/>
    </row>
    <row r="107">
      <c r="E107" s="65"/>
    </row>
    <row r="108">
      <c r="E108" s="65"/>
    </row>
    <row r="109">
      <c r="E109" s="65"/>
    </row>
    <row r="110">
      <c r="E110" s="65"/>
    </row>
    <row r="111">
      <c r="E111" s="65"/>
    </row>
    <row r="112">
      <c r="E112" s="65"/>
    </row>
    <row r="113">
      <c r="E113" s="65"/>
    </row>
    <row r="114">
      <c r="E114" s="65"/>
    </row>
    <row r="115">
      <c r="E115" s="65"/>
    </row>
    <row r="116">
      <c r="E116" s="65"/>
    </row>
    <row r="117">
      <c r="E117" s="65"/>
    </row>
    <row r="118">
      <c r="E118" s="65"/>
    </row>
    <row r="119">
      <c r="E119" s="65"/>
    </row>
    <row r="120">
      <c r="E120" s="65"/>
    </row>
    <row r="121">
      <c r="E121" s="65"/>
    </row>
    <row r="122">
      <c r="E122" s="65"/>
    </row>
    <row r="123">
      <c r="E123" s="65"/>
    </row>
    <row r="124">
      <c r="E124" s="65"/>
    </row>
    <row r="125">
      <c r="E125" s="65"/>
    </row>
    <row r="126">
      <c r="E126" s="65"/>
    </row>
    <row r="127">
      <c r="E127" s="65"/>
    </row>
    <row r="128">
      <c r="E128" s="65"/>
    </row>
    <row r="129">
      <c r="E129" s="65"/>
    </row>
    <row r="130">
      <c r="E130" s="65"/>
    </row>
    <row r="131">
      <c r="E131" s="65"/>
    </row>
    <row r="132">
      <c r="E132" s="65"/>
    </row>
    <row r="133">
      <c r="E133" s="65"/>
    </row>
    <row r="134">
      <c r="E134" s="65"/>
    </row>
    <row r="135">
      <c r="E135" s="65"/>
    </row>
    <row r="136">
      <c r="E136" s="65"/>
    </row>
    <row r="137">
      <c r="E137" s="65"/>
    </row>
    <row r="138">
      <c r="E138" s="65"/>
    </row>
    <row r="139">
      <c r="E139" s="65"/>
    </row>
    <row r="140">
      <c r="E140" s="65"/>
    </row>
    <row r="141">
      <c r="E141" s="65"/>
    </row>
    <row r="142">
      <c r="E142" s="65"/>
    </row>
    <row r="143">
      <c r="E143" s="65"/>
    </row>
    <row r="144">
      <c r="E144" s="65"/>
    </row>
    <row r="145">
      <c r="E145" s="65"/>
    </row>
    <row r="146">
      <c r="E146" s="65"/>
    </row>
    <row r="147">
      <c r="E147" s="65"/>
    </row>
    <row r="148">
      <c r="E148" s="65"/>
    </row>
    <row r="149">
      <c r="E149" s="65"/>
    </row>
    <row r="150">
      <c r="E150" s="65"/>
    </row>
    <row r="151">
      <c r="E151" s="65"/>
    </row>
    <row r="152">
      <c r="E152" s="65"/>
    </row>
    <row r="153">
      <c r="E153" s="65"/>
    </row>
    <row r="154">
      <c r="E154" s="65"/>
    </row>
    <row r="155">
      <c r="E155" s="65"/>
    </row>
    <row r="156">
      <c r="E156" s="65"/>
    </row>
    <row r="157">
      <c r="E157" s="65"/>
    </row>
    <row r="158">
      <c r="E158" s="65"/>
    </row>
    <row r="159">
      <c r="E159" s="65"/>
    </row>
    <row r="160">
      <c r="E160" s="65"/>
    </row>
    <row r="161">
      <c r="E161" s="65"/>
    </row>
    <row r="162">
      <c r="E162" s="65"/>
    </row>
    <row r="163">
      <c r="E163" s="65"/>
    </row>
    <row r="164">
      <c r="E164" s="65"/>
    </row>
    <row r="165">
      <c r="E165" s="65"/>
    </row>
    <row r="166">
      <c r="E166" s="65"/>
    </row>
    <row r="167">
      <c r="E167" s="65"/>
    </row>
    <row r="168">
      <c r="E168" s="65"/>
    </row>
    <row r="169">
      <c r="E169" s="65"/>
    </row>
    <row r="170">
      <c r="E170" s="65"/>
    </row>
    <row r="171">
      <c r="E171" s="65"/>
    </row>
    <row r="172">
      <c r="E172" s="65"/>
    </row>
    <row r="173">
      <c r="E173" s="65"/>
    </row>
    <row r="174">
      <c r="E174" s="65"/>
    </row>
    <row r="175">
      <c r="E175" s="65"/>
    </row>
    <row r="176">
      <c r="E176" s="65"/>
    </row>
    <row r="177">
      <c r="E177" s="65"/>
    </row>
    <row r="178">
      <c r="E178" s="65"/>
    </row>
    <row r="179">
      <c r="E179" s="65"/>
    </row>
    <row r="180">
      <c r="E180" s="65"/>
    </row>
    <row r="181">
      <c r="E181" s="65"/>
    </row>
    <row r="182">
      <c r="E182" s="65"/>
    </row>
    <row r="183">
      <c r="E183" s="65"/>
    </row>
    <row r="184">
      <c r="E184" s="65"/>
    </row>
    <row r="185">
      <c r="E185" s="65"/>
    </row>
    <row r="186">
      <c r="E186" s="65"/>
    </row>
    <row r="187">
      <c r="E187" s="65"/>
    </row>
    <row r="188">
      <c r="E188" s="65"/>
    </row>
    <row r="189">
      <c r="E189" s="65"/>
    </row>
    <row r="190">
      <c r="E190" s="65"/>
    </row>
    <row r="191">
      <c r="E191" s="65"/>
    </row>
    <row r="192">
      <c r="E192" s="65"/>
    </row>
    <row r="193">
      <c r="E193" s="65"/>
    </row>
    <row r="194">
      <c r="E194" s="65"/>
    </row>
    <row r="195">
      <c r="E195" s="65"/>
    </row>
    <row r="196">
      <c r="E196" s="65"/>
    </row>
    <row r="197">
      <c r="E197" s="65"/>
    </row>
    <row r="198">
      <c r="E198" s="65"/>
    </row>
    <row r="199">
      <c r="E199" s="65"/>
    </row>
    <row r="200">
      <c r="E200" s="65"/>
    </row>
    <row r="201">
      <c r="E201" s="65"/>
    </row>
    <row r="202">
      <c r="E202" s="65"/>
    </row>
    <row r="203">
      <c r="E203" s="65"/>
    </row>
    <row r="204">
      <c r="E204" s="65"/>
    </row>
    <row r="205">
      <c r="E205" s="65"/>
    </row>
    <row r="206">
      <c r="E206" s="65"/>
    </row>
    <row r="207">
      <c r="E207" s="65"/>
    </row>
    <row r="208">
      <c r="E208" s="65"/>
    </row>
    <row r="209">
      <c r="E209" s="65"/>
    </row>
    <row r="210">
      <c r="E210" s="65"/>
    </row>
    <row r="211">
      <c r="E211" s="65"/>
    </row>
    <row r="212">
      <c r="E212" s="65"/>
    </row>
    <row r="213">
      <c r="E213" s="65"/>
    </row>
    <row r="214">
      <c r="E214" s="65"/>
    </row>
    <row r="215">
      <c r="E215" s="65"/>
    </row>
    <row r="216">
      <c r="E216" s="65"/>
    </row>
    <row r="217">
      <c r="E217" s="65"/>
    </row>
    <row r="218">
      <c r="E218" s="65"/>
    </row>
    <row r="219">
      <c r="E219" s="65"/>
    </row>
    <row r="220">
      <c r="E220" s="65"/>
    </row>
    <row r="221">
      <c r="E221" s="65"/>
    </row>
    <row r="222">
      <c r="E222" s="65"/>
    </row>
    <row r="223">
      <c r="E223" s="65"/>
    </row>
    <row r="224">
      <c r="E224" s="65"/>
    </row>
    <row r="225">
      <c r="E225" s="65"/>
    </row>
    <row r="226">
      <c r="E226" s="65"/>
    </row>
    <row r="227">
      <c r="E227" s="65"/>
    </row>
    <row r="228">
      <c r="E228" s="65"/>
    </row>
    <row r="229">
      <c r="E229" s="65"/>
    </row>
    <row r="230">
      <c r="E230" s="65"/>
    </row>
    <row r="231">
      <c r="E231" s="65"/>
    </row>
    <row r="232">
      <c r="E232" s="65"/>
    </row>
    <row r="233">
      <c r="E233" s="65"/>
    </row>
    <row r="234">
      <c r="E234" s="65"/>
    </row>
    <row r="235">
      <c r="E235" s="65"/>
    </row>
    <row r="236">
      <c r="E236" s="65"/>
    </row>
    <row r="237">
      <c r="E237" s="65"/>
    </row>
    <row r="238">
      <c r="E238" s="65"/>
    </row>
    <row r="239">
      <c r="E239" s="65"/>
    </row>
    <row r="240">
      <c r="E240" s="65"/>
    </row>
    <row r="241">
      <c r="E241" s="65"/>
    </row>
    <row r="242">
      <c r="E242" s="65"/>
    </row>
    <row r="243">
      <c r="E243" s="65"/>
    </row>
    <row r="244">
      <c r="E244" s="65"/>
    </row>
    <row r="245">
      <c r="E245" s="65"/>
    </row>
    <row r="246">
      <c r="E246" s="65"/>
    </row>
    <row r="247">
      <c r="E247" s="65"/>
    </row>
    <row r="248">
      <c r="E248" s="65"/>
    </row>
    <row r="249">
      <c r="E249" s="65"/>
    </row>
    <row r="250">
      <c r="E250" s="65"/>
    </row>
    <row r="251">
      <c r="E251" s="65"/>
    </row>
    <row r="252">
      <c r="E252" s="65"/>
    </row>
    <row r="253">
      <c r="E253" s="65"/>
    </row>
    <row r="254">
      <c r="E254" s="65"/>
    </row>
    <row r="255">
      <c r="E255" s="65"/>
    </row>
    <row r="256">
      <c r="E256" s="65"/>
    </row>
    <row r="257">
      <c r="E257" s="65"/>
    </row>
    <row r="258">
      <c r="E258" s="65"/>
    </row>
    <row r="259">
      <c r="E259" s="65"/>
    </row>
    <row r="260">
      <c r="E260" s="65"/>
    </row>
    <row r="261">
      <c r="E261" s="65"/>
    </row>
    <row r="262">
      <c r="E262" s="65"/>
    </row>
    <row r="263">
      <c r="E263" s="65"/>
    </row>
    <row r="264">
      <c r="E264" s="65"/>
    </row>
    <row r="265">
      <c r="E265" s="65"/>
    </row>
    <row r="266">
      <c r="E266" s="65"/>
    </row>
    <row r="267">
      <c r="E267" s="65"/>
    </row>
    <row r="268">
      <c r="E268" s="65"/>
    </row>
    <row r="269">
      <c r="E269" s="65"/>
    </row>
    <row r="270">
      <c r="E270" s="65"/>
    </row>
    <row r="271">
      <c r="E271" s="65"/>
    </row>
    <row r="272">
      <c r="E272" s="65"/>
    </row>
    <row r="273">
      <c r="E273" s="65"/>
    </row>
    <row r="274">
      <c r="E274" s="65"/>
    </row>
    <row r="275">
      <c r="E275" s="65"/>
    </row>
    <row r="276">
      <c r="E276" s="65"/>
    </row>
    <row r="277">
      <c r="E277" s="65"/>
    </row>
    <row r="278">
      <c r="E278" s="65"/>
    </row>
    <row r="279">
      <c r="E279" s="65"/>
    </row>
    <row r="280">
      <c r="E280" s="65"/>
    </row>
    <row r="281">
      <c r="E281" s="65"/>
    </row>
    <row r="282">
      <c r="E282" s="65"/>
    </row>
    <row r="283">
      <c r="E283" s="65"/>
    </row>
    <row r="284">
      <c r="E284" s="65"/>
    </row>
    <row r="285">
      <c r="E285" s="65"/>
    </row>
    <row r="286">
      <c r="E286" s="65"/>
    </row>
    <row r="287">
      <c r="E287" s="65"/>
    </row>
    <row r="288">
      <c r="E288" s="65"/>
    </row>
    <row r="289">
      <c r="E289" s="65"/>
    </row>
    <row r="290">
      <c r="E290" s="65"/>
    </row>
    <row r="291">
      <c r="E291" s="65"/>
    </row>
    <row r="292">
      <c r="E292" s="65"/>
    </row>
    <row r="293">
      <c r="E293" s="65"/>
    </row>
    <row r="294">
      <c r="E294" s="65"/>
    </row>
    <row r="295">
      <c r="E295" s="65"/>
    </row>
    <row r="296">
      <c r="E296" s="65"/>
    </row>
    <row r="297">
      <c r="E297" s="65"/>
    </row>
    <row r="298">
      <c r="E298" s="65"/>
    </row>
    <row r="299">
      <c r="E299" s="65"/>
    </row>
    <row r="300">
      <c r="E300" s="65"/>
    </row>
    <row r="301">
      <c r="E301" s="65"/>
    </row>
    <row r="302">
      <c r="E302" s="65"/>
    </row>
    <row r="303">
      <c r="E303" s="65"/>
    </row>
    <row r="304">
      <c r="E304" s="65"/>
    </row>
    <row r="305">
      <c r="E305" s="65"/>
    </row>
    <row r="306">
      <c r="E306" s="65"/>
    </row>
    <row r="307">
      <c r="E307" s="65"/>
    </row>
    <row r="308">
      <c r="E308" s="65"/>
    </row>
    <row r="309">
      <c r="E309" s="65"/>
    </row>
    <row r="310">
      <c r="E310" s="65"/>
    </row>
    <row r="311">
      <c r="E311" s="65"/>
    </row>
    <row r="312">
      <c r="E312" s="65"/>
    </row>
    <row r="313">
      <c r="E313" s="65"/>
    </row>
    <row r="314">
      <c r="E314" s="65"/>
    </row>
    <row r="315">
      <c r="E315" s="65"/>
    </row>
    <row r="316">
      <c r="E316" s="65"/>
    </row>
    <row r="317">
      <c r="E317" s="65"/>
    </row>
    <row r="318">
      <c r="E318" s="65"/>
    </row>
    <row r="319">
      <c r="E319" s="65"/>
    </row>
    <row r="320">
      <c r="E320" s="65"/>
    </row>
    <row r="321">
      <c r="E321" s="65"/>
    </row>
    <row r="322">
      <c r="E322" s="65"/>
    </row>
    <row r="323">
      <c r="E323" s="65"/>
    </row>
    <row r="324">
      <c r="E324" s="65"/>
    </row>
    <row r="325">
      <c r="E325" s="65"/>
    </row>
    <row r="326">
      <c r="E326" s="65"/>
    </row>
    <row r="327">
      <c r="E327" s="65"/>
    </row>
    <row r="328">
      <c r="E328" s="65"/>
    </row>
    <row r="329">
      <c r="E329" s="65"/>
    </row>
    <row r="330">
      <c r="E330" s="65"/>
    </row>
    <row r="331">
      <c r="E331" s="65"/>
    </row>
    <row r="332">
      <c r="E332" s="65"/>
    </row>
    <row r="333">
      <c r="E333" s="65"/>
    </row>
    <row r="334">
      <c r="E334" s="65"/>
    </row>
    <row r="335">
      <c r="E335" s="65"/>
    </row>
    <row r="336">
      <c r="E336" s="65"/>
    </row>
    <row r="337">
      <c r="E337" s="65"/>
    </row>
    <row r="338">
      <c r="E338" s="65"/>
    </row>
    <row r="339">
      <c r="E339" s="65"/>
    </row>
    <row r="340">
      <c r="E340" s="65"/>
    </row>
    <row r="341">
      <c r="E341" s="65"/>
    </row>
    <row r="342">
      <c r="E342" s="65"/>
    </row>
    <row r="343">
      <c r="E343" s="65"/>
    </row>
    <row r="344">
      <c r="E344" s="65"/>
    </row>
    <row r="345">
      <c r="E345" s="65"/>
    </row>
    <row r="346">
      <c r="E346" s="65"/>
    </row>
    <row r="347">
      <c r="E347" s="65"/>
    </row>
    <row r="348">
      <c r="E348" s="65"/>
    </row>
    <row r="349">
      <c r="E349" s="65"/>
    </row>
    <row r="350">
      <c r="E350" s="65"/>
    </row>
    <row r="351">
      <c r="E351" s="65"/>
    </row>
    <row r="352">
      <c r="E352" s="65"/>
    </row>
    <row r="353">
      <c r="E353" s="65"/>
    </row>
    <row r="354">
      <c r="E354" s="65"/>
    </row>
    <row r="355">
      <c r="E355" s="65"/>
    </row>
    <row r="356">
      <c r="E356" s="65"/>
    </row>
    <row r="357">
      <c r="E357" s="65"/>
    </row>
    <row r="358">
      <c r="E358" s="65"/>
    </row>
    <row r="359">
      <c r="E359" s="65"/>
    </row>
    <row r="360">
      <c r="E360" s="65"/>
    </row>
    <row r="361">
      <c r="E361" s="65"/>
    </row>
    <row r="362">
      <c r="E362" s="65"/>
    </row>
    <row r="363">
      <c r="E363" s="65"/>
    </row>
    <row r="364">
      <c r="E364" s="65"/>
    </row>
    <row r="365">
      <c r="E365" s="65"/>
    </row>
    <row r="366">
      <c r="E366" s="65"/>
    </row>
    <row r="367">
      <c r="E367" s="65"/>
    </row>
    <row r="368">
      <c r="E368" s="65"/>
    </row>
    <row r="369">
      <c r="E369" s="65"/>
    </row>
    <row r="370">
      <c r="E370" s="65"/>
    </row>
    <row r="371">
      <c r="E371" s="65"/>
    </row>
    <row r="372">
      <c r="E372" s="65"/>
    </row>
    <row r="373">
      <c r="E373" s="65"/>
    </row>
    <row r="374">
      <c r="E374" s="65"/>
    </row>
    <row r="375">
      <c r="E375" s="65"/>
    </row>
    <row r="376">
      <c r="E376" s="65"/>
    </row>
    <row r="377">
      <c r="E377" s="65"/>
    </row>
    <row r="378">
      <c r="E378" s="65"/>
    </row>
    <row r="379">
      <c r="E379" s="65"/>
    </row>
    <row r="380">
      <c r="E380" s="65"/>
    </row>
    <row r="381">
      <c r="E381" s="65"/>
    </row>
    <row r="382">
      <c r="E382" s="65"/>
    </row>
    <row r="383">
      <c r="E383" s="65"/>
    </row>
    <row r="384">
      <c r="E384" s="65"/>
    </row>
    <row r="385">
      <c r="E385" s="65"/>
    </row>
    <row r="386">
      <c r="E386" s="65"/>
    </row>
    <row r="387">
      <c r="E387" s="65"/>
    </row>
    <row r="388">
      <c r="E388" s="65"/>
    </row>
    <row r="389">
      <c r="E389" s="65"/>
    </row>
    <row r="390">
      <c r="E390" s="65"/>
    </row>
    <row r="391">
      <c r="E391" s="65"/>
    </row>
    <row r="392">
      <c r="E392" s="65"/>
    </row>
    <row r="393">
      <c r="E393" s="65"/>
    </row>
    <row r="394">
      <c r="E394" s="65"/>
    </row>
    <row r="395">
      <c r="E395" s="65"/>
    </row>
    <row r="396">
      <c r="E396" s="65"/>
    </row>
    <row r="397">
      <c r="E397" s="65"/>
    </row>
    <row r="398">
      <c r="E398" s="65"/>
    </row>
    <row r="399">
      <c r="E399" s="65"/>
    </row>
    <row r="400">
      <c r="E400" s="65"/>
    </row>
    <row r="401">
      <c r="E401" s="65"/>
    </row>
    <row r="402">
      <c r="E402" s="65"/>
    </row>
    <row r="403">
      <c r="E403" s="65"/>
    </row>
    <row r="404">
      <c r="E404" s="65"/>
    </row>
    <row r="405">
      <c r="E405" s="65"/>
    </row>
    <row r="406">
      <c r="E406" s="65"/>
    </row>
    <row r="407">
      <c r="E407" s="65"/>
    </row>
    <row r="408">
      <c r="E408" s="65"/>
    </row>
    <row r="409">
      <c r="E409" s="65"/>
    </row>
    <row r="410">
      <c r="E410" s="65"/>
    </row>
    <row r="411">
      <c r="E411" s="65"/>
    </row>
    <row r="412">
      <c r="E412" s="65"/>
    </row>
    <row r="413">
      <c r="E413" s="65"/>
    </row>
    <row r="414">
      <c r="E414" s="65"/>
    </row>
    <row r="415">
      <c r="E415" s="65"/>
    </row>
    <row r="416">
      <c r="E416" s="65"/>
    </row>
    <row r="417">
      <c r="E417" s="65"/>
    </row>
    <row r="418">
      <c r="E418" s="65"/>
    </row>
    <row r="419">
      <c r="E419" s="65"/>
    </row>
    <row r="420">
      <c r="E420" s="65"/>
    </row>
    <row r="421">
      <c r="E421" s="65"/>
    </row>
    <row r="422">
      <c r="E422" s="65"/>
    </row>
    <row r="423">
      <c r="E423" s="65"/>
    </row>
    <row r="424">
      <c r="E424" s="65"/>
    </row>
    <row r="425">
      <c r="E425" s="65"/>
    </row>
    <row r="426">
      <c r="E426" s="65"/>
    </row>
    <row r="427">
      <c r="E427" s="65"/>
    </row>
    <row r="428">
      <c r="E428" s="65"/>
    </row>
    <row r="429">
      <c r="E429" s="65"/>
    </row>
    <row r="430">
      <c r="E430" s="65"/>
    </row>
    <row r="431">
      <c r="E431" s="65"/>
    </row>
    <row r="432">
      <c r="E432" s="65"/>
    </row>
    <row r="433">
      <c r="E433" s="65"/>
    </row>
    <row r="434">
      <c r="E434" s="65"/>
    </row>
    <row r="435">
      <c r="E435" s="65"/>
    </row>
    <row r="436">
      <c r="E436" s="65"/>
    </row>
    <row r="437">
      <c r="E437" s="65"/>
    </row>
    <row r="438">
      <c r="E438" s="65"/>
    </row>
    <row r="439">
      <c r="E439" s="65"/>
    </row>
    <row r="440">
      <c r="E440" s="65"/>
    </row>
    <row r="441">
      <c r="E441" s="65"/>
    </row>
    <row r="442">
      <c r="E442" s="65"/>
    </row>
    <row r="443">
      <c r="E443" s="65"/>
    </row>
    <row r="444">
      <c r="E444" s="65"/>
    </row>
    <row r="445">
      <c r="E445" s="65"/>
    </row>
    <row r="446">
      <c r="E446" s="65"/>
    </row>
    <row r="447">
      <c r="E447" s="65"/>
    </row>
    <row r="448">
      <c r="E448" s="65"/>
    </row>
    <row r="449">
      <c r="E449" s="65"/>
    </row>
    <row r="450">
      <c r="E450" s="65"/>
    </row>
    <row r="451">
      <c r="E451" s="65"/>
    </row>
    <row r="452">
      <c r="E452" s="65"/>
    </row>
    <row r="453">
      <c r="E453" s="65"/>
    </row>
    <row r="454">
      <c r="E454" s="65"/>
    </row>
    <row r="455">
      <c r="E455" s="65"/>
    </row>
    <row r="456">
      <c r="E456" s="65"/>
    </row>
    <row r="457">
      <c r="E457" s="65"/>
    </row>
    <row r="458">
      <c r="E458" s="65"/>
    </row>
    <row r="459">
      <c r="E459" s="65"/>
    </row>
    <row r="460">
      <c r="E460" s="65"/>
    </row>
    <row r="461">
      <c r="E461" s="65"/>
    </row>
    <row r="462">
      <c r="E462" s="65"/>
    </row>
    <row r="463">
      <c r="E463" s="65"/>
    </row>
    <row r="464">
      <c r="E464" s="65"/>
    </row>
    <row r="465">
      <c r="E465" s="65"/>
    </row>
    <row r="466">
      <c r="E466" s="65"/>
    </row>
    <row r="467">
      <c r="E467" s="65"/>
    </row>
    <row r="468">
      <c r="E468" s="65"/>
    </row>
    <row r="469">
      <c r="E469" s="65"/>
    </row>
    <row r="470">
      <c r="E470" s="65"/>
    </row>
    <row r="471">
      <c r="E471" s="65"/>
    </row>
    <row r="472">
      <c r="E472" s="65"/>
    </row>
    <row r="473">
      <c r="E473" s="65"/>
    </row>
    <row r="474">
      <c r="E474" s="65"/>
    </row>
    <row r="475">
      <c r="E475" s="65"/>
    </row>
    <row r="476">
      <c r="E476" s="65"/>
    </row>
    <row r="477">
      <c r="E477" s="65"/>
    </row>
    <row r="478">
      <c r="E478" s="65"/>
    </row>
    <row r="479">
      <c r="E479" s="65"/>
    </row>
    <row r="480">
      <c r="E480" s="65"/>
    </row>
    <row r="481">
      <c r="E481" s="65"/>
    </row>
    <row r="482">
      <c r="E482" s="65"/>
    </row>
    <row r="483">
      <c r="E483" s="65"/>
    </row>
    <row r="484">
      <c r="E484" s="65"/>
    </row>
    <row r="485">
      <c r="E485" s="65"/>
    </row>
    <row r="486">
      <c r="E486" s="65"/>
    </row>
    <row r="487">
      <c r="E487" s="65"/>
    </row>
    <row r="488">
      <c r="E488" s="65"/>
    </row>
    <row r="489">
      <c r="E489" s="65"/>
    </row>
    <row r="490">
      <c r="E490" s="65"/>
    </row>
    <row r="491">
      <c r="E491" s="65"/>
    </row>
    <row r="492">
      <c r="E492" s="65"/>
    </row>
    <row r="493">
      <c r="E493" s="65"/>
    </row>
    <row r="494">
      <c r="E494" s="65"/>
    </row>
    <row r="495">
      <c r="E495" s="65"/>
    </row>
    <row r="496">
      <c r="E496" s="65"/>
    </row>
    <row r="497">
      <c r="E497" s="65"/>
    </row>
    <row r="498">
      <c r="E498" s="65"/>
    </row>
    <row r="499">
      <c r="E499" s="65"/>
    </row>
    <row r="500">
      <c r="E500" s="65"/>
    </row>
    <row r="501">
      <c r="E501" s="65"/>
    </row>
    <row r="502">
      <c r="E502" s="65"/>
    </row>
    <row r="503">
      <c r="E503" s="65"/>
    </row>
    <row r="504">
      <c r="E504" s="65"/>
    </row>
    <row r="505">
      <c r="E505" s="65"/>
    </row>
    <row r="506">
      <c r="E506" s="65"/>
    </row>
    <row r="507">
      <c r="E507" s="65"/>
    </row>
    <row r="508">
      <c r="E508" s="65"/>
    </row>
    <row r="509">
      <c r="E509" s="65"/>
    </row>
    <row r="510">
      <c r="E510" s="65"/>
    </row>
    <row r="511">
      <c r="E511" s="65"/>
    </row>
    <row r="512">
      <c r="E512" s="65"/>
    </row>
    <row r="513">
      <c r="E513" s="65"/>
    </row>
    <row r="514">
      <c r="E514" s="65"/>
    </row>
    <row r="515">
      <c r="E515" s="65"/>
    </row>
    <row r="516">
      <c r="E516" s="65"/>
    </row>
    <row r="517">
      <c r="E517" s="65"/>
    </row>
    <row r="518">
      <c r="E518" s="65"/>
    </row>
    <row r="519">
      <c r="E519" s="65"/>
    </row>
    <row r="520">
      <c r="E520" s="65"/>
    </row>
    <row r="521">
      <c r="E521" s="65"/>
    </row>
    <row r="522">
      <c r="E522" s="65"/>
    </row>
    <row r="523">
      <c r="E523" s="65"/>
    </row>
    <row r="524">
      <c r="E524" s="65"/>
    </row>
    <row r="525">
      <c r="E525" s="65"/>
    </row>
    <row r="526">
      <c r="E526" s="65"/>
    </row>
    <row r="527">
      <c r="E527" s="65"/>
    </row>
    <row r="528">
      <c r="E528" s="65"/>
    </row>
    <row r="529">
      <c r="E529" s="65"/>
    </row>
    <row r="530">
      <c r="E530" s="65"/>
    </row>
    <row r="531">
      <c r="E531" s="65"/>
    </row>
    <row r="532">
      <c r="E532" s="65"/>
    </row>
    <row r="533">
      <c r="E533" s="65"/>
    </row>
    <row r="534">
      <c r="E534" s="65"/>
    </row>
    <row r="535">
      <c r="E535" s="65"/>
    </row>
    <row r="536">
      <c r="E536" s="65"/>
    </row>
    <row r="537">
      <c r="E537" s="65"/>
    </row>
    <row r="538">
      <c r="E538" s="65"/>
    </row>
    <row r="539">
      <c r="E539" s="65"/>
    </row>
    <row r="540">
      <c r="E540" s="65"/>
    </row>
    <row r="541">
      <c r="E541" s="65"/>
    </row>
    <row r="542">
      <c r="E542" s="65"/>
    </row>
    <row r="543">
      <c r="E543" s="65"/>
    </row>
    <row r="544">
      <c r="E544" s="65"/>
    </row>
    <row r="545">
      <c r="E545" s="65"/>
    </row>
    <row r="546">
      <c r="E546" s="65"/>
    </row>
    <row r="547">
      <c r="E547" s="65"/>
    </row>
    <row r="548">
      <c r="E548" s="65"/>
    </row>
    <row r="549">
      <c r="E549" s="65"/>
    </row>
    <row r="550">
      <c r="E550" s="65"/>
    </row>
    <row r="551">
      <c r="E551" s="65"/>
    </row>
    <row r="552">
      <c r="E552" s="65"/>
    </row>
    <row r="553">
      <c r="E553" s="65"/>
    </row>
    <row r="554">
      <c r="E554" s="65"/>
    </row>
    <row r="555">
      <c r="E555" s="65"/>
    </row>
    <row r="556">
      <c r="E556" s="65"/>
    </row>
    <row r="557">
      <c r="E557" s="65"/>
    </row>
    <row r="558">
      <c r="E558" s="65"/>
    </row>
    <row r="559">
      <c r="E559" s="65"/>
    </row>
    <row r="560">
      <c r="E560" s="65"/>
    </row>
    <row r="561">
      <c r="E561" s="65"/>
    </row>
    <row r="562">
      <c r="E562" s="65"/>
    </row>
    <row r="563">
      <c r="E563" s="65"/>
    </row>
    <row r="564">
      <c r="E564" s="65"/>
    </row>
    <row r="565">
      <c r="E565" s="65"/>
    </row>
    <row r="566">
      <c r="E566" s="65"/>
    </row>
    <row r="567">
      <c r="E567" s="65"/>
    </row>
    <row r="568">
      <c r="E568" s="65"/>
    </row>
    <row r="569">
      <c r="E569" s="65"/>
    </row>
    <row r="570">
      <c r="E570" s="65"/>
    </row>
    <row r="571">
      <c r="E571" s="65"/>
    </row>
    <row r="572">
      <c r="E572" s="65"/>
    </row>
    <row r="573">
      <c r="E573" s="65"/>
    </row>
    <row r="574">
      <c r="E574" s="65"/>
    </row>
    <row r="575">
      <c r="E575" s="65"/>
    </row>
    <row r="576">
      <c r="E576" s="65"/>
    </row>
    <row r="577">
      <c r="E577" s="65"/>
    </row>
    <row r="578">
      <c r="E578" s="65"/>
    </row>
    <row r="579">
      <c r="E579" s="65"/>
    </row>
    <row r="580">
      <c r="E580" s="65"/>
    </row>
    <row r="581">
      <c r="E581" s="65"/>
    </row>
    <row r="582">
      <c r="E582" s="65"/>
    </row>
    <row r="583">
      <c r="E583" s="65"/>
    </row>
    <row r="584">
      <c r="E584" s="65"/>
    </row>
    <row r="585">
      <c r="E585" s="65"/>
    </row>
    <row r="586">
      <c r="E586" s="65"/>
    </row>
    <row r="587">
      <c r="E587" s="65"/>
    </row>
    <row r="588">
      <c r="E588" s="65"/>
    </row>
    <row r="589">
      <c r="E589" s="65"/>
    </row>
    <row r="590">
      <c r="E590" s="65"/>
    </row>
    <row r="591">
      <c r="E591" s="65"/>
    </row>
    <row r="592">
      <c r="E592" s="65"/>
    </row>
    <row r="593">
      <c r="E593" s="65"/>
    </row>
    <row r="594">
      <c r="E594" s="65"/>
    </row>
    <row r="595">
      <c r="E595" s="65"/>
    </row>
    <row r="596">
      <c r="E596" s="65"/>
    </row>
    <row r="597">
      <c r="E597" s="65"/>
    </row>
    <row r="598">
      <c r="E598" s="65"/>
    </row>
    <row r="599">
      <c r="E599" s="65"/>
    </row>
    <row r="600">
      <c r="E600" s="65"/>
    </row>
    <row r="601">
      <c r="E601" s="65"/>
    </row>
    <row r="602">
      <c r="E602" s="65"/>
    </row>
    <row r="603">
      <c r="E603" s="65"/>
    </row>
    <row r="604">
      <c r="E604" s="65"/>
    </row>
    <row r="605">
      <c r="E605" s="65"/>
    </row>
    <row r="606">
      <c r="E606" s="65"/>
    </row>
    <row r="607">
      <c r="E607" s="65"/>
    </row>
    <row r="608">
      <c r="E608" s="65"/>
    </row>
    <row r="609">
      <c r="E609" s="65"/>
    </row>
    <row r="610">
      <c r="E610" s="65"/>
    </row>
    <row r="611">
      <c r="E611" s="65"/>
    </row>
    <row r="612">
      <c r="E612" s="65"/>
    </row>
    <row r="613">
      <c r="E613" s="65"/>
    </row>
    <row r="614">
      <c r="E614" s="65"/>
    </row>
    <row r="615">
      <c r="E615" s="65"/>
    </row>
    <row r="616">
      <c r="E616" s="65"/>
    </row>
    <row r="617">
      <c r="E617" s="65"/>
    </row>
    <row r="618">
      <c r="E618" s="65"/>
    </row>
    <row r="619">
      <c r="E619" s="65"/>
    </row>
    <row r="620">
      <c r="E620" s="65"/>
    </row>
    <row r="621">
      <c r="E621" s="65"/>
    </row>
    <row r="622">
      <c r="E622" s="65"/>
    </row>
    <row r="623">
      <c r="E623" s="65"/>
    </row>
    <row r="624">
      <c r="E624" s="65"/>
    </row>
    <row r="625">
      <c r="E625" s="65"/>
    </row>
    <row r="626">
      <c r="E626" s="65"/>
    </row>
    <row r="627">
      <c r="E627" s="65"/>
    </row>
    <row r="628">
      <c r="E628" s="65"/>
    </row>
    <row r="629">
      <c r="E629" s="65"/>
    </row>
    <row r="630">
      <c r="E630" s="65"/>
    </row>
    <row r="631">
      <c r="E631" s="65"/>
    </row>
    <row r="632">
      <c r="E632" s="65"/>
    </row>
    <row r="633">
      <c r="E633" s="65"/>
    </row>
    <row r="634">
      <c r="E634" s="65"/>
    </row>
    <row r="635">
      <c r="E635" s="65"/>
    </row>
    <row r="636">
      <c r="E636" s="65"/>
    </row>
    <row r="637">
      <c r="E637" s="65"/>
    </row>
    <row r="638">
      <c r="E638" s="65"/>
    </row>
    <row r="639">
      <c r="E639" s="65"/>
    </row>
    <row r="640">
      <c r="E640" s="65"/>
    </row>
    <row r="641">
      <c r="E641" s="65"/>
    </row>
    <row r="642">
      <c r="E642" s="65"/>
    </row>
    <row r="643">
      <c r="E643" s="65"/>
    </row>
    <row r="644">
      <c r="E644" s="65"/>
    </row>
    <row r="645">
      <c r="E645" s="65"/>
    </row>
    <row r="646">
      <c r="E646" s="65"/>
    </row>
    <row r="647">
      <c r="E647" s="65"/>
    </row>
    <row r="648">
      <c r="E648" s="65"/>
    </row>
    <row r="649">
      <c r="E649" s="65"/>
    </row>
    <row r="650">
      <c r="E650" s="65"/>
    </row>
    <row r="651">
      <c r="E651" s="65"/>
    </row>
    <row r="652">
      <c r="E652" s="65"/>
    </row>
    <row r="653">
      <c r="E653" s="65"/>
    </row>
    <row r="654">
      <c r="E654" s="65"/>
    </row>
    <row r="655">
      <c r="E655" s="65"/>
    </row>
    <row r="656">
      <c r="E656" s="65"/>
    </row>
    <row r="657">
      <c r="E657" s="65"/>
    </row>
    <row r="658">
      <c r="E658" s="65"/>
    </row>
    <row r="659">
      <c r="E659" s="65"/>
    </row>
    <row r="660">
      <c r="E660" s="65"/>
    </row>
    <row r="661">
      <c r="E661" s="65"/>
    </row>
    <row r="662">
      <c r="E662" s="65"/>
    </row>
    <row r="663">
      <c r="E663" s="65"/>
    </row>
    <row r="664">
      <c r="E664" s="65"/>
    </row>
    <row r="665">
      <c r="E665" s="65"/>
    </row>
    <row r="666">
      <c r="E666" s="65"/>
    </row>
    <row r="667">
      <c r="E667" s="65"/>
    </row>
    <row r="668">
      <c r="E668" s="65"/>
    </row>
    <row r="669">
      <c r="E669" s="65"/>
    </row>
    <row r="670">
      <c r="E670" s="65"/>
    </row>
    <row r="671">
      <c r="E671" s="65"/>
    </row>
    <row r="672">
      <c r="E672" s="65"/>
    </row>
    <row r="673">
      <c r="E673" s="65"/>
    </row>
    <row r="674">
      <c r="E674" s="65"/>
    </row>
    <row r="675">
      <c r="E675" s="65"/>
    </row>
    <row r="676">
      <c r="E676" s="65"/>
    </row>
    <row r="677">
      <c r="E677" s="65"/>
    </row>
    <row r="678">
      <c r="E678" s="65"/>
    </row>
    <row r="679">
      <c r="E679" s="65"/>
    </row>
    <row r="680">
      <c r="E680" s="65"/>
    </row>
    <row r="681">
      <c r="E681" s="65"/>
    </row>
    <row r="682">
      <c r="E682" s="65"/>
    </row>
    <row r="683">
      <c r="E683" s="65"/>
    </row>
    <row r="684">
      <c r="E684" s="65"/>
    </row>
    <row r="685">
      <c r="E685" s="65"/>
    </row>
    <row r="686">
      <c r="E686" s="65"/>
    </row>
    <row r="687">
      <c r="E687" s="65"/>
    </row>
    <row r="688">
      <c r="E688" s="65"/>
    </row>
    <row r="689">
      <c r="E689" s="65"/>
    </row>
    <row r="690">
      <c r="E690" s="65"/>
    </row>
    <row r="691">
      <c r="E691" s="65"/>
    </row>
    <row r="692">
      <c r="E692" s="65"/>
    </row>
    <row r="693">
      <c r="E693" s="65"/>
    </row>
    <row r="694">
      <c r="E694" s="65"/>
    </row>
    <row r="695">
      <c r="E695" s="65"/>
    </row>
    <row r="696">
      <c r="E696" s="65"/>
    </row>
    <row r="697">
      <c r="E697" s="65"/>
    </row>
    <row r="698">
      <c r="E698" s="65"/>
    </row>
    <row r="699">
      <c r="E699" s="65"/>
    </row>
    <row r="700">
      <c r="E700" s="65"/>
    </row>
    <row r="701">
      <c r="E701" s="65"/>
    </row>
    <row r="702">
      <c r="E702" s="65"/>
    </row>
    <row r="703">
      <c r="E703" s="65"/>
    </row>
    <row r="704">
      <c r="E704" s="65"/>
    </row>
    <row r="705">
      <c r="E705" s="65"/>
    </row>
    <row r="706">
      <c r="E706" s="65"/>
    </row>
    <row r="707">
      <c r="E707" s="65"/>
    </row>
    <row r="708">
      <c r="E708" s="65"/>
    </row>
    <row r="709">
      <c r="E709" s="65"/>
    </row>
    <row r="710">
      <c r="E710" s="65"/>
    </row>
    <row r="711">
      <c r="E711" s="65"/>
    </row>
    <row r="712">
      <c r="E712" s="65"/>
    </row>
    <row r="713">
      <c r="E713" s="65"/>
    </row>
    <row r="714">
      <c r="E714" s="65"/>
    </row>
    <row r="715">
      <c r="E715" s="65"/>
    </row>
    <row r="716">
      <c r="E716" s="65"/>
    </row>
    <row r="717">
      <c r="E717" s="65"/>
    </row>
    <row r="718">
      <c r="E718" s="65"/>
    </row>
    <row r="719">
      <c r="E719" s="65"/>
    </row>
    <row r="720">
      <c r="E720" s="65"/>
    </row>
    <row r="721">
      <c r="E721" s="65"/>
    </row>
    <row r="722">
      <c r="E722" s="65"/>
    </row>
    <row r="723">
      <c r="E723" s="65"/>
    </row>
    <row r="724">
      <c r="E724" s="65"/>
    </row>
    <row r="725">
      <c r="E725" s="65"/>
    </row>
    <row r="726">
      <c r="E726" s="65"/>
    </row>
    <row r="727">
      <c r="E727" s="65"/>
    </row>
    <row r="728">
      <c r="E728" s="65"/>
    </row>
    <row r="729">
      <c r="E729" s="65"/>
    </row>
    <row r="730">
      <c r="E730" s="65"/>
    </row>
    <row r="731">
      <c r="E731" s="65"/>
    </row>
    <row r="732">
      <c r="E732" s="65"/>
    </row>
    <row r="733">
      <c r="E733" s="65"/>
    </row>
    <row r="734">
      <c r="E734" s="65"/>
    </row>
    <row r="735">
      <c r="E735" s="65"/>
    </row>
    <row r="736">
      <c r="E736" s="65"/>
    </row>
    <row r="737">
      <c r="E737" s="65"/>
    </row>
    <row r="738">
      <c r="E738" s="65"/>
    </row>
    <row r="739">
      <c r="E739" s="65"/>
    </row>
    <row r="740">
      <c r="E740" s="65"/>
    </row>
    <row r="741">
      <c r="E741" s="65"/>
    </row>
    <row r="742">
      <c r="E742" s="65"/>
    </row>
    <row r="743">
      <c r="E743" s="65"/>
    </row>
    <row r="744">
      <c r="E744" s="65"/>
    </row>
    <row r="745">
      <c r="E745" s="65"/>
    </row>
    <row r="746">
      <c r="E746" s="65"/>
    </row>
    <row r="747">
      <c r="E747" s="65"/>
    </row>
    <row r="748">
      <c r="E748" s="65"/>
    </row>
    <row r="749">
      <c r="E749" s="65"/>
    </row>
    <row r="750">
      <c r="E750" s="65"/>
    </row>
    <row r="751">
      <c r="E751" s="65"/>
    </row>
    <row r="752">
      <c r="E752" s="65"/>
    </row>
    <row r="753">
      <c r="E753" s="65"/>
    </row>
    <row r="754">
      <c r="E754" s="65"/>
    </row>
    <row r="755">
      <c r="E755" s="65"/>
    </row>
    <row r="756">
      <c r="E756" s="65"/>
    </row>
    <row r="757">
      <c r="E757" s="65"/>
    </row>
    <row r="758">
      <c r="E758" s="65"/>
    </row>
    <row r="759">
      <c r="E759" s="65"/>
    </row>
    <row r="760">
      <c r="E760" s="65"/>
    </row>
    <row r="761">
      <c r="E761" s="65"/>
    </row>
    <row r="762">
      <c r="E762" s="65"/>
    </row>
    <row r="763">
      <c r="E763" s="65"/>
    </row>
    <row r="764">
      <c r="E764" s="65"/>
    </row>
    <row r="765">
      <c r="E765" s="65"/>
    </row>
    <row r="766">
      <c r="E766" s="65"/>
    </row>
    <row r="767">
      <c r="E767" s="65"/>
    </row>
    <row r="768">
      <c r="E768" s="65"/>
    </row>
    <row r="769">
      <c r="E769" s="65"/>
    </row>
    <row r="770">
      <c r="E770" s="65"/>
    </row>
    <row r="771">
      <c r="E771" s="65"/>
    </row>
    <row r="772">
      <c r="E772" s="65"/>
    </row>
    <row r="773">
      <c r="E773" s="65"/>
    </row>
    <row r="774">
      <c r="E774" s="65"/>
    </row>
    <row r="775">
      <c r="E775" s="65"/>
    </row>
    <row r="776">
      <c r="E776" s="65"/>
    </row>
    <row r="777">
      <c r="E777" s="65"/>
    </row>
    <row r="778">
      <c r="E778" s="65"/>
    </row>
    <row r="779">
      <c r="E779" s="65"/>
    </row>
    <row r="780">
      <c r="E780" s="65"/>
    </row>
    <row r="781">
      <c r="E781" s="65"/>
    </row>
    <row r="782">
      <c r="E782" s="65"/>
    </row>
    <row r="783">
      <c r="E783" s="65"/>
    </row>
    <row r="784">
      <c r="E784" s="65"/>
    </row>
    <row r="785">
      <c r="E785" s="65"/>
    </row>
    <row r="786">
      <c r="E786" s="65"/>
    </row>
    <row r="787">
      <c r="E787" s="65"/>
    </row>
    <row r="788">
      <c r="E788" s="65"/>
    </row>
    <row r="789">
      <c r="E789" s="65"/>
    </row>
    <row r="790">
      <c r="E790" s="65"/>
    </row>
    <row r="791">
      <c r="E791" s="65"/>
    </row>
    <row r="792">
      <c r="E792" s="65"/>
    </row>
    <row r="793">
      <c r="E793" s="65"/>
    </row>
    <row r="794">
      <c r="E794" s="65"/>
    </row>
    <row r="795">
      <c r="E795" s="65"/>
    </row>
    <row r="796">
      <c r="E796" s="65"/>
    </row>
    <row r="797">
      <c r="E797" s="65"/>
    </row>
    <row r="798">
      <c r="E798" s="65"/>
    </row>
    <row r="799">
      <c r="E799" s="65"/>
    </row>
    <row r="800">
      <c r="E800" s="65"/>
    </row>
    <row r="801">
      <c r="E801" s="65"/>
    </row>
    <row r="802">
      <c r="E802" s="65"/>
    </row>
    <row r="803">
      <c r="E803" s="65"/>
    </row>
    <row r="804">
      <c r="E804" s="65"/>
    </row>
    <row r="805">
      <c r="E805" s="65"/>
    </row>
    <row r="806">
      <c r="E806" s="65"/>
    </row>
    <row r="807">
      <c r="E807" s="65"/>
    </row>
    <row r="808">
      <c r="E808" s="65"/>
    </row>
    <row r="809">
      <c r="E809" s="65"/>
    </row>
    <row r="810">
      <c r="E810" s="65"/>
    </row>
    <row r="811">
      <c r="E811" s="65"/>
    </row>
    <row r="812">
      <c r="E812" s="65"/>
    </row>
    <row r="813">
      <c r="E813" s="65"/>
    </row>
    <row r="814">
      <c r="E814" s="65"/>
    </row>
    <row r="815">
      <c r="E815" s="65"/>
    </row>
    <row r="816">
      <c r="E816" s="65"/>
    </row>
    <row r="817">
      <c r="E817" s="65"/>
    </row>
    <row r="818">
      <c r="E818" s="65"/>
    </row>
    <row r="819">
      <c r="E819" s="65"/>
    </row>
    <row r="820">
      <c r="E820" s="65"/>
    </row>
    <row r="821">
      <c r="E821" s="65"/>
    </row>
    <row r="822">
      <c r="E822" s="65"/>
    </row>
    <row r="823">
      <c r="E823" s="65"/>
    </row>
    <row r="824">
      <c r="E824" s="65"/>
    </row>
    <row r="825">
      <c r="E825" s="65"/>
    </row>
    <row r="826">
      <c r="E826" s="65"/>
    </row>
    <row r="827">
      <c r="E827" s="65"/>
    </row>
    <row r="828">
      <c r="E828" s="65"/>
    </row>
    <row r="829">
      <c r="E829" s="65"/>
    </row>
    <row r="830">
      <c r="E830" s="65"/>
    </row>
    <row r="831">
      <c r="E831" s="65"/>
    </row>
    <row r="832">
      <c r="E832" s="65"/>
    </row>
    <row r="833">
      <c r="E833" s="65"/>
    </row>
    <row r="834">
      <c r="E834" s="65"/>
    </row>
    <row r="835">
      <c r="E835" s="65"/>
    </row>
    <row r="836">
      <c r="E836" s="65"/>
    </row>
    <row r="837">
      <c r="E837" s="65"/>
    </row>
    <row r="838">
      <c r="E838" s="65"/>
    </row>
    <row r="839">
      <c r="E839" s="65"/>
    </row>
    <row r="840">
      <c r="E840" s="65"/>
    </row>
    <row r="841">
      <c r="E841" s="65"/>
    </row>
    <row r="842">
      <c r="E842" s="65"/>
    </row>
    <row r="843">
      <c r="E843" s="65"/>
    </row>
    <row r="844">
      <c r="E844" s="65"/>
    </row>
    <row r="845">
      <c r="E845" s="65"/>
    </row>
    <row r="846">
      <c r="E846" s="65"/>
    </row>
    <row r="847">
      <c r="E847" s="65"/>
    </row>
    <row r="848">
      <c r="E848" s="65"/>
    </row>
    <row r="849">
      <c r="E849" s="65"/>
    </row>
    <row r="850">
      <c r="E850" s="65"/>
    </row>
    <row r="851">
      <c r="E851" s="65"/>
    </row>
    <row r="852">
      <c r="E852" s="65"/>
    </row>
    <row r="853">
      <c r="E853" s="65"/>
    </row>
    <row r="854">
      <c r="E854" s="65"/>
    </row>
    <row r="855">
      <c r="E855" s="65"/>
    </row>
    <row r="856">
      <c r="E856" s="65"/>
    </row>
    <row r="857">
      <c r="E857" s="65"/>
    </row>
    <row r="858">
      <c r="E858" s="65"/>
    </row>
    <row r="859">
      <c r="E859" s="65"/>
    </row>
    <row r="860">
      <c r="E860" s="65"/>
    </row>
    <row r="861">
      <c r="E861" s="65"/>
    </row>
    <row r="862">
      <c r="E862" s="65"/>
    </row>
    <row r="863">
      <c r="E863" s="65"/>
    </row>
    <row r="864">
      <c r="E864" s="65"/>
    </row>
    <row r="865">
      <c r="E865" s="65"/>
    </row>
    <row r="866">
      <c r="E866" s="65"/>
    </row>
    <row r="867">
      <c r="E867" s="65"/>
    </row>
    <row r="868">
      <c r="E868" s="65"/>
    </row>
    <row r="869">
      <c r="E869" s="65"/>
    </row>
    <row r="870">
      <c r="E870" s="65"/>
    </row>
    <row r="871">
      <c r="E871" s="65"/>
    </row>
    <row r="872">
      <c r="E872" s="65"/>
    </row>
    <row r="873">
      <c r="E873" s="65"/>
    </row>
    <row r="874">
      <c r="E874" s="65"/>
    </row>
    <row r="875">
      <c r="E875" s="65"/>
    </row>
    <row r="876">
      <c r="E876" s="65"/>
    </row>
    <row r="877">
      <c r="E877" s="65"/>
    </row>
    <row r="878">
      <c r="E878" s="65"/>
    </row>
    <row r="879">
      <c r="E879" s="65"/>
    </row>
    <row r="880">
      <c r="E880" s="65"/>
    </row>
    <row r="881">
      <c r="E881" s="65"/>
    </row>
    <row r="882">
      <c r="E882" s="65"/>
    </row>
    <row r="883">
      <c r="E883" s="65"/>
    </row>
    <row r="884">
      <c r="E884" s="65"/>
    </row>
    <row r="885">
      <c r="E885" s="65"/>
    </row>
    <row r="886">
      <c r="E886" s="65"/>
    </row>
    <row r="887">
      <c r="E887" s="65"/>
    </row>
    <row r="888">
      <c r="E888" s="65"/>
    </row>
    <row r="889">
      <c r="E889" s="65"/>
    </row>
    <row r="890">
      <c r="E890" s="65"/>
    </row>
    <row r="891">
      <c r="E891" s="65"/>
    </row>
    <row r="892">
      <c r="E892" s="65"/>
    </row>
    <row r="893">
      <c r="E893" s="65"/>
    </row>
    <row r="894">
      <c r="E894" s="65"/>
    </row>
    <row r="895">
      <c r="E895" s="65"/>
    </row>
    <row r="896">
      <c r="E896" s="65"/>
    </row>
    <row r="897">
      <c r="E897" s="65"/>
    </row>
    <row r="898">
      <c r="E898" s="65"/>
    </row>
    <row r="899">
      <c r="E899" s="65"/>
    </row>
    <row r="900">
      <c r="E900" s="65"/>
    </row>
    <row r="901">
      <c r="E901" s="65"/>
    </row>
    <row r="902">
      <c r="E902" s="65"/>
    </row>
    <row r="903">
      <c r="E903" s="65"/>
    </row>
    <row r="904">
      <c r="E904" s="65"/>
    </row>
    <row r="905">
      <c r="E905" s="65"/>
    </row>
    <row r="906">
      <c r="E906" s="65"/>
    </row>
    <row r="907">
      <c r="E907" s="65"/>
    </row>
    <row r="908">
      <c r="E908" s="65"/>
    </row>
    <row r="909">
      <c r="E909" s="65"/>
    </row>
    <row r="910">
      <c r="E910" s="65"/>
    </row>
    <row r="911">
      <c r="E911" s="65"/>
    </row>
    <row r="912">
      <c r="E912" s="65"/>
    </row>
    <row r="913">
      <c r="E913" s="65"/>
    </row>
    <row r="914">
      <c r="E914" s="65"/>
    </row>
    <row r="915">
      <c r="E915" s="65"/>
    </row>
    <row r="916">
      <c r="E916" s="65"/>
    </row>
    <row r="917">
      <c r="E917" s="65"/>
    </row>
    <row r="918">
      <c r="E918" s="65"/>
    </row>
    <row r="919">
      <c r="E919" s="65"/>
    </row>
    <row r="920">
      <c r="E920" s="65"/>
    </row>
    <row r="921">
      <c r="E921" s="65"/>
    </row>
    <row r="922">
      <c r="E922" s="65"/>
    </row>
    <row r="923">
      <c r="E923" s="65"/>
    </row>
    <row r="924">
      <c r="E924" s="65"/>
    </row>
    <row r="925">
      <c r="E925" s="65"/>
    </row>
    <row r="926">
      <c r="E926" s="65"/>
    </row>
    <row r="927">
      <c r="E927" s="65"/>
    </row>
    <row r="928">
      <c r="E928" s="65"/>
    </row>
    <row r="929">
      <c r="E929" s="65"/>
    </row>
    <row r="930">
      <c r="E930" s="65"/>
    </row>
    <row r="931">
      <c r="E931" s="65"/>
    </row>
    <row r="932">
      <c r="E932" s="65"/>
    </row>
    <row r="933">
      <c r="E933" s="65"/>
    </row>
    <row r="934">
      <c r="E934" s="65"/>
    </row>
    <row r="935">
      <c r="E935" s="65"/>
    </row>
    <row r="936">
      <c r="E936" s="65"/>
    </row>
    <row r="937">
      <c r="E937" s="65"/>
    </row>
    <row r="938">
      <c r="E938" s="65"/>
    </row>
    <row r="939">
      <c r="E939" s="65"/>
    </row>
    <row r="940">
      <c r="E940" s="65"/>
    </row>
    <row r="941">
      <c r="E941" s="65"/>
    </row>
    <row r="942">
      <c r="E942" s="65"/>
    </row>
    <row r="943">
      <c r="E943" s="65"/>
    </row>
    <row r="944">
      <c r="E944" s="65"/>
    </row>
    <row r="945">
      <c r="E945" s="65"/>
    </row>
    <row r="946">
      <c r="E946" s="65"/>
    </row>
    <row r="947">
      <c r="E947" s="65"/>
    </row>
    <row r="948">
      <c r="E948" s="65"/>
    </row>
    <row r="949">
      <c r="E949" s="65"/>
    </row>
    <row r="950">
      <c r="E950" s="65"/>
    </row>
    <row r="951">
      <c r="E951" s="65"/>
    </row>
    <row r="952">
      <c r="E952" s="65"/>
    </row>
    <row r="953">
      <c r="E953" s="65"/>
    </row>
    <row r="954">
      <c r="E954" s="65"/>
    </row>
    <row r="955">
      <c r="E955" s="65"/>
    </row>
    <row r="956">
      <c r="E956" s="65"/>
    </row>
    <row r="957">
      <c r="E957" s="65"/>
    </row>
    <row r="958">
      <c r="E958" s="65"/>
    </row>
    <row r="959">
      <c r="E959" s="65"/>
    </row>
    <row r="960">
      <c r="E960" s="65"/>
    </row>
    <row r="961">
      <c r="E961" s="65"/>
    </row>
    <row r="962">
      <c r="E962" s="65"/>
    </row>
    <row r="963">
      <c r="E963" s="65"/>
    </row>
    <row r="964">
      <c r="E964" s="65"/>
    </row>
    <row r="965">
      <c r="E965" s="65"/>
    </row>
    <row r="966">
      <c r="E966" s="65"/>
    </row>
    <row r="967">
      <c r="E967" s="65"/>
    </row>
    <row r="968">
      <c r="E968" s="65"/>
    </row>
    <row r="969">
      <c r="E969" s="65"/>
    </row>
    <row r="970">
      <c r="E970" s="65"/>
    </row>
    <row r="971">
      <c r="E971" s="65"/>
    </row>
    <row r="972">
      <c r="E972" s="65"/>
    </row>
    <row r="973">
      <c r="E973" s="65"/>
    </row>
    <row r="974">
      <c r="E974" s="65"/>
    </row>
    <row r="975">
      <c r="E975" s="65"/>
    </row>
    <row r="976">
      <c r="E976" s="65"/>
    </row>
    <row r="977">
      <c r="E977" s="65"/>
    </row>
    <row r="978">
      <c r="E978" s="65"/>
    </row>
    <row r="979">
      <c r="E979" s="65"/>
    </row>
    <row r="980">
      <c r="E980" s="65"/>
    </row>
    <row r="981">
      <c r="E981" s="65"/>
    </row>
    <row r="982">
      <c r="E982" s="65"/>
    </row>
    <row r="983">
      <c r="E983" s="65"/>
    </row>
    <row r="984">
      <c r="E984" s="65"/>
    </row>
    <row r="985">
      <c r="E985" s="65"/>
    </row>
    <row r="986">
      <c r="E986" s="65"/>
    </row>
    <row r="987">
      <c r="E987" s="65"/>
    </row>
    <row r="988">
      <c r="E988" s="65"/>
    </row>
    <row r="989">
      <c r="E989" s="65"/>
    </row>
    <row r="990">
      <c r="E990" s="65"/>
    </row>
    <row r="991">
      <c r="E991" s="65"/>
    </row>
    <row r="992">
      <c r="E992" s="65"/>
    </row>
    <row r="993">
      <c r="E993" s="65"/>
    </row>
    <row r="994">
      <c r="E994" s="65"/>
    </row>
    <row r="995">
      <c r="E995" s="65"/>
    </row>
    <row r="996">
      <c r="E996" s="65"/>
    </row>
    <row r="997">
      <c r="E997" s="65"/>
    </row>
  </sheetData>
  <mergeCells count="10">
    <mergeCell ref="A39:A50"/>
    <mergeCell ref="A51:A57"/>
    <mergeCell ref="A59:A76"/>
    <mergeCell ref="A1:A2"/>
    <mergeCell ref="B1:B2"/>
    <mergeCell ref="C1:C2"/>
    <mergeCell ref="D1:D2"/>
    <mergeCell ref="A3:A4"/>
    <mergeCell ref="A5:A22"/>
    <mergeCell ref="A23:A38"/>
  </mergeCells>
  <conditionalFormatting sqref="D3:D76">
    <cfRule type="cellIs" dxfId="4" priority="1" operator="between">
      <formula>"08:00:00"</formula>
      <formula>"07:00:00"</formula>
    </cfRule>
  </conditionalFormatting>
  <conditionalFormatting sqref="D3:D76">
    <cfRule type="cellIs" dxfId="5" priority="2" operator="between">
      <formula>"07:00:00"</formula>
      <formula>"00:00:01"</formula>
    </cfRule>
  </conditionalFormatting>
  <conditionalFormatting sqref="D3:D76">
    <cfRule type="containsText" dxfId="6" priority="3" operator="containsText" text="Leave">
      <formula>NOT(ISERROR(SEARCH(("Leave"),(D3))))</formula>
    </cfRule>
  </conditionalFormatting>
  <conditionalFormatting sqref="E3:AH76">
    <cfRule type="notContainsText" dxfId="8" priority="4" operator="notContains" text="0">
      <formula>ISERROR(SEARCH(("0"),(E3)))</formula>
    </cfRule>
  </conditionalFormatting>
  <conditionalFormatting sqref="D3:AH76">
    <cfRule type="cellIs" dxfId="2" priority="5" operator="greaterThanOrEqual">
      <formula>"08:45:00"</formula>
    </cfRule>
  </conditionalFormatting>
  <conditionalFormatting sqref="D3:AH76">
    <cfRule type="cellIs" dxfId="3" priority="6" operator="between">
      <formula>"08:44:00"</formula>
      <formula>"08:00:00"</formula>
    </cfRule>
  </conditionalFormatting>
  <conditionalFormatting sqref="E3:AH76">
    <cfRule type="cellIs" dxfId="9" priority="7" operator="between">
      <formula>"07:59:00"</formula>
      <formula>"07:00:00"</formula>
    </cfRule>
  </conditionalFormatting>
  <conditionalFormatting sqref="E3:AH76">
    <cfRule type="cellIs" dxfId="5" priority="8" operator="between">
      <formula>"06:59:00"</formula>
      <formula>"00:00:01"</formula>
    </cfRule>
  </conditionalFormatting>
  <conditionalFormatting sqref="E3:AH76">
    <cfRule type="notContainsBlanks" dxfId="10" priority="9">
      <formula>LEN(TRIM(E3))&gt;0</formula>
    </cfRule>
  </conditionalFormatting>
  <conditionalFormatting sqref="E3:AH76">
    <cfRule type="containsText" dxfId="11" priority="10" operator="containsText" text="Leave">
      <formula>NOT(ISERROR(SEARCH(("Leave"),(E3))))</formula>
    </cfRule>
  </conditionalFormatting>
  <conditionalFormatting sqref="D3:AH76">
    <cfRule type="notContainsBlanks" dxfId="7" priority="11">
      <formula>LEN(TRIM(D3))&gt;0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13"/>
    <col customWidth="1" min="2" max="2" width="3.63"/>
    <col customWidth="1" min="3" max="3" width="23.13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134" t="str">
        <f t="shared" ref="E1:AH1" si="1">text(E2, "ddd")</f>
        <v>Mon</v>
      </c>
      <c r="F1" s="134" t="str">
        <f t="shared" si="1"/>
        <v>Tue</v>
      </c>
      <c r="G1" s="134" t="str">
        <f t="shared" si="1"/>
        <v>Wed</v>
      </c>
      <c r="H1" s="134" t="str">
        <f t="shared" si="1"/>
        <v>Thu</v>
      </c>
      <c r="I1" s="134" t="str">
        <f t="shared" si="1"/>
        <v>Fri</v>
      </c>
      <c r="J1" s="135" t="str">
        <f t="shared" si="1"/>
        <v>Sat</v>
      </c>
      <c r="K1" s="135" t="str">
        <f t="shared" si="1"/>
        <v>Sun</v>
      </c>
      <c r="L1" s="134" t="str">
        <f t="shared" si="1"/>
        <v>Mon</v>
      </c>
      <c r="M1" s="134" t="str">
        <f t="shared" si="1"/>
        <v>Tue</v>
      </c>
      <c r="N1" s="218" t="str">
        <f t="shared" si="1"/>
        <v>Wed</v>
      </c>
      <c r="O1" s="134" t="str">
        <f t="shared" si="1"/>
        <v>Thu</v>
      </c>
      <c r="P1" s="134" t="str">
        <f t="shared" si="1"/>
        <v>Fri</v>
      </c>
      <c r="Q1" s="135" t="str">
        <f t="shared" si="1"/>
        <v>Sat</v>
      </c>
      <c r="R1" s="135" t="str">
        <f t="shared" si="1"/>
        <v>Sun</v>
      </c>
      <c r="S1" s="134" t="str">
        <f t="shared" si="1"/>
        <v>Mon</v>
      </c>
      <c r="T1" s="134" t="str">
        <f t="shared" si="1"/>
        <v>Tue</v>
      </c>
      <c r="U1" s="134" t="str">
        <f t="shared" si="1"/>
        <v>Wed</v>
      </c>
      <c r="V1" s="134" t="str">
        <f t="shared" si="1"/>
        <v>Thu</v>
      </c>
      <c r="W1" s="134" t="str">
        <f t="shared" si="1"/>
        <v>Fri</v>
      </c>
      <c r="X1" s="135" t="str">
        <f t="shared" si="1"/>
        <v>Sat</v>
      </c>
      <c r="Y1" s="135" t="str">
        <f t="shared" si="1"/>
        <v>Sun</v>
      </c>
      <c r="Z1" s="134" t="str">
        <f t="shared" si="1"/>
        <v>Mon</v>
      </c>
      <c r="AA1" s="134" t="str">
        <f t="shared" si="1"/>
        <v>Tue</v>
      </c>
      <c r="AB1" s="134" t="str">
        <f t="shared" si="1"/>
        <v>Wed</v>
      </c>
      <c r="AC1" s="134" t="str">
        <f t="shared" si="1"/>
        <v>Thu</v>
      </c>
      <c r="AD1" s="134" t="str">
        <f t="shared" si="1"/>
        <v>Fri</v>
      </c>
      <c r="AE1" s="135" t="str">
        <f t="shared" si="1"/>
        <v>Sat</v>
      </c>
      <c r="AF1" s="135" t="str">
        <f t="shared" si="1"/>
        <v>Sun</v>
      </c>
      <c r="AG1" s="134" t="str">
        <f t="shared" si="1"/>
        <v>Mon</v>
      </c>
      <c r="AH1" s="134" t="str">
        <f t="shared" si="1"/>
        <v>Tue</v>
      </c>
    </row>
    <row r="2">
      <c r="B2" s="15"/>
      <c r="C2" s="15"/>
      <c r="D2" s="15"/>
      <c r="E2" s="136">
        <v>45901.0</v>
      </c>
      <c r="F2" s="136">
        <v>45902.0</v>
      </c>
      <c r="G2" s="136">
        <v>45903.0</v>
      </c>
      <c r="H2" s="136">
        <v>45904.0</v>
      </c>
      <c r="I2" s="136">
        <v>45905.0</v>
      </c>
      <c r="J2" s="137">
        <v>45906.0</v>
      </c>
      <c r="K2" s="137">
        <v>45907.0</v>
      </c>
      <c r="L2" s="136">
        <v>45908.0</v>
      </c>
      <c r="M2" s="136">
        <v>45909.0</v>
      </c>
      <c r="N2" s="219">
        <v>45910.0</v>
      </c>
      <c r="O2" s="136">
        <v>45911.0</v>
      </c>
      <c r="P2" s="136">
        <v>45912.0</v>
      </c>
      <c r="Q2" s="137">
        <v>45913.0</v>
      </c>
      <c r="R2" s="137">
        <v>45914.0</v>
      </c>
      <c r="S2" s="136">
        <v>45915.0</v>
      </c>
      <c r="T2" s="136">
        <v>45916.0</v>
      </c>
      <c r="U2" s="136">
        <v>45917.0</v>
      </c>
      <c r="V2" s="136">
        <v>45918.0</v>
      </c>
      <c r="W2" s="136">
        <v>45919.0</v>
      </c>
      <c r="X2" s="137">
        <v>45920.0</v>
      </c>
      <c r="Y2" s="137">
        <v>45921.0</v>
      </c>
      <c r="Z2" s="136">
        <v>45922.0</v>
      </c>
      <c r="AA2" s="136">
        <v>45923.0</v>
      </c>
      <c r="AB2" s="136">
        <v>45924.0</v>
      </c>
      <c r="AC2" s="136">
        <v>45925.0</v>
      </c>
      <c r="AD2" s="136">
        <v>45926.0</v>
      </c>
      <c r="AE2" s="137">
        <v>45927.0</v>
      </c>
      <c r="AF2" s="137">
        <v>45928.0</v>
      </c>
      <c r="AG2" s="136">
        <v>45929.0</v>
      </c>
      <c r="AH2" s="136">
        <v>45930.0</v>
      </c>
    </row>
    <row r="3">
      <c r="A3" s="138">
        <v>45452.0</v>
      </c>
      <c r="B3" s="139">
        <v>1.0</v>
      </c>
      <c r="C3" s="197" t="s">
        <v>222</v>
      </c>
      <c r="D3" s="22">
        <f t="shared" ref="D3:D84" si="2">sum(E3:AH3)</f>
        <v>5.416666667</v>
      </c>
      <c r="E3" s="116">
        <v>0.4340277777777778</v>
      </c>
      <c r="F3" s="114" t="s">
        <v>316</v>
      </c>
      <c r="G3" s="117">
        <v>0.3298611111111111</v>
      </c>
      <c r="H3" s="116">
        <v>0.32569444444444445</v>
      </c>
      <c r="I3" s="114" t="s">
        <v>316</v>
      </c>
      <c r="J3" s="220"/>
      <c r="K3" s="221"/>
      <c r="L3" s="116">
        <v>0.43680555555555556</v>
      </c>
      <c r="M3" s="114" t="s">
        <v>316</v>
      </c>
      <c r="N3" s="222">
        <v>0.39861111111111114</v>
      </c>
      <c r="O3" s="222">
        <v>0.36319444444444443</v>
      </c>
      <c r="P3" s="223" t="s">
        <v>316</v>
      </c>
      <c r="Q3" s="220"/>
      <c r="R3" s="221"/>
      <c r="S3" s="222">
        <v>0.3076388888888889</v>
      </c>
      <c r="T3" s="223" t="s">
        <v>316</v>
      </c>
      <c r="U3" s="222">
        <v>0.38333333333333336</v>
      </c>
      <c r="V3" s="222">
        <v>0.375</v>
      </c>
      <c r="W3" s="223" t="s">
        <v>316</v>
      </c>
      <c r="X3" s="220"/>
      <c r="Y3" s="220"/>
      <c r="Z3" s="222">
        <v>0.40902777777777777</v>
      </c>
      <c r="AA3" s="222">
        <v>0.4097222222222222</v>
      </c>
      <c r="AB3" s="223" t="s">
        <v>316</v>
      </c>
      <c r="AC3" s="222">
        <v>0.4076388888888889</v>
      </c>
      <c r="AD3" s="223" t="s">
        <v>316</v>
      </c>
      <c r="AE3" s="220"/>
      <c r="AF3" s="220"/>
      <c r="AG3" s="222">
        <v>0.42430555555555555</v>
      </c>
      <c r="AH3" s="222">
        <v>0.41180555555555554</v>
      </c>
    </row>
    <row r="4">
      <c r="A4" s="15"/>
      <c r="B4" s="139">
        <v>2.0</v>
      </c>
      <c r="C4" s="197" t="s">
        <v>41</v>
      </c>
      <c r="D4" s="22">
        <f t="shared" si="2"/>
        <v>4.863888889</v>
      </c>
      <c r="E4" s="117">
        <v>0.3645833333333333</v>
      </c>
      <c r="F4" s="117">
        <v>0.3854166666666667</v>
      </c>
      <c r="G4" s="114" t="s">
        <v>316</v>
      </c>
      <c r="H4" s="117">
        <v>0.3611111111111111</v>
      </c>
      <c r="I4" s="114" t="s">
        <v>316</v>
      </c>
      <c r="J4" s="220"/>
      <c r="K4" s="221"/>
      <c r="L4" s="117">
        <v>0.35625</v>
      </c>
      <c r="M4" s="116">
        <v>0.33402777777777776</v>
      </c>
      <c r="N4" s="223" t="s">
        <v>316</v>
      </c>
      <c r="O4" s="223" t="s">
        <v>269</v>
      </c>
      <c r="P4" s="223" t="s">
        <v>316</v>
      </c>
      <c r="Q4" s="220"/>
      <c r="R4" s="221"/>
      <c r="S4" s="222">
        <v>0.38958333333333334</v>
      </c>
      <c r="T4" s="224">
        <v>0.37916666666666665</v>
      </c>
      <c r="U4" s="224">
        <v>0.37569444444444444</v>
      </c>
      <c r="V4" s="223" t="s">
        <v>271</v>
      </c>
      <c r="W4" s="223" t="s">
        <v>316</v>
      </c>
      <c r="X4" s="220"/>
      <c r="Y4" s="220"/>
      <c r="Z4" s="224">
        <v>0.3611111111111111</v>
      </c>
      <c r="AA4" s="224">
        <v>0.3819444444444444</v>
      </c>
      <c r="AB4" s="222">
        <v>0.4013888888888889</v>
      </c>
      <c r="AC4" s="224">
        <v>0.37916666666666665</v>
      </c>
      <c r="AD4" s="223" t="s">
        <v>316</v>
      </c>
      <c r="AE4" s="220"/>
      <c r="AF4" s="220"/>
      <c r="AG4" s="222">
        <v>0.39444444444444443</v>
      </c>
      <c r="AH4" s="223" t="s">
        <v>316</v>
      </c>
    </row>
    <row r="5">
      <c r="A5" s="144">
        <v>45483.0</v>
      </c>
      <c r="B5" s="145">
        <v>3.0</v>
      </c>
      <c r="C5" s="198" t="s">
        <v>234</v>
      </c>
      <c r="D5" s="22">
        <f t="shared" si="2"/>
        <v>4.832638889</v>
      </c>
      <c r="E5" s="114" t="s">
        <v>316</v>
      </c>
      <c r="F5" s="117">
        <v>0.2708333333333333</v>
      </c>
      <c r="G5" s="114" t="s">
        <v>316</v>
      </c>
      <c r="H5" s="117">
        <v>0.3194444444444444</v>
      </c>
      <c r="I5" s="117">
        <v>0.2916666666666667</v>
      </c>
      <c r="J5" s="220"/>
      <c r="K5" s="221"/>
      <c r="L5" s="114" t="s">
        <v>316</v>
      </c>
      <c r="M5" s="117">
        <v>0.3333333333333333</v>
      </c>
      <c r="N5" s="223" t="s">
        <v>316</v>
      </c>
      <c r="O5" s="224">
        <v>0.3611111111111111</v>
      </c>
      <c r="P5" s="224">
        <v>0.3541666666666667</v>
      </c>
      <c r="Q5" s="220"/>
      <c r="R5" s="221"/>
      <c r="S5" s="224">
        <v>0.3680555555555556</v>
      </c>
      <c r="T5" s="224">
        <v>0.35625</v>
      </c>
      <c r="U5" s="223" t="s">
        <v>316</v>
      </c>
      <c r="V5" s="224">
        <v>0.3611111111111111</v>
      </c>
      <c r="W5" s="224">
        <v>0.3680555555555556</v>
      </c>
      <c r="X5" s="220"/>
      <c r="Y5" s="220"/>
      <c r="Z5" s="224">
        <v>0.3541666666666667</v>
      </c>
      <c r="AA5" s="223" t="s">
        <v>316</v>
      </c>
      <c r="AB5" s="224">
        <v>0.3645833333333333</v>
      </c>
      <c r="AC5" s="223" t="s">
        <v>316</v>
      </c>
      <c r="AD5" s="224">
        <v>0.3680555555555556</v>
      </c>
      <c r="AE5" s="220"/>
      <c r="AF5" s="220"/>
      <c r="AG5" s="224">
        <v>0.36180555555555555</v>
      </c>
      <c r="AH5" s="223" t="s">
        <v>316</v>
      </c>
    </row>
    <row r="6">
      <c r="A6" s="32"/>
      <c r="B6" s="186">
        <v>4.0</v>
      </c>
      <c r="C6" s="198" t="s">
        <v>201</v>
      </c>
      <c r="D6" s="22">
        <f t="shared" si="2"/>
        <v>7.00625</v>
      </c>
      <c r="E6" s="116">
        <v>0.3819444444444444</v>
      </c>
      <c r="F6" s="116">
        <v>0.35347222222222224</v>
      </c>
      <c r="G6" s="116">
        <v>0.37777777777777777</v>
      </c>
      <c r="H6" s="114" t="s">
        <v>316</v>
      </c>
      <c r="I6" s="116">
        <v>0.33611111111111114</v>
      </c>
      <c r="J6" s="220"/>
      <c r="K6" s="221"/>
      <c r="L6" s="116">
        <v>0.36527777777777776</v>
      </c>
      <c r="M6" s="116">
        <v>0.35208333333333336</v>
      </c>
      <c r="N6" s="222">
        <v>0.3951388888888889</v>
      </c>
      <c r="O6" s="222">
        <v>0.35347222222222224</v>
      </c>
      <c r="P6" s="223" t="s">
        <v>316</v>
      </c>
      <c r="Q6" s="220"/>
      <c r="R6" s="221"/>
      <c r="S6" s="222">
        <v>0.3541666666666667</v>
      </c>
      <c r="T6" s="222">
        <v>0.38819444444444445</v>
      </c>
      <c r="U6" s="222">
        <v>0.36180555555555555</v>
      </c>
      <c r="V6" s="222">
        <v>0.36180555555555555</v>
      </c>
      <c r="W6" s="222">
        <v>0.37777777777777777</v>
      </c>
      <c r="X6" s="220"/>
      <c r="Y6" s="220"/>
      <c r="Z6" s="222">
        <v>0.36041666666666666</v>
      </c>
      <c r="AA6" s="222">
        <v>0.39305555555555555</v>
      </c>
      <c r="AB6" s="222">
        <v>0.4041666666666667</v>
      </c>
      <c r="AC6" s="222">
        <v>0.3736111111111111</v>
      </c>
      <c r="AD6" s="223" t="s">
        <v>316</v>
      </c>
      <c r="AE6" s="220"/>
      <c r="AF6" s="220"/>
      <c r="AG6" s="222">
        <v>0.35555555555555557</v>
      </c>
      <c r="AH6" s="222">
        <v>0.36041666666666666</v>
      </c>
    </row>
    <row r="7">
      <c r="A7" s="32"/>
      <c r="B7" s="186">
        <v>5.0</v>
      </c>
      <c r="C7" s="198" t="s">
        <v>246</v>
      </c>
      <c r="D7" s="22">
        <f t="shared" si="2"/>
        <v>3.657638889</v>
      </c>
      <c r="E7" s="116">
        <v>0.3625</v>
      </c>
      <c r="F7" s="114" t="s">
        <v>316</v>
      </c>
      <c r="G7" s="116">
        <v>0.3625</v>
      </c>
      <c r="H7" s="114" t="s">
        <v>316</v>
      </c>
      <c r="I7" s="114" t="s">
        <v>316</v>
      </c>
      <c r="J7" s="220"/>
      <c r="K7" s="221"/>
      <c r="L7" s="114" t="s">
        <v>271</v>
      </c>
      <c r="M7" s="114" t="s">
        <v>316</v>
      </c>
      <c r="N7" s="222">
        <v>0.3548611111111111</v>
      </c>
      <c r="O7" s="223" t="s">
        <v>316</v>
      </c>
      <c r="P7" s="223" t="s">
        <v>316</v>
      </c>
      <c r="Q7" s="220"/>
      <c r="R7" s="221"/>
      <c r="S7" s="222">
        <v>0.37083333333333335</v>
      </c>
      <c r="T7" s="222">
        <v>0.37083333333333335</v>
      </c>
      <c r="U7" s="222">
        <v>0.3715277777777778</v>
      </c>
      <c r="V7" s="222">
        <v>0.3715277777777778</v>
      </c>
      <c r="W7" s="222">
        <v>0.3715277777777778</v>
      </c>
      <c r="X7" s="220"/>
      <c r="Y7" s="220"/>
      <c r="Z7" s="222">
        <v>0.3638888888888889</v>
      </c>
      <c r="AA7" s="223" t="s">
        <v>316</v>
      </c>
      <c r="AB7" s="222">
        <v>0.3576388888888889</v>
      </c>
      <c r="AC7" s="223" t="s">
        <v>316</v>
      </c>
      <c r="AD7" s="223" t="s">
        <v>316</v>
      </c>
      <c r="AE7" s="220"/>
      <c r="AF7" s="220"/>
      <c r="AG7" s="223" t="s">
        <v>316</v>
      </c>
      <c r="AH7" s="223" t="s">
        <v>269</v>
      </c>
    </row>
    <row r="8">
      <c r="A8" s="32"/>
      <c r="B8" s="145">
        <v>6.0</v>
      </c>
      <c r="C8" s="198" t="s">
        <v>231</v>
      </c>
      <c r="D8" s="22">
        <f t="shared" si="2"/>
        <v>4.377777778</v>
      </c>
      <c r="E8" s="116">
        <v>0.2875</v>
      </c>
      <c r="F8" s="114" t="s">
        <v>316</v>
      </c>
      <c r="G8" s="114" t="s">
        <v>316</v>
      </c>
      <c r="H8" s="116">
        <v>0.3451388888888889</v>
      </c>
      <c r="I8" s="116">
        <v>0.29444444444444445</v>
      </c>
      <c r="J8" s="220"/>
      <c r="K8" s="221"/>
      <c r="L8" s="116">
        <v>0.3784722222222222</v>
      </c>
      <c r="M8" s="116">
        <v>0.3</v>
      </c>
      <c r="N8" s="223" t="s">
        <v>316</v>
      </c>
      <c r="O8" s="223" t="s">
        <v>316</v>
      </c>
      <c r="P8" s="222">
        <v>0.3875</v>
      </c>
      <c r="Q8" s="220"/>
      <c r="R8" s="221"/>
      <c r="S8" s="223" t="s">
        <v>316</v>
      </c>
      <c r="T8" s="222">
        <v>0.37569444444444444</v>
      </c>
      <c r="U8" s="222">
        <v>0.23125</v>
      </c>
      <c r="V8" s="222">
        <v>0.3138888888888889</v>
      </c>
      <c r="W8" s="222">
        <v>0.23125</v>
      </c>
      <c r="X8" s="220"/>
      <c r="Y8" s="220"/>
      <c r="Z8" s="222">
        <v>0.4131944444444444</v>
      </c>
      <c r="AA8" s="222">
        <v>0.45416666666666666</v>
      </c>
      <c r="AB8" s="222">
        <v>0.36527777777777776</v>
      </c>
      <c r="AC8" s="223" t="s">
        <v>316</v>
      </c>
      <c r="AD8" s="223" t="s">
        <v>316</v>
      </c>
      <c r="AE8" s="220"/>
      <c r="AF8" s="220"/>
      <c r="AG8" s="223" t="s">
        <v>269</v>
      </c>
      <c r="AH8" s="223" t="s">
        <v>316</v>
      </c>
    </row>
    <row r="9">
      <c r="A9" s="32"/>
      <c r="B9" s="186">
        <v>7.0</v>
      </c>
      <c r="C9" s="199" t="s">
        <v>147</v>
      </c>
      <c r="D9" s="22">
        <f t="shared" si="2"/>
        <v>7.281944444</v>
      </c>
      <c r="E9" s="116">
        <v>0.37777777777777777</v>
      </c>
      <c r="F9" s="147">
        <v>0.3229166666666667</v>
      </c>
      <c r="G9" s="116">
        <v>0.3388888888888889</v>
      </c>
      <c r="H9" s="116">
        <v>0.3763888888888889</v>
      </c>
      <c r="I9" s="114" t="s">
        <v>341</v>
      </c>
      <c r="J9" s="220"/>
      <c r="K9" s="221"/>
      <c r="L9" s="116">
        <v>0.3548611111111111</v>
      </c>
      <c r="M9" s="116">
        <v>0.3951388888888889</v>
      </c>
      <c r="N9" s="222">
        <v>0.3861111111111111</v>
      </c>
      <c r="O9" s="222">
        <v>0.39375</v>
      </c>
      <c r="P9" s="222">
        <v>0.39305555555555555</v>
      </c>
      <c r="Q9" s="220"/>
      <c r="R9" s="221"/>
      <c r="S9" s="224">
        <v>0.16666666666666666</v>
      </c>
      <c r="T9" s="225">
        <v>0.16666666666666666</v>
      </c>
      <c r="U9" s="222">
        <v>0.33541666666666664</v>
      </c>
      <c r="V9" s="224">
        <v>0.37222222222222223</v>
      </c>
      <c r="W9" s="222">
        <v>0.3597222222222222</v>
      </c>
      <c r="X9" s="220"/>
      <c r="Y9" s="220"/>
      <c r="Z9" s="222">
        <v>0.37569444444444444</v>
      </c>
      <c r="AA9" s="222">
        <v>0.36180555555555555</v>
      </c>
      <c r="AB9" s="222">
        <v>0.34375</v>
      </c>
      <c r="AC9" s="222">
        <v>0.375</v>
      </c>
      <c r="AD9" s="222">
        <v>0.3638888888888889</v>
      </c>
      <c r="AE9" s="220"/>
      <c r="AF9" s="220"/>
      <c r="AG9" s="222">
        <v>0.3597222222222222</v>
      </c>
      <c r="AH9" s="222">
        <v>0.3625</v>
      </c>
    </row>
    <row r="10">
      <c r="A10" s="32"/>
      <c r="B10" s="186">
        <v>8.0</v>
      </c>
      <c r="C10" s="198" t="s">
        <v>177</v>
      </c>
      <c r="D10" s="22">
        <f t="shared" si="2"/>
        <v>5.979166667</v>
      </c>
      <c r="E10" s="116">
        <v>0.3548611111111111</v>
      </c>
      <c r="F10" s="116">
        <v>0.3423611111111111</v>
      </c>
      <c r="G10" s="116">
        <v>0.35555555555555557</v>
      </c>
      <c r="H10" s="116">
        <v>0.34930555555555554</v>
      </c>
      <c r="I10" s="114" t="s">
        <v>316</v>
      </c>
      <c r="J10" s="220"/>
      <c r="K10" s="221"/>
      <c r="L10" s="114" t="s">
        <v>269</v>
      </c>
      <c r="M10" s="116">
        <v>0.3548611111111111</v>
      </c>
      <c r="N10" s="222">
        <v>0.36041666666666666</v>
      </c>
      <c r="O10" s="222">
        <v>0.36041666666666666</v>
      </c>
      <c r="P10" s="223" t="s">
        <v>316</v>
      </c>
      <c r="Q10" s="220"/>
      <c r="R10" s="221"/>
      <c r="S10" s="222">
        <v>0.35208333333333336</v>
      </c>
      <c r="T10" s="224">
        <v>0.36041666666666666</v>
      </c>
      <c r="U10" s="222">
        <v>0.35208333333333336</v>
      </c>
      <c r="V10" s="224">
        <v>0.3458333333333333</v>
      </c>
      <c r="W10" s="223" t="s">
        <v>316</v>
      </c>
      <c r="X10" s="220"/>
      <c r="Y10" s="220"/>
      <c r="Z10" s="222">
        <v>0.36666666666666664</v>
      </c>
      <c r="AA10" s="222">
        <v>0.36180555555555555</v>
      </c>
      <c r="AB10" s="222">
        <v>0.35625</v>
      </c>
      <c r="AC10" s="222">
        <v>0.29444444444444445</v>
      </c>
      <c r="AD10" s="223" t="s">
        <v>316</v>
      </c>
      <c r="AE10" s="220"/>
      <c r="AF10" s="220"/>
      <c r="AG10" s="222">
        <v>0.35138888888888886</v>
      </c>
      <c r="AH10" s="222">
        <v>0.36041666666666666</v>
      </c>
    </row>
    <row r="11">
      <c r="A11" s="32"/>
      <c r="B11" s="186">
        <v>9.0</v>
      </c>
      <c r="C11" s="199" t="s">
        <v>216</v>
      </c>
      <c r="D11" s="22">
        <f t="shared" si="2"/>
        <v>0.9979166667</v>
      </c>
      <c r="E11" s="114" t="s">
        <v>316</v>
      </c>
      <c r="F11" s="116">
        <v>0.3958333333333333</v>
      </c>
      <c r="G11" s="114" t="s">
        <v>316</v>
      </c>
      <c r="H11" s="116">
        <v>0.35208333333333336</v>
      </c>
      <c r="I11" s="117">
        <v>0.25</v>
      </c>
      <c r="J11" s="220"/>
      <c r="K11" s="221"/>
      <c r="L11" s="114" t="s">
        <v>316</v>
      </c>
      <c r="M11" s="114" t="s">
        <v>316</v>
      </c>
      <c r="N11" s="223" t="s">
        <v>316</v>
      </c>
      <c r="O11" s="223" t="s">
        <v>316</v>
      </c>
      <c r="P11" s="223" t="s">
        <v>316</v>
      </c>
      <c r="Q11" s="220"/>
      <c r="R11" s="221"/>
      <c r="S11" s="223" t="s">
        <v>316</v>
      </c>
      <c r="T11" s="223" t="s">
        <v>315</v>
      </c>
      <c r="U11" s="223" t="s">
        <v>316</v>
      </c>
      <c r="V11" s="223" t="s">
        <v>316</v>
      </c>
      <c r="W11" s="223" t="s">
        <v>316</v>
      </c>
      <c r="X11" s="220"/>
      <c r="Y11" s="220"/>
      <c r="Z11" s="223" t="s">
        <v>315</v>
      </c>
      <c r="AA11" s="223" t="s">
        <v>315</v>
      </c>
      <c r="AB11" s="223" t="s">
        <v>316</v>
      </c>
      <c r="AC11" s="223" t="s">
        <v>316</v>
      </c>
      <c r="AD11" s="223" t="s">
        <v>316</v>
      </c>
      <c r="AE11" s="220"/>
      <c r="AF11" s="220"/>
      <c r="AG11" s="223" t="s">
        <v>316</v>
      </c>
      <c r="AH11" s="223" t="s">
        <v>316</v>
      </c>
    </row>
    <row r="12">
      <c r="A12" s="32"/>
      <c r="B12" s="145">
        <v>10.0</v>
      </c>
      <c r="C12" s="200" t="s">
        <v>336</v>
      </c>
      <c r="D12" s="22">
        <f t="shared" si="2"/>
        <v>2.073611111</v>
      </c>
      <c r="E12" s="114" t="s">
        <v>271</v>
      </c>
      <c r="F12" s="117">
        <v>0.3645833333333333</v>
      </c>
      <c r="G12" s="117">
        <v>0.3680555555555556</v>
      </c>
      <c r="H12" s="114" t="s">
        <v>316</v>
      </c>
      <c r="I12" s="114" t="s">
        <v>316</v>
      </c>
      <c r="J12" s="220"/>
      <c r="K12" s="221"/>
      <c r="L12" s="116">
        <v>0.3784722222222222</v>
      </c>
      <c r="M12" s="116">
        <v>0.30277777777777776</v>
      </c>
      <c r="N12" s="224">
        <v>0.3472222222222222</v>
      </c>
      <c r="O12" s="224">
        <v>0.3125</v>
      </c>
      <c r="P12" s="222"/>
      <c r="Q12" s="220"/>
      <c r="R12" s="221"/>
      <c r="S12" s="222"/>
      <c r="T12" s="222"/>
      <c r="U12" s="222"/>
      <c r="V12" s="222"/>
      <c r="W12" s="222"/>
      <c r="X12" s="220"/>
      <c r="Y12" s="220"/>
      <c r="Z12" s="222"/>
      <c r="AA12" s="222"/>
      <c r="AB12" s="222"/>
      <c r="AC12" s="222"/>
      <c r="AD12" s="222"/>
      <c r="AE12" s="220"/>
      <c r="AF12" s="220"/>
      <c r="AG12" s="222"/>
      <c r="AH12" s="222"/>
    </row>
    <row r="13">
      <c r="A13" s="32"/>
      <c r="B13" s="186">
        <v>11.0</v>
      </c>
      <c r="C13" s="198" t="s">
        <v>385</v>
      </c>
      <c r="D13" s="22">
        <f t="shared" si="2"/>
        <v>5.113888889</v>
      </c>
      <c r="E13" s="116">
        <v>0.33819444444444446</v>
      </c>
      <c r="F13" s="116">
        <v>0.35208333333333336</v>
      </c>
      <c r="G13" s="114" t="s">
        <v>316</v>
      </c>
      <c r="H13" s="116">
        <v>0.3486111111111111</v>
      </c>
      <c r="I13" s="116">
        <v>0.2708333333333333</v>
      </c>
      <c r="J13" s="220"/>
      <c r="K13" s="221"/>
      <c r="L13" s="116">
        <v>0.36319444444444443</v>
      </c>
      <c r="M13" s="114" t="s">
        <v>316</v>
      </c>
      <c r="N13" s="222">
        <v>0.37569444444444444</v>
      </c>
      <c r="O13" s="222">
        <v>0.32013888888888886</v>
      </c>
      <c r="P13" s="222">
        <v>0.32430555555555557</v>
      </c>
      <c r="Q13" s="220"/>
      <c r="R13" s="221"/>
      <c r="S13" s="223" t="s">
        <v>316</v>
      </c>
      <c r="T13" s="222">
        <v>0.3388888888888889</v>
      </c>
      <c r="U13" s="222">
        <v>0.35833333333333334</v>
      </c>
      <c r="V13" s="224">
        <v>0.16666666666666666</v>
      </c>
      <c r="W13" s="222">
        <v>0.34930555555555554</v>
      </c>
      <c r="X13" s="220"/>
      <c r="Y13" s="220"/>
      <c r="Z13" s="223" t="s">
        <v>316</v>
      </c>
      <c r="AA13" s="223" t="s">
        <v>269</v>
      </c>
      <c r="AB13" s="224">
        <v>0.16666666666666666</v>
      </c>
      <c r="AC13" s="222">
        <v>0.3263888888888889</v>
      </c>
      <c r="AD13" s="222">
        <v>0.3263888888888889</v>
      </c>
      <c r="AE13" s="220"/>
      <c r="AF13" s="220"/>
      <c r="AG13" s="222">
        <v>0.38819444444444445</v>
      </c>
      <c r="AH13" s="223" t="s">
        <v>316</v>
      </c>
    </row>
    <row r="14">
      <c r="A14" s="32"/>
      <c r="B14" s="186">
        <v>12.0</v>
      </c>
      <c r="C14" s="198" t="s">
        <v>386</v>
      </c>
      <c r="D14" s="22">
        <f t="shared" si="2"/>
        <v>6.365277778</v>
      </c>
      <c r="E14" s="116">
        <v>0.3645833333333333</v>
      </c>
      <c r="F14" s="116">
        <v>0.3597222222222222</v>
      </c>
      <c r="G14" s="114" t="s">
        <v>330</v>
      </c>
      <c r="H14" s="114" t="s">
        <v>330</v>
      </c>
      <c r="I14" s="114" t="s">
        <v>330</v>
      </c>
      <c r="J14" s="220"/>
      <c r="K14" s="221"/>
      <c r="L14" s="116">
        <v>0.3770833333333333</v>
      </c>
      <c r="M14" s="114" t="s">
        <v>399</v>
      </c>
      <c r="N14" s="222">
        <v>0.35138888888888886</v>
      </c>
      <c r="O14" s="222">
        <v>0.34930555555555554</v>
      </c>
      <c r="P14" s="222">
        <v>0.34930555555555554</v>
      </c>
      <c r="Q14" s="220"/>
      <c r="R14" s="221"/>
      <c r="S14" s="222">
        <v>0.3527777777777778</v>
      </c>
      <c r="T14" s="222">
        <v>0.3472222222222222</v>
      </c>
      <c r="U14" s="222">
        <v>0.35555555555555557</v>
      </c>
      <c r="V14" s="222">
        <v>0.3576388888888889</v>
      </c>
      <c r="W14" s="222">
        <v>0.35555555555555557</v>
      </c>
      <c r="X14" s="220"/>
      <c r="Y14" s="220"/>
      <c r="Z14" s="222">
        <v>0.3576388888888889</v>
      </c>
      <c r="AA14" s="222">
        <v>0.3638888888888889</v>
      </c>
      <c r="AB14" s="222">
        <v>0.2965277777777778</v>
      </c>
      <c r="AC14" s="222">
        <v>0.3590277777777778</v>
      </c>
      <c r="AD14" s="222">
        <v>0.3590277777777778</v>
      </c>
      <c r="AE14" s="220"/>
      <c r="AF14" s="220"/>
      <c r="AG14" s="222">
        <v>0.3541666666666667</v>
      </c>
      <c r="AH14" s="222">
        <v>0.3548611111111111</v>
      </c>
    </row>
    <row r="15">
      <c r="A15" s="32"/>
      <c r="B15" s="186">
        <v>13.0</v>
      </c>
      <c r="C15" s="198" t="s">
        <v>387</v>
      </c>
      <c r="D15" s="22">
        <f t="shared" si="2"/>
        <v>7.866666667</v>
      </c>
      <c r="E15" s="116">
        <v>0.4111111111111111</v>
      </c>
      <c r="F15" s="116">
        <v>0.36944444444444446</v>
      </c>
      <c r="G15" s="116">
        <v>0.3784722222222222</v>
      </c>
      <c r="H15" s="117">
        <v>0.375</v>
      </c>
      <c r="I15" s="116">
        <v>0.3548611111111111</v>
      </c>
      <c r="J15" s="220"/>
      <c r="K15" s="221"/>
      <c r="L15" s="116">
        <v>0.37777777777777777</v>
      </c>
      <c r="M15" s="116">
        <v>0.3506944444444444</v>
      </c>
      <c r="N15" s="222">
        <v>0.36180555555555555</v>
      </c>
      <c r="O15" s="222">
        <v>0.36319444444444443</v>
      </c>
      <c r="P15" s="222">
        <v>0.36319444444444443</v>
      </c>
      <c r="Q15" s="220"/>
      <c r="R15" s="221"/>
      <c r="S15" s="223" t="s">
        <v>330</v>
      </c>
      <c r="T15" s="222">
        <v>0.3638888888888889</v>
      </c>
      <c r="U15" s="222">
        <v>0.36527777777777776</v>
      </c>
      <c r="V15" s="222">
        <v>0.3770833333333333</v>
      </c>
      <c r="W15" s="222">
        <v>0.36527777777777776</v>
      </c>
      <c r="X15" s="220"/>
      <c r="Y15" s="220"/>
      <c r="Z15" s="222">
        <v>0.3909722222222222</v>
      </c>
      <c r="AA15" s="222">
        <v>0.35555555555555557</v>
      </c>
      <c r="AB15" s="222">
        <v>0.37430555555555556</v>
      </c>
      <c r="AC15" s="222">
        <v>0.39861111111111114</v>
      </c>
      <c r="AD15" s="222">
        <v>0.39861111111111114</v>
      </c>
      <c r="AE15" s="220"/>
      <c r="AF15" s="220"/>
      <c r="AG15" s="222">
        <v>0.4041666666666667</v>
      </c>
      <c r="AH15" s="222">
        <v>0.36736111111111114</v>
      </c>
    </row>
    <row r="16">
      <c r="A16" s="32"/>
      <c r="B16" s="145">
        <v>14.0</v>
      </c>
      <c r="C16" s="200" t="s">
        <v>400</v>
      </c>
      <c r="D16" s="22">
        <f t="shared" si="2"/>
        <v>6.936111111</v>
      </c>
      <c r="E16" s="147">
        <v>0.49444444444444446</v>
      </c>
      <c r="F16" s="117">
        <v>0.2569444444444444</v>
      </c>
      <c r="G16" s="117">
        <v>0.4166666666666667</v>
      </c>
      <c r="H16" s="117">
        <v>0.4263888888888889</v>
      </c>
      <c r="I16" s="114" t="s">
        <v>316</v>
      </c>
      <c r="J16" s="220"/>
      <c r="K16" s="221"/>
      <c r="L16" s="147">
        <v>0.4166666666666667</v>
      </c>
      <c r="M16" s="117">
        <v>0.4736111111111111</v>
      </c>
      <c r="N16" s="222">
        <v>0.30972222222222223</v>
      </c>
      <c r="O16" s="223" t="s">
        <v>315</v>
      </c>
      <c r="P16" s="223" t="s">
        <v>316</v>
      </c>
      <c r="Q16" s="220"/>
      <c r="R16" s="221"/>
      <c r="S16" s="222">
        <v>0.3541666666666667</v>
      </c>
      <c r="T16" s="222">
        <v>0.3111111111111111</v>
      </c>
      <c r="U16" s="222">
        <v>0.3402777777777778</v>
      </c>
      <c r="V16" s="222">
        <v>0.3486111111111111</v>
      </c>
      <c r="W16" s="222">
        <v>0.3402777777777778</v>
      </c>
      <c r="X16" s="220"/>
      <c r="Y16" s="220"/>
      <c r="Z16" s="222">
        <v>0.34791666666666665</v>
      </c>
      <c r="AA16" s="222">
        <v>0.3326388888888889</v>
      </c>
      <c r="AB16" s="222">
        <v>0.3784722222222222</v>
      </c>
      <c r="AC16" s="222">
        <v>0.37083333333333335</v>
      </c>
      <c r="AD16" s="222">
        <v>0.37083333333333335</v>
      </c>
      <c r="AE16" s="220"/>
      <c r="AF16" s="220"/>
      <c r="AG16" s="222">
        <v>0.36180555555555555</v>
      </c>
      <c r="AH16" s="222">
        <v>0.2847222222222222</v>
      </c>
    </row>
    <row r="17">
      <c r="A17" s="32"/>
      <c r="B17" s="186">
        <v>15.0</v>
      </c>
      <c r="C17" s="198" t="s">
        <v>389</v>
      </c>
      <c r="D17" s="22">
        <f t="shared" si="2"/>
        <v>7.464583333</v>
      </c>
      <c r="E17" s="116">
        <v>0.3333333333333333</v>
      </c>
      <c r="F17" s="116">
        <v>0.37916666666666665</v>
      </c>
      <c r="G17" s="116">
        <v>0.37430555555555556</v>
      </c>
      <c r="H17" s="116">
        <v>0.3840277777777778</v>
      </c>
      <c r="I17" s="117">
        <v>0.34375</v>
      </c>
      <c r="J17" s="220"/>
      <c r="K17" s="221"/>
      <c r="L17" s="114" t="s">
        <v>341</v>
      </c>
      <c r="M17" s="114" t="s">
        <v>316</v>
      </c>
      <c r="N17" s="222">
        <v>0.38680555555555557</v>
      </c>
      <c r="O17" s="222">
        <v>0.3770833333333333</v>
      </c>
      <c r="P17" s="222">
        <v>0.38263888888888886</v>
      </c>
      <c r="Q17" s="220"/>
      <c r="R17" s="221"/>
      <c r="S17" s="222">
        <v>0.38819444444444445</v>
      </c>
      <c r="T17" s="222">
        <v>0.3763888888888889</v>
      </c>
      <c r="U17" s="222">
        <v>0.3763888888888889</v>
      </c>
      <c r="V17" s="222">
        <v>0.38055555555555554</v>
      </c>
      <c r="W17" s="222">
        <v>0.3763888888888889</v>
      </c>
      <c r="X17" s="220"/>
      <c r="Y17" s="220"/>
      <c r="Z17" s="222">
        <v>0.3958333333333333</v>
      </c>
      <c r="AA17" s="222">
        <v>0.37777777777777777</v>
      </c>
      <c r="AB17" s="222">
        <v>0.3638888888888889</v>
      </c>
      <c r="AC17" s="222">
        <v>0.37777777777777777</v>
      </c>
      <c r="AD17" s="222">
        <v>0.36319444444444443</v>
      </c>
      <c r="AE17" s="220"/>
      <c r="AF17" s="220"/>
      <c r="AG17" s="222">
        <v>0.3729166666666667</v>
      </c>
      <c r="AH17" s="222">
        <v>0.3541666666666667</v>
      </c>
    </row>
    <row r="18">
      <c r="A18" s="32"/>
      <c r="B18" s="145">
        <v>16.0</v>
      </c>
      <c r="C18" s="198" t="s">
        <v>390</v>
      </c>
      <c r="D18" s="22">
        <f t="shared" si="2"/>
        <v>6.906944444</v>
      </c>
      <c r="E18" s="114" t="s">
        <v>316</v>
      </c>
      <c r="F18" s="116">
        <v>0.3638888888888889</v>
      </c>
      <c r="G18" s="116">
        <v>0.36736111111111114</v>
      </c>
      <c r="H18" s="116">
        <v>0.3888888888888889</v>
      </c>
      <c r="I18" s="116">
        <v>0.28541666666666665</v>
      </c>
      <c r="J18" s="220"/>
      <c r="K18" s="221"/>
      <c r="L18" s="116">
        <v>0.36875</v>
      </c>
      <c r="M18" s="116">
        <v>0.3541666666666667</v>
      </c>
      <c r="N18" s="222">
        <v>0.37083333333333335</v>
      </c>
      <c r="O18" s="222">
        <v>0.36180555555555555</v>
      </c>
      <c r="P18" s="222">
        <v>0.37777777777777777</v>
      </c>
      <c r="Q18" s="220"/>
      <c r="R18" s="221"/>
      <c r="S18" s="223" t="s">
        <v>269</v>
      </c>
      <c r="T18" s="222">
        <v>0.3590277777777778</v>
      </c>
      <c r="U18" s="222">
        <v>0.3736111111111111</v>
      </c>
      <c r="V18" s="222">
        <v>0.3590277777777778</v>
      </c>
      <c r="W18" s="222">
        <v>0.3590277777777778</v>
      </c>
      <c r="X18" s="220"/>
      <c r="Y18" s="220"/>
      <c r="Z18" s="222">
        <v>0.40069444444444446</v>
      </c>
      <c r="AA18" s="222">
        <v>0.36736111111111114</v>
      </c>
      <c r="AB18" s="222">
        <v>0.36736111111111114</v>
      </c>
      <c r="AC18" s="222">
        <v>0.35555555555555557</v>
      </c>
      <c r="AD18" s="222">
        <v>0.375</v>
      </c>
      <c r="AE18" s="220"/>
      <c r="AF18" s="220"/>
      <c r="AG18" s="223" t="s">
        <v>271</v>
      </c>
      <c r="AH18" s="222">
        <v>0.35138888888888886</v>
      </c>
    </row>
    <row r="19">
      <c r="A19" s="32"/>
      <c r="B19" s="186">
        <v>17.0</v>
      </c>
      <c r="C19" s="198" t="s">
        <v>391</v>
      </c>
      <c r="D19" s="22">
        <f t="shared" si="2"/>
        <v>9.585416667</v>
      </c>
      <c r="E19" s="116">
        <v>0.4048611111111111</v>
      </c>
      <c r="F19" s="116">
        <v>0.46597222222222223</v>
      </c>
      <c r="G19" s="116">
        <v>0.44375</v>
      </c>
      <c r="H19" s="116">
        <v>0.4326388888888889</v>
      </c>
      <c r="I19" s="116">
        <v>0.2916666666666667</v>
      </c>
      <c r="J19" s="220"/>
      <c r="K19" s="221"/>
      <c r="L19" s="116">
        <v>0.45208333333333334</v>
      </c>
      <c r="M19" s="116">
        <v>0.4284722222222222</v>
      </c>
      <c r="N19" s="222">
        <v>0.4326388888888889</v>
      </c>
      <c r="O19" s="222">
        <v>0.4041666666666667</v>
      </c>
      <c r="P19" s="222">
        <v>0.45069444444444445</v>
      </c>
      <c r="Q19" s="220"/>
      <c r="R19" s="221"/>
      <c r="S19" s="222">
        <v>0.4375</v>
      </c>
      <c r="T19" s="222">
        <v>0.4354166666666667</v>
      </c>
      <c r="U19" s="222">
        <v>0.4583333333333333</v>
      </c>
      <c r="V19" s="222">
        <v>0.46041666666666664</v>
      </c>
      <c r="W19" s="222">
        <v>0.39444444444444443</v>
      </c>
      <c r="X19" s="220"/>
      <c r="Y19" s="220"/>
      <c r="Z19" s="222">
        <v>0.4305555555555556</v>
      </c>
      <c r="AA19" s="222">
        <v>0.4201388888888889</v>
      </c>
      <c r="AB19" s="222">
        <v>0.4576388888888889</v>
      </c>
      <c r="AC19" s="222">
        <v>0.46805555555555556</v>
      </c>
      <c r="AD19" s="222">
        <v>0.4041666666666667</v>
      </c>
      <c r="AE19" s="220"/>
      <c r="AF19" s="220"/>
      <c r="AG19" s="222">
        <v>0.45069444444444445</v>
      </c>
      <c r="AH19" s="222">
        <v>0.5611111111111111</v>
      </c>
    </row>
    <row r="20">
      <c r="A20" s="32"/>
      <c r="B20" s="186">
        <v>18.0</v>
      </c>
      <c r="C20" s="198" t="s">
        <v>392</v>
      </c>
      <c r="D20" s="22">
        <f t="shared" si="2"/>
        <v>6.116666667</v>
      </c>
      <c r="E20" s="117">
        <v>0.2881944444444444</v>
      </c>
      <c r="F20" s="116">
        <v>0.2875</v>
      </c>
      <c r="G20" s="117">
        <v>0.3298611111111111</v>
      </c>
      <c r="H20" s="116">
        <v>0.34791666666666665</v>
      </c>
      <c r="I20" s="114" t="s">
        <v>330</v>
      </c>
      <c r="J20" s="220"/>
      <c r="K20" s="221"/>
      <c r="L20" s="116">
        <v>0.3611111111111111</v>
      </c>
      <c r="M20" s="116">
        <v>0.36666666666666664</v>
      </c>
      <c r="N20" s="222">
        <v>0.3159722222222222</v>
      </c>
      <c r="O20" s="222">
        <v>0.3541666666666667</v>
      </c>
      <c r="P20" s="222">
        <v>0.37777777777777777</v>
      </c>
      <c r="Q20" s="220"/>
      <c r="R20" s="221"/>
      <c r="S20" s="222">
        <v>0.3020833333333333</v>
      </c>
      <c r="T20" s="224">
        <v>0.3645833333333333</v>
      </c>
      <c r="U20" s="223" t="s">
        <v>401</v>
      </c>
      <c r="V20" s="222">
        <v>0.38680555555555557</v>
      </c>
      <c r="W20" s="222">
        <v>0.35347222222222224</v>
      </c>
      <c r="X20" s="220"/>
      <c r="Y20" s="220"/>
      <c r="Z20" s="222">
        <v>0.37430555555555556</v>
      </c>
      <c r="AA20" s="223" t="s">
        <v>402</v>
      </c>
      <c r="AB20" s="222">
        <v>0.3277777777777778</v>
      </c>
      <c r="AC20" s="222">
        <v>0.35555555555555557</v>
      </c>
      <c r="AD20" s="223" t="s">
        <v>402</v>
      </c>
      <c r="AE20" s="220"/>
      <c r="AF20" s="220"/>
      <c r="AG20" s="222">
        <v>0.32916666666666666</v>
      </c>
      <c r="AH20" s="222">
        <v>0.29375</v>
      </c>
    </row>
    <row r="21">
      <c r="A21" s="32"/>
      <c r="B21" s="186">
        <v>19.0</v>
      </c>
      <c r="C21" s="198" t="s">
        <v>150</v>
      </c>
      <c r="D21" s="22">
        <f t="shared" si="2"/>
        <v>6.036111111</v>
      </c>
      <c r="E21" s="116">
        <v>0.4222222222222222</v>
      </c>
      <c r="F21" s="114" t="s">
        <v>269</v>
      </c>
      <c r="G21" s="116">
        <v>0.4027777777777778</v>
      </c>
      <c r="H21" s="116">
        <v>0.3680555555555556</v>
      </c>
      <c r="I21" s="114" t="s">
        <v>341</v>
      </c>
      <c r="J21" s="220"/>
      <c r="K21" s="221"/>
      <c r="L21" s="116">
        <v>0.35833333333333334</v>
      </c>
      <c r="M21" s="116">
        <v>0.3798611111111111</v>
      </c>
      <c r="N21" s="222">
        <v>0.3736111111111111</v>
      </c>
      <c r="O21" s="223" t="s">
        <v>316</v>
      </c>
      <c r="P21" s="223" t="s">
        <v>316</v>
      </c>
      <c r="Q21" s="220"/>
      <c r="R21" s="221"/>
      <c r="S21" s="222">
        <v>0.3888888888888889</v>
      </c>
      <c r="T21" s="224">
        <v>0.3840277777777778</v>
      </c>
      <c r="U21" s="222">
        <v>0.3611111111111111</v>
      </c>
      <c r="V21" s="224">
        <v>0.30277777777777776</v>
      </c>
      <c r="W21" s="223" t="s">
        <v>271</v>
      </c>
      <c r="X21" s="220"/>
      <c r="Y21" s="220"/>
      <c r="Z21" s="222">
        <v>0.3909722222222222</v>
      </c>
      <c r="AA21" s="223" t="s">
        <v>316</v>
      </c>
      <c r="AB21" s="222">
        <v>0.36180555555555555</v>
      </c>
      <c r="AC21" s="222">
        <v>0.3854166666666667</v>
      </c>
      <c r="AD21" s="222">
        <v>0.39375</v>
      </c>
      <c r="AE21" s="220"/>
      <c r="AF21" s="220"/>
      <c r="AG21" s="222">
        <v>0.3784722222222222</v>
      </c>
      <c r="AH21" s="222">
        <v>0.3840277777777778</v>
      </c>
    </row>
    <row r="22">
      <c r="A22" s="32"/>
      <c r="B22" s="145">
        <v>20.0</v>
      </c>
      <c r="C22" s="200" t="s">
        <v>403</v>
      </c>
      <c r="D22" s="22">
        <f t="shared" si="2"/>
        <v>6.947916667</v>
      </c>
      <c r="E22" s="147">
        <v>0.2916666666666667</v>
      </c>
      <c r="F22" s="116">
        <v>0.10972222222222222</v>
      </c>
      <c r="G22" s="116">
        <v>0.4173611111111111</v>
      </c>
      <c r="H22" s="116">
        <v>0.3923611111111111</v>
      </c>
      <c r="I22" s="116">
        <v>0.1763888888888889</v>
      </c>
      <c r="J22" s="220"/>
      <c r="K22" s="221"/>
      <c r="L22" s="116">
        <v>0.4222222222222222</v>
      </c>
      <c r="M22" s="116">
        <v>0.3701388888888889</v>
      </c>
      <c r="N22" s="222">
        <v>0.37777777777777777</v>
      </c>
      <c r="O22" s="222"/>
      <c r="P22" s="222">
        <v>0.37916666666666665</v>
      </c>
      <c r="Q22" s="220"/>
      <c r="R22" s="221"/>
      <c r="S22" s="222">
        <v>0.3729166666666667</v>
      </c>
      <c r="T22" s="222">
        <v>0.4</v>
      </c>
      <c r="U22" s="222">
        <v>0.28680555555555554</v>
      </c>
      <c r="V22" s="222">
        <v>0.3625</v>
      </c>
      <c r="W22" s="222">
        <v>0.28680555555555554</v>
      </c>
      <c r="X22" s="220"/>
      <c r="Y22" s="220"/>
      <c r="Z22" s="222">
        <v>0.25</v>
      </c>
      <c r="AA22" s="222">
        <v>0.4041666666666667</v>
      </c>
      <c r="AB22" s="222">
        <v>0.36180555555555555</v>
      </c>
      <c r="AC22" s="222">
        <v>0.3888888888888889</v>
      </c>
      <c r="AD22" s="222">
        <v>0.0875</v>
      </c>
      <c r="AE22" s="220"/>
      <c r="AF22" s="220"/>
      <c r="AG22" s="222">
        <v>0.4041666666666667</v>
      </c>
      <c r="AH22" s="222">
        <v>0.40555555555555556</v>
      </c>
    </row>
    <row r="23">
      <c r="A23" s="32"/>
      <c r="B23" s="186">
        <v>21.0</v>
      </c>
      <c r="C23" s="200" t="s">
        <v>404</v>
      </c>
      <c r="D23" s="22">
        <f t="shared" si="2"/>
        <v>2.46875</v>
      </c>
      <c r="E23" s="147"/>
      <c r="F23" s="116"/>
      <c r="G23" s="116"/>
      <c r="H23" s="116"/>
      <c r="I23" s="116"/>
      <c r="J23" s="220"/>
      <c r="K23" s="221"/>
      <c r="L23" s="116"/>
      <c r="M23" s="116"/>
      <c r="N23" s="222"/>
      <c r="O23" s="222"/>
      <c r="P23" s="222"/>
      <c r="Q23" s="220"/>
      <c r="R23" s="221"/>
      <c r="S23" s="222"/>
      <c r="T23" s="222"/>
      <c r="U23" s="222"/>
      <c r="V23" s="222"/>
      <c r="W23" s="222"/>
      <c r="X23" s="220"/>
      <c r="Y23" s="220"/>
      <c r="Z23" s="222">
        <v>0.23541666666666666</v>
      </c>
      <c r="AA23" s="222">
        <v>0.3798611111111111</v>
      </c>
      <c r="AB23" s="222">
        <v>0.37916666666666665</v>
      </c>
      <c r="AC23" s="224">
        <v>0.3645833333333333</v>
      </c>
      <c r="AD23" s="222">
        <v>0.3638888888888889</v>
      </c>
      <c r="AE23" s="220"/>
      <c r="AF23" s="220"/>
      <c r="AG23" s="222">
        <v>0.37916666666666665</v>
      </c>
      <c r="AH23" s="224">
        <v>0.36666666666666664</v>
      </c>
    </row>
    <row r="24">
      <c r="A24" s="32"/>
      <c r="B24" s="145">
        <v>22.0</v>
      </c>
      <c r="C24" s="200" t="s">
        <v>405</v>
      </c>
      <c r="D24" s="22">
        <f t="shared" si="2"/>
        <v>2.545138889</v>
      </c>
      <c r="E24" s="147"/>
      <c r="F24" s="116"/>
      <c r="G24" s="116"/>
      <c r="H24" s="116"/>
      <c r="I24" s="116"/>
      <c r="J24" s="220"/>
      <c r="K24" s="221"/>
      <c r="L24" s="116"/>
      <c r="M24" s="116"/>
      <c r="N24" s="222"/>
      <c r="O24" s="222"/>
      <c r="P24" s="222"/>
      <c r="Q24" s="220"/>
      <c r="R24" s="221"/>
      <c r="S24" s="222"/>
      <c r="T24" s="222"/>
      <c r="U24" s="222"/>
      <c r="V24" s="222"/>
      <c r="W24" s="222"/>
      <c r="X24" s="220"/>
      <c r="Y24" s="220"/>
      <c r="Z24" s="222">
        <v>0.25069444444444444</v>
      </c>
      <c r="AA24" s="222">
        <v>0.36944444444444446</v>
      </c>
      <c r="AB24" s="222">
        <v>0.3701388888888889</v>
      </c>
      <c r="AC24" s="222">
        <v>0.40902777777777777</v>
      </c>
      <c r="AD24" s="222">
        <v>0.40902777777777777</v>
      </c>
      <c r="AE24" s="220"/>
      <c r="AF24" s="220"/>
      <c r="AG24" s="222">
        <v>0.3638888888888889</v>
      </c>
      <c r="AH24" s="222">
        <v>0.3729166666666667</v>
      </c>
    </row>
    <row r="25">
      <c r="A25" s="32"/>
      <c r="B25" s="186">
        <v>23.0</v>
      </c>
      <c r="C25" s="200" t="s">
        <v>406</v>
      </c>
      <c r="D25" s="22">
        <f t="shared" si="2"/>
        <v>2.763888889</v>
      </c>
      <c r="E25" s="147"/>
      <c r="F25" s="116"/>
      <c r="G25" s="116"/>
      <c r="H25" s="116"/>
      <c r="I25" s="116"/>
      <c r="J25" s="220"/>
      <c r="K25" s="221"/>
      <c r="L25" s="116"/>
      <c r="M25" s="116"/>
      <c r="N25" s="222"/>
      <c r="O25" s="222"/>
      <c r="P25" s="222"/>
      <c r="Q25" s="220"/>
      <c r="R25" s="221"/>
      <c r="S25" s="222"/>
      <c r="T25" s="222"/>
      <c r="U25" s="222"/>
      <c r="V25" s="222"/>
      <c r="W25" s="222"/>
      <c r="X25" s="220"/>
      <c r="Y25" s="220"/>
      <c r="Z25" s="222">
        <v>0.3326388888888889</v>
      </c>
      <c r="AA25" s="222">
        <v>0.38819444444444445</v>
      </c>
      <c r="AB25" s="222">
        <v>0.4111111111111111</v>
      </c>
      <c r="AC25" s="222">
        <v>0.4125</v>
      </c>
      <c r="AD25" s="222">
        <v>0.4125</v>
      </c>
      <c r="AE25" s="220"/>
      <c r="AF25" s="220"/>
      <c r="AG25" s="222">
        <v>0.42430555555555555</v>
      </c>
      <c r="AH25" s="222">
        <v>0.38263888888888886</v>
      </c>
    </row>
    <row r="26">
      <c r="A26" s="32"/>
      <c r="B26" s="186">
        <v>24.0</v>
      </c>
      <c r="C26" s="200" t="s">
        <v>407</v>
      </c>
      <c r="D26" s="22">
        <f t="shared" si="2"/>
        <v>4.704166667</v>
      </c>
      <c r="E26" s="147"/>
      <c r="F26" s="116"/>
      <c r="G26" s="116"/>
      <c r="H26" s="116"/>
      <c r="I26" s="116"/>
      <c r="J26" s="220"/>
      <c r="K26" s="221"/>
      <c r="L26" s="116"/>
      <c r="M26" s="116"/>
      <c r="N26" s="222"/>
      <c r="O26" s="222"/>
      <c r="P26" s="222"/>
      <c r="Q26" s="220"/>
      <c r="R26" s="221"/>
      <c r="S26" s="222">
        <v>0.30486111111111114</v>
      </c>
      <c r="T26" s="222">
        <v>0.3784722222222222</v>
      </c>
      <c r="U26" s="222">
        <v>0.39166666666666666</v>
      </c>
      <c r="V26" s="222">
        <v>0.39375</v>
      </c>
      <c r="W26" s="222">
        <v>0.4097222222222222</v>
      </c>
      <c r="X26" s="220"/>
      <c r="Y26" s="220"/>
      <c r="Z26" s="222">
        <v>0.40625</v>
      </c>
      <c r="AA26" s="222">
        <v>0.4083333333333333</v>
      </c>
      <c r="AB26" s="222">
        <v>0.39375</v>
      </c>
      <c r="AC26" s="222">
        <v>0.4166666666666667</v>
      </c>
      <c r="AD26" s="222">
        <v>0.3923611111111111</v>
      </c>
      <c r="AE26" s="220"/>
      <c r="AF26" s="220"/>
      <c r="AG26" s="222">
        <v>0.41180555555555554</v>
      </c>
      <c r="AH26" s="222">
        <v>0.39652777777777776</v>
      </c>
    </row>
    <row r="27">
      <c r="A27" s="32"/>
      <c r="B27" s="186">
        <v>25.0</v>
      </c>
      <c r="C27" s="200" t="s">
        <v>408</v>
      </c>
      <c r="D27" s="22">
        <f t="shared" si="2"/>
        <v>5.268055556</v>
      </c>
      <c r="E27" s="147"/>
      <c r="F27" s="116"/>
      <c r="G27" s="116"/>
      <c r="H27" s="116"/>
      <c r="I27" s="116"/>
      <c r="J27" s="220"/>
      <c r="K27" s="221"/>
      <c r="L27" s="116"/>
      <c r="M27" s="116"/>
      <c r="N27" s="222"/>
      <c r="O27" s="224">
        <v>0.3229166666666667</v>
      </c>
      <c r="P27" s="224">
        <v>0.36319444444444443</v>
      </c>
      <c r="Q27" s="220"/>
      <c r="R27" s="221"/>
      <c r="S27" s="224">
        <v>0.3715277777777778</v>
      </c>
      <c r="T27" s="224">
        <v>0.3951388888888889</v>
      </c>
      <c r="U27" s="224">
        <v>0.3715277777777778</v>
      </c>
      <c r="V27" s="224">
        <v>0.37777777777777777</v>
      </c>
      <c r="W27" s="224">
        <v>0.43680555555555556</v>
      </c>
      <c r="X27" s="220"/>
      <c r="Y27" s="220"/>
      <c r="Z27" s="224">
        <v>0.36944444444444446</v>
      </c>
      <c r="AA27" s="224">
        <v>0.38333333333333336</v>
      </c>
      <c r="AB27" s="224">
        <v>0.3590277777777778</v>
      </c>
      <c r="AC27" s="224">
        <v>0.36736111111111114</v>
      </c>
      <c r="AD27" s="224">
        <v>0.38472222222222224</v>
      </c>
      <c r="AE27" s="220"/>
      <c r="AF27" s="220"/>
      <c r="AG27" s="224">
        <v>0.375</v>
      </c>
      <c r="AH27" s="224">
        <v>0.3902777777777778</v>
      </c>
    </row>
    <row r="28">
      <c r="A28" s="32"/>
      <c r="B28" s="194">
        <v>26.0</v>
      </c>
      <c r="C28" s="200" t="s">
        <v>409</v>
      </c>
      <c r="D28" s="22">
        <f t="shared" si="2"/>
        <v>0</v>
      </c>
      <c r="E28" s="147"/>
      <c r="F28" s="116"/>
      <c r="G28" s="116"/>
      <c r="H28" s="116"/>
      <c r="I28" s="116"/>
      <c r="J28" s="220"/>
      <c r="K28" s="221"/>
      <c r="L28" s="116"/>
      <c r="M28" s="116"/>
      <c r="N28" s="222"/>
      <c r="O28" s="224"/>
      <c r="P28" s="224"/>
      <c r="Q28" s="220"/>
      <c r="R28" s="221"/>
      <c r="S28" s="224"/>
      <c r="T28" s="224"/>
      <c r="U28" s="224"/>
      <c r="V28" s="224"/>
      <c r="W28" s="224"/>
      <c r="X28" s="220"/>
      <c r="Y28" s="220"/>
      <c r="Z28" s="224"/>
      <c r="AA28" s="224"/>
      <c r="AB28" s="224"/>
      <c r="AC28" s="224"/>
      <c r="AD28" s="224"/>
      <c r="AE28" s="220"/>
      <c r="AF28" s="220"/>
      <c r="AG28" s="224"/>
      <c r="AH28" s="224"/>
    </row>
    <row r="29">
      <c r="A29" s="153" t="s">
        <v>274</v>
      </c>
      <c r="B29" s="188">
        <v>26.0</v>
      </c>
      <c r="C29" s="201" t="s">
        <v>393</v>
      </c>
      <c r="D29" s="22">
        <f t="shared" si="2"/>
        <v>7.743055556</v>
      </c>
      <c r="E29" s="116">
        <v>0.3701388888888889</v>
      </c>
      <c r="F29" s="116">
        <v>0.3625</v>
      </c>
      <c r="G29" s="116">
        <v>0.35625</v>
      </c>
      <c r="H29" s="116">
        <v>0.38819444444444445</v>
      </c>
      <c r="I29" s="116">
        <v>0.34444444444444444</v>
      </c>
      <c r="J29" s="220"/>
      <c r="K29" s="221"/>
      <c r="L29" s="116">
        <v>0.37222222222222223</v>
      </c>
      <c r="M29" s="116">
        <v>0.35694444444444445</v>
      </c>
      <c r="N29" s="222">
        <v>0.34930555555555554</v>
      </c>
      <c r="O29" s="222">
        <v>0.37222222222222223</v>
      </c>
      <c r="P29" s="222">
        <v>0.36666666666666664</v>
      </c>
      <c r="Q29" s="220"/>
      <c r="R29" s="221"/>
      <c r="S29" s="222"/>
      <c r="T29" s="222">
        <v>0.3701388888888889</v>
      </c>
      <c r="U29" s="222">
        <v>0.36944444444444446</v>
      </c>
      <c r="V29" s="222">
        <v>0.37222222222222223</v>
      </c>
      <c r="W29" s="222">
        <v>0.36944444444444446</v>
      </c>
      <c r="X29" s="220"/>
      <c r="Y29" s="220"/>
      <c r="Z29" s="222">
        <v>0.3888888888888889</v>
      </c>
      <c r="AA29" s="222">
        <v>0.3506944444444444</v>
      </c>
      <c r="AB29" s="222">
        <v>0.37222222222222223</v>
      </c>
      <c r="AC29" s="222">
        <v>0.3798611111111111</v>
      </c>
      <c r="AD29" s="222">
        <v>0.37222222222222223</v>
      </c>
      <c r="AE29" s="220"/>
      <c r="AF29" s="220"/>
      <c r="AG29" s="222">
        <v>0.3909722222222222</v>
      </c>
      <c r="AH29" s="222">
        <v>0.3680555555555556</v>
      </c>
    </row>
    <row r="30">
      <c r="A30" s="32"/>
      <c r="B30" s="139">
        <v>27.0</v>
      </c>
      <c r="C30" s="201" t="s">
        <v>213</v>
      </c>
      <c r="D30" s="22">
        <f t="shared" si="2"/>
        <v>4.642361111</v>
      </c>
      <c r="E30" s="114" t="s">
        <v>316</v>
      </c>
      <c r="F30" s="116">
        <v>0.3375</v>
      </c>
      <c r="G30" s="116">
        <v>0.43472222222222223</v>
      </c>
      <c r="H30" s="114" t="s">
        <v>271</v>
      </c>
      <c r="I30" s="114" t="s">
        <v>316</v>
      </c>
      <c r="J30" s="220"/>
      <c r="K30" s="221"/>
      <c r="L30" s="114" t="s">
        <v>316</v>
      </c>
      <c r="M30" s="116">
        <v>0.35347222222222224</v>
      </c>
      <c r="N30" s="222">
        <v>0.36319444444444443</v>
      </c>
      <c r="O30" s="222">
        <v>0.34375</v>
      </c>
      <c r="P30" s="223" t="s">
        <v>316</v>
      </c>
      <c r="Q30" s="220"/>
      <c r="R30" s="221"/>
      <c r="S30" s="223" t="s">
        <v>316</v>
      </c>
      <c r="T30" s="222">
        <v>0.3861111111111111</v>
      </c>
      <c r="U30" s="222">
        <v>0.34652777777777777</v>
      </c>
      <c r="V30" s="222">
        <v>0.34652777777777777</v>
      </c>
      <c r="W30" s="222">
        <v>0.34652777777777777</v>
      </c>
      <c r="X30" s="220"/>
      <c r="Y30" s="220"/>
      <c r="Z30" s="223" t="s">
        <v>316</v>
      </c>
      <c r="AA30" s="222">
        <v>0.3638888888888889</v>
      </c>
      <c r="AB30" s="222">
        <v>0.39791666666666664</v>
      </c>
      <c r="AC30" s="222">
        <v>0.3111111111111111</v>
      </c>
      <c r="AD30" s="222">
        <v>0.3111111111111111</v>
      </c>
      <c r="AE30" s="220"/>
      <c r="AF30" s="220"/>
      <c r="AG30" s="223" t="s">
        <v>316</v>
      </c>
      <c r="AH30" s="223" t="s">
        <v>316</v>
      </c>
    </row>
    <row r="31">
      <c r="A31" s="32"/>
      <c r="B31" s="188">
        <v>28.0</v>
      </c>
      <c r="C31" s="201" t="s">
        <v>54</v>
      </c>
      <c r="D31" s="22">
        <f t="shared" si="2"/>
        <v>2.535416667</v>
      </c>
      <c r="E31" s="114" t="s">
        <v>276</v>
      </c>
      <c r="F31" s="114" t="s">
        <v>276</v>
      </c>
      <c r="G31" s="114" t="s">
        <v>276</v>
      </c>
      <c r="H31" s="114" t="s">
        <v>276</v>
      </c>
      <c r="I31" s="114" t="s">
        <v>316</v>
      </c>
      <c r="J31" s="220"/>
      <c r="K31" s="221"/>
      <c r="L31" s="114" t="s">
        <v>276</v>
      </c>
      <c r="M31" s="114" t="s">
        <v>276</v>
      </c>
      <c r="N31" s="223" t="s">
        <v>276</v>
      </c>
      <c r="O31" s="223" t="s">
        <v>316</v>
      </c>
      <c r="P31" s="223" t="s">
        <v>316</v>
      </c>
      <c r="Q31" s="220"/>
      <c r="R31" s="221"/>
      <c r="S31" s="222">
        <v>0.3819444444444444</v>
      </c>
      <c r="T31" s="224">
        <v>0.475</v>
      </c>
      <c r="U31" s="223" t="s">
        <v>316</v>
      </c>
      <c r="V31" s="223" t="s">
        <v>316</v>
      </c>
      <c r="W31" s="223" t="s">
        <v>316</v>
      </c>
      <c r="X31" s="220"/>
      <c r="Y31" s="220"/>
      <c r="Z31" s="226"/>
      <c r="AA31" s="222">
        <v>0.33402777777777776</v>
      </c>
      <c r="AB31" s="222">
        <v>0.44166666666666665</v>
      </c>
      <c r="AC31" s="224">
        <v>0.16666666666666666</v>
      </c>
      <c r="AD31" s="222">
        <v>0.38125</v>
      </c>
      <c r="AE31" s="220"/>
      <c r="AF31" s="220"/>
      <c r="AG31" s="222">
        <v>0.3548611111111111</v>
      </c>
      <c r="AH31" s="223" t="s">
        <v>316</v>
      </c>
    </row>
    <row r="32">
      <c r="A32" s="32"/>
      <c r="B32" s="139">
        <v>29.0</v>
      </c>
      <c r="C32" s="201" t="s">
        <v>159</v>
      </c>
      <c r="D32" s="22">
        <f t="shared" si="2"/>
        <v>4.040972222</v>
      </c>
      <c r="E32" s="114" t="s">
        <v>316</v>
      </c>
      <c r="F32" s="114" t="s">
        <v>316</v>
      </c>
      <c r="G32" s="116">
        <v>0.3326388888888889</v>
      </c>
      <c r="H32" s="116">
        <v>0.38125</v>
      </c>
      <c r="I32" s="114" t="s">
        <v>316</v>
      </c>
      <c r="J32" s="220"/>
      <c r="K32" s="221"/>
      <c r="L32" s="114" t="s">
        <v>316</v>
      </c>
      <c r="M32" s="116">
        <v>0.3506944444444444</v>
      </c>
      <c r="N32" s="222">
        <v>0.3597222222222222</v>
      </c>
      <c r="O32" s="222">
        <v>0.3715277777777778</v>
      </c>
      <c r="P32" s="223" t="s">
        <v>316</v>
      </c>
      <c r="Q32" s="220"/>
      <c r="R32" s="221"/>
      <c r="S32" s="223" t="s">
        <v>316</v>
      </c>
      <c r="T32" s="224">
        <v>0.3993055555555556</v>
      </c>
      <c r="U32" s="222">
        <v>0.35347222222222224</v>
      </c>
      <c r="V32" s="223" t="s">
        <v>269</v>
      </c>
      <c r="W32" s="223" t="s">
        <v>316</v>
      </c>
      <c r="X32" s="220"/>
      <c r="Y32" s="220"/>
      <c r="Z32" s="223" t="s">
        <v>316</v>
      </c>
      <c r="AA32" s="222">
        <v>0.3888888888888889</v>
      </c>
      <c r="AB32" s="222">
        <v>0.36041666666666666</v>
      </c>
      <c r="AC32" s="222">
        <v>0.37430555555555556</v>
      </c>
      <c r="AD32" s="223" t="s">
        <v>316</v>
      </c>
      <c r="AE32" s="220"/>
      <c r="AF32" s="220"/>
      <c r="AG32" s="223" t="s">
        <v>316</v>
      </c>
      <c r="AH32" s="222">
        <v>0.36875</v>
      </c>
    </row>
    <row r="33">
      <c r="A33" s="32"/>
      <c r="B33" s="139">
        <v>30.0</v>
      </c>
      <c r="C33" s="201" t="s">
        <v>156</v>
      </c>
      <c r="D33" s="22">
        <f t="shared" si="2"/>
        <v>3.834722222</v>
      </c>
      <c r="E33" s="116">
        <v>0.43472222222222223</v>
      </c>
      <c r="F33" s="114" t="s">
        <v>316</v>
      </c>
      <c r="G33" s="114" t="s">
        <v>269</v>
      </c>
      <c r="H33" s="114" t="s">
        <v>316</v>
      </c>
      <c r="I33" s="114" t="s">
        <v>316</v>
      </c>
      <c r="J33" s="220"/>
      <c r="K33" s="221"/>
      <c r="L33" s="116">
        <v>0.36527777777777776</v>
      </c>
      <c r="M33" s="116">
        <v>0.19375</v>
      </c>
      <c r="N33" s="223" t="s">
        <v>271</v>
      </c>
      <c r="O33" s="223" t="s">
        <v>316</v>
      </c>
      <c r="P33" s="223" t="s">
        <v>316</v>
      </c>
      <c r="Q33" s="220"/>
      <c r="R33" s="221"/>
      <c r="S33" s="222">
        <v>0.35555555555555557</v>
      </c>
      <c r="T33" s="224">
        <v>0.4076388888888889</v>
      </c>
      <c r="U33" s="222">
        <v>0.5180555555555556</v>
      </c>
      <c r="V33" s="223" t="s">
        <v>401</v>
      </c>
      <c r="W33" s="223" t="s">
        <v>316</v>
      </c>
      <c r="X33" s="220"/>
      <c r="Y33" s="220"/>
      <c r="Z33" s="222">
        <v>0.4465277777777778</v>
      </c>
      <c r="AA33" s="222">
        <v>0.3715277777777778</v>
      </c>
      <c r="AB33" s="222">
        <v>0.37916666666666665</v>
      </c>
      <c r="AC33" s="223" t="s">
        <v>316</v>
      </c>
      <c r="AD33" s="223" t="s">
        <v>316</v>
      </c>
      <c r="AE33" s="220"/>
      <c r="AF33" s="220"/>
      <c r="AG33" s="222">
        <v>0.3625</v>
      </c>
      <c r="AH33" s="223" t="s">
        <v>316</v>
      </c>
    </row>
    <row r="34">
      <c r="A34" s="32"/>
      <c r="B34" s="139">
        <v>31.0</v>
      </c>
      <c r="C34" s="201" t="s">
        <v>57</v>
      </c>
      <c r="D34" s="22">
        <f t="shared" si="2"/>
        <v>3.572222222</v>
      </c>
      <c r="E34" s="116">
        <v>0.40208333333333335</v>
      </c>
      <c r="F34" s="114" t="s">
        <v>316</v>
      </c>
      <c r="G34" s="116">
        <v>0.39791666666666664</v>
      </c>
      <c r="H34" s="116">
        <v>0.3659722222222222</v>
      </c>
      <c r="I34" s="114" t="s">
        <v>316</v>
      </c>
      <c r="J34" s="220"/>
      <c r="K34" s="221"/>
      <c r="L34" s="116">
        <v>0.34444444444444444</v>
      </c>
      <c r="M34" s="114" t="s">
        <v>316</v>
      </c>
      <c r="N34" s="222">
        <v>0.2875</v>
      </c>
      <c r="O34" s="223" t="s">
        <v>316</v>
      </c>
      <c r="P34" s="223" t="s">
        <v>316</v>
      </c>
      <c r="Q34" s="220"/>
      <c r="R34" s="221"/>
      <c r="S34" s="223" t="s">
        <v>315</v>
      </c>
      <c r="T34" s="223" t="s">
        <v>316</v>
      </c>
      <c r="U34" s="222">
        <v>0.3277777777777778</v>
      </c>
      <c r="V34" s="224">
        <v>0.33819444444444446</v>
      </c>
      <c r="W34" s="223" t="s">
        <v>316</v>
      </c>
      <c r="X34" s="220"/>
      <c r="Y34" s="220"/>
      <c r="Z34" s="223" t="s">
        <v>316</v>
      </c>
      <c r="AA34" s="222">
        <v>0.3798611111111111</v>
      </c>
      <c r="AB34" s="222">
        <v>0.38263888888888886</v>
      </c>
      <c r="AC34" s="223" t="s">
        <v>316</v>
      </c>
      <c r="AD34" s="223" t="s">
        <v>316</v>
      </c>
      <c r="AE34" s="220"/>
      <c r="AF34" s="220"/>
      <c r="AG34" s="222">
        <v>0.3458333333333333</v>
      </c>
      <c r="AH34" s="223" t="s">
        <v>316</v>
      </c>
    </row>
    <row r="35">
      <c r="A35" s="32"/>
      <c r="B35" s="188">
        <v>32.0</v>
      </c>
      <c r="C35" s="201" t="s">
        <v>263</v>
      </c>
      <c r="D35" s="22">
        <f t="shared" si="2"/>
        <v>5.497222222</v>
      </c>
      <c r="E35" s="114" t="s">
        <v>271</v>
      </c>
      <c r="F35" s="116">
        <v>0.3458333333333333</v>
      </c>
      <c r="G35" s="116">
        <v>0.36041666666666666</v>
      </c>
      <c r="H35" s="116">
        <v>0.35</v>
      </c>
      <c r="I35" s="114" t="s">
        <v>316</v>
      </c>
      <c r="J35" s="220"/>
      <c r="K35" s="221"/>
      <c r="L35" s="116">
        <v>0.3784722222222222</v>
      </c>
      <c r="M35" s="116">
        <v>0.30833333333333335</v>
      </c>
      <c r="N35" s="222">
        <v>0.24097222222222223</v>
      </c>
      <c r="O35" s="222">
        <v>0.34097222222222223</v>
      </c>
      <c r="P35" s="222">
        <v>0.34097222222222223</v>
      </c>
      <c r="Q35" s="220"/>
      <c r="R35" s="221"/>
      <c r="S35" s="223" t="s">
        <v>269</v>
      </c>
      <c r="T35" s="222">
        <v>0.34444444444444444</v>
      </c>
      <c r="U35" s="222">
        <v>0.32013888888888886</v>
      </c>
      <c r="V35" s="222">
        <v>0.33055555555555555</v>
      </c>
      <c r="W35" s="222">
        <v>0.32013888888888886</v>
      </c>
      <c r="X35" s="220"/>
      <c r="Y35" s="220"/>
      <c r="Z35" s="224">
        <v>0.16666666666666666</v>
      </c>
      <c r="AA35" s="223" t="s">
        <v>269</v>
      </c>
      <c r="AB35" s="222">
        <v>0.31875</v>
      </c>
      <c r="AC35" s="222">
        <v>0.33055555555555555</v>
      </c>
      <c r="AD35" s="222">
        <v>0.33055555555555555</v>
      </c>
      <c r="AE35" s="220"/>
      <c r="AF35" s="220"/>
      <c r="AG35" s="223" t="s">
        <v>316</v>
      </c>
      <c r="AH35" s="222">
        <v>0.36944444444444446</v>
      </c>
    </row>
    <row r="36">
      <c r="A36" s="32"/>
      <c r="B36" s="139">
        <v>33.0</v>
      </c>
      <c r="C36" s="202" t="s">
        <v>339</v>
      </c>
      <c r="D36" s="22">
        <f t="shared" si="2"/>
        <v>5.919444444</v>
      </c>
      <c r="E36" s="116">
        <v>0.49444444444444446</v>
      </c>
      <c r="F36" s="116">
        <v>0.21736111111111112</v>
      </c>
      <c r="G36" s="116">
        <v>0.33402777777777776</v>
      </c>
      <c r="H36" s="116">
        <v>0.33611111111111114</v>
      </c>
      <c r="I36" s="114" t="s">
        <v>316</v>
      </c>
      <c r="J36" s="220"/>
      <c r="K36" s="221"/>
      <c r="L36" s="116">
        <v>0.3368055555555556</v>
      </c>
      <c r="M36" s="116">
        <v>0.3298611111111111</v>
      </c>
      <c r="N36" s="222">
        <v>0.30972222222222223</v>
      </c>
      <c r="O36" s="224">
        <v>0.16666666666666666</v>
      </c>
      <c r="P36" s="223" t="s">
        <v>316</v>
      </c>
      <c r="Q36" s="220"/>
      <c r="R36" s="221"/>
      <c r="S36" s="222">
        <v>0.2881944444444444</v>
      </c>
      <c r="T36" s="222">
        <v>0.3111111111111111</v>
      </c>
      <c r="U36" s="222">
        <v>0.34097222222222223</v>
      </c>
      <c r="V36" s="222">
        <v>0.34305555555555556</v>
      </c>
      <c r="W36" s="222">
        <v>0.34097222222222223</v>
      </c>
      <c r="X36" s="220"/>
      <c r="Y36" s="220"/>
      <c r="Z36" s="223" t="s">
        <v>269</v>
      </c>
      <c r="AA36" s="222">
        <v>0.33541666666666664</v>
      </c>
      <c r="AB36" s="222">
        <v>0.37777777777777777</v>
      </c>
      <c r="AC36" s="222">
        <v>0.24444444444444444</v>
      </c>
      <c r="AD36" s="222">
        <v>0.24444444444444444</v>
      </c>
      <c r="AE36" s="220"/>
      <c r="AF36" s="220"/>
      <c r="AG36" s="222">
        <v>0.2423611111111111</v>
      </c>
      <c r="AH36" s="222">
        <v>0.32569444444444445</v>
      </c>
    </row>
    <row r="37">
      <c r="A37" s="32"/>
      <c r="B37" s="188">
        <v>34.0</v>
      </c>
      <c r="C37" s="201" t="s">
        <v>257</v>
      </c>
      <c r="D37" s="22">
        <f t="shared" si="2"/>
        <v>4.207638889</v>
      </c>
      <c r="E37" s="116">
        <v>0.3590277777777778</v>
      </c>
      <c r="F37" s="117">
        <v>0.2777777777777778</v>
      </c>
      <c r="G37" s="116">
        <v>0.3506944444444444</v>
      </c>
      <c r="H37" s="117">
        <v>0.35694444444444445</v>
      </c>
      <c r="I37" s="114" t="s">
        <v>316</v>
      </c>
      <c r="J37" s="220"/>
      <c r="K37" s="221"/>
      <c r="L37" s="116">
        <v>0.3548611111111111</v>
      </c>
      <c r="M37" s="114" t="s">
        <v>316</v>
      </c>
      <c r="N37" s="222">
        <v>0.35625</v>
      </c>
      <c r="O37" s="223" t="s">
        <v>316</v>
      </c>
      <c r="P37" s="223" t="s">
        <v>316</v>
      </c>
      <c r="Q37" s="220"/>
      <c r="R37" s="221"/>
      <c r="S37" s="223" t="s">
        <v>271</v>
      </c>
      <c r="T37" s="223" t="s">
        <v>316</v>
      </c>
      <c r="U37" s="222">
        <v>0.3625</v>
      </c>
      <c r="V37" s="222">
        <v>0.3625</v>
      </c>
      <c r="W37" s="222">
        <v>0.3625</v>
      </c>
      <c r="X37" s="220"/>
      <c r="Y37" s="220"/>
      <c r="Z37" s="222">
        <v>0.36319444444444443</v>
      </c>
      <c r="AA37" s="223" t="s">
        <v>316</v>
      </c>
      <c r="AB37" s="222">
        <v>0.34375</v>
      </c>
      <c r="AC37" s="223" t="s">
        <v>316</v>
      </c>
      <c r="AD37" s="223" t="s">
        <v>316</v>
      </c>
      <c r="AE37" s="220"/>
      <c r="AF37" s="220"/>
      <c r="AG37" s="222">
        <v>0.3576388888888889</v>
      </c>
      <c r="AH37" s="223" t="s">
        <v>316</v>
      </c>
    </row>
    <row r="38">
      <c r="A38" s="32"/>
      <c r="B38" s="189">
        <v>35.0</v>
      </c>
      <c r="C38" s="203" t="s">
        <v>132</v>
      </c>
      <c r="D38" s="22">
        <f t="shared" si="2"/>
        <v>4.216666667</v>
      </c>
      <c r="E38" s="116">
        <v>0.3951388888888889</v>
      </c>
      <c r="F38" s="114" t="s">
        <v>316</v>
      </c>
      <c r="G38" s="116">
        <v>0.43125</v>
      </c>
      <c r="H38" s="117">
        <v>0.42430555555555555</v>
      </c>
      <c r="I38" s="114" t="s">
        <v>316</v>
      </c>
      <c r="J38" s="220"/>
      <c r="K38" s="221"/>
      <c r="L38" s="116">
        <v>0.41597222222222224</v>
      </c>
      <c r="M38" s="117">
        <v>0.375</v>
      </c>
      <c r="N38" s="225">
        <v>0.44166666666666665</v>
      </c>
      <c r="O38" s="223" t="s">
        <v>271</v>
      </c>
      <c r="P38" s="223" t="s">
        <v>316</v>
      </c>
      <c r="Q38" s="220"/>
      <c r="R38" s="221"/>
      <c r="S38" s="222">
        <v>0.35833333333333334</v>
      </c>
      <c r="T38" s="223" t="s">
        <v>271</v>
      </c>
      <c r="U38" s="223" t="s">
        <v>269</v>
      </c>
      <c r="V38" s="224">
        <v>0.36875</v>
      </c>
      <c r="W38" s="223" t="s">
        <v>316</v>
      </c>
      <c r="X38" s="220"/>
      <c r="Y38" s="220"/>
      <c r="Z38" s="223" t="s">
        <v>272</v>
      </c>
      <c r="AA38" s="223" t="s">
        <v>272</v>
      </c>
      <c r="AB38" s="222">
        <v>0.35347222222222224</v>
      </c>
      <c r="AC38" s="223" t="s">
        <v>316</v>
      </c>
      <c r="AD38" s="223" t="s">
        <v>316</v>
      </c>
      <c r="AE38" s="220"/>
      <c r="AF38" s="220"/>
      <c r="AG38" s="222">
        <v>0.3840277777777778</v>
      </c>
      <c r="AH38" s="222">
        <v>0.26875</v>
      </c>
    </row>
    <row r="39" ht="16.5" customHeight="1">
      <c r="A39" s="32"/>
      <c r="B39" s="189">
        <v>36.0</v>
      </c>
      <c r="C39" s="203" t="s">
        <v>99</v>
      </c>
      <c r="D39" s="22">
        <f t="shared" si="2"/>
        <v>4.649305556</v>
      </c>
      <c r="E39" s="116">
        <v>0.33194444444444443</v>
      </c>
      <c r="F39" s="116"/>
      <c r="G39" s="116">
        <v>0.4305555555555556</v>
      </c>
      <c r="H39" s="116">
        <v>0.44375</v>
      </c>
      <c r="I39" s="114" t="s">
        <v>316</v>
      </c>
      <c r="J39" s="220"/>
      <c r="K39" s="221"/>
      <c r="L39" s="116">
        <v>0.39861111111111114</v>
      </c>
      <c r="M39" s="116">
        <v>0.2673611111111111</v>
      </c>
      <c r="N39" s="223" t="s">
        <v>316</v>
      </c>
      <c r="O39" s="222">
        <v>0.29583333333333334</v>
      </c>
      <c r="P39" s="223" t="s">
        <v>316</v>
      </c>
      <c r="Q39" s="220"/>
      <c r="R39" s="221"/>
      <c r="S39" s="222">
        <v>0.4270833333333333</v>
      </c>
      <c r="T39" s="223" t="s">
        <v>271</v>
      </c>
      <c r="U39" s="223" t="s">
        <v>316</v>
      </c>
      <c r="V39" s="224">
        <v>0.24097222222222223</v>
      </c>
      <c r="W39" s="223" t="s">
        <v>316</v>
      </c>
      <c r="X39" s="220"/>
      <c r="Y39" s="220"/>
      <c r="Z39" s="222">
        <v>0.5180555555555556</v>
      </c>
      <c r="AA39" s="223" t="s">
        <v>269</v>
      </c>
      <c r="AB39" s="224">
        <v>0.3993055555555556</v>
      </c>
      <c r="AC39" s="222">
        <v>0.33541666666666664</v>
      </c>
      <c r="AD39" s="223" t="s">
        <v>316</v>
      </c>
      <c r="AE39" s="220"/>
      <c r="AF39" s="220"/>
      <c r="AG39" s="222">
        <v>0.39375</v>
      </c>
      <c r="AH39" s="224">
        <v>0.16666666666666666</v>
      </c>
    </row>
    <row r="40">
      <c r="A40" s="32"/>
      <c r="B40" s="189">
        <v>37.0</v>
      </c>
      <c r="C40" s="203" t="s">
        <v>93</v>
      </c>
      <c r="D40" s="22">
        <f t="shared" si="2"/>
        <v>5.730555556</v>
      </c>
      <c r="E40" s="116">
        <v>0.4083333333333333</v>
      </c>
      <c r="F40" s="116">
        <v>0.35833333333333334</v>
      </c>
      <c r="G40" s="114" t="s">
        <v>272</v>
      </c>
      <c r="H40" s="114" t="s">
        <v>272</v>
      </c>
      <c r="I40" s="114" t="s">
        <v>272</v>
      </c>
      <c r="J40" s="220"/>
      <c r="K40" s="221"/>
      <c r="L40" s="114" t="s">
        <v>272</v>
      </c>
      <c r="M40" s="114" t="s">
        <v>272</v>
      </c>
      <c r="N40" s="224">
        <v>0.3819444444444444</v>
      </c>
      <c r="O40" s="224">
        <v>0.3680555555555556</v>
      </c>
      <c r="P40" s="223" t="s">
        <v>316</v>
      </c>
      <c r="Q40" s="220"/>
      <c r="R40" s="221"/>
      <c r="S40" s="222">
        <v>0.4326388888888889</v>
      </c>
      <c r="T40" s="225">
        <v>0.40902777777777777</v>
      </c>
      <c r="U40" s="222">
        <v>0.3958333333333333</v>
      </c>
      <c r="V40" s="224">
        <v>0.48541666666666666</v>
      </c>
      <c r="W40" s="223" t="s">
        <v>316</v>
      </c>
      <c r="X40" s="220"/>
      <c r="Y40" s="220"/>
      <c r="Z40" s="222">
        <v>0.43680555555555556</v>
      </c>
      <c r="AA40" s="222">
        <v>0.3784722222222222</v>
      </c>
      <c r="AB40" s="222">
        <v>0.3541666666666667</v>
      </c>
      <c r="AC40" s="222">
        <v>0.4548611111111111</v>
      </c>
      <c r="AD40" s="223" t="s">
        <v>316</v>
      </c>
      <c r="AE40" s="220"/>
      <c r="AF40" s="220"/>
      <c r="AG40" s="222">
        <v>0.4423611111111111</v>
      </c>
      <c r="AH40" s="222">
        <v>0.42430555555555555</v>
      </c>
    </row>
    <row r="41">
      <c r="A41" s="32"/>
      <c r="B41" s="187">
        <v>38.0</v>
      </c>
      <c r="C41" s="203" t="s">
        <v>135</v>
      </c>
      <c r="D41" s="22">
        <f t="shared" si="2"/>
        <v>4.795833333</v>
      </c>
      <c r="E41" s="114" t="s">
        <v>272</v>
      </c>
      <c r="F41" s="114" t="s">
        <v>272</v>
      </c>
      <c r="G41" s="114" t="s">
        <v>272</v>
      </c>
      <c r="H41" s="114" t="s">
        <v>272</v>
      </c>
      <c r="I41" s="114" t="s">
        <v>272</v>
      </c>
      <c r="J41" s="220"/>
      <c r="K41" s="221"/>
      <c r="L41" s="114" t="s">
        <v>272</v>
      </c>
      <c r="M41" s="114" t="s">
        <v>272</v>
      </c>
      <c r="N41" s="222">
        <v>0.47430555555555554</v>
      </c>
      <c r="O41" s="224">
        <v>0.4375</v>
      </c>
      <c r="P41" s="223" t="s">
        <v>316</v>
      </c>
      <c r="Q41" s="220"/>
      <c r="R41" s="221"/>
      <c r="S41" s="222">
        <v>0.43472222222222223</v>
      </c>
      <c r="T41" s="223" t="s">
        <v>315</v>
      </c>
      <c r="U41" s="222">
        <v>0.3840277777777778</v>
      </c>
      <c r="V41" s="224">
        <v>0.45</v>
      </c>
      <c r="W41" s="223" t="s">
        <v>316</v>
      </c>
      <c r="X41" s="220"/>
      <c r="Y41" s="220"/>
      <c r="Z41" s="222">
        <v>0.41388888888888886</v>
      </c>
      <c r="AA41" s="222">
        <v>0.4375</v>
      </c>
      <c r="AB41" s="222">
        <v>0.45416666666666666</v>
      </c>
      <c r="AC41" s="222">
        <v>0.42569444444444443</v>
      </c>
      <c r="AD41" s="223" t="s">
        <v>316</v>
      </c>
      <c r="AE41" s="220"/>
      <c r="AF41" s="220"/>
      <c r="AG41" s="222">
        <v>0.4597222222222222</v>
      </c>
      <c r="AH41" s="222">
        <v>0.42430555555555555</v>
      </c>
    </row>
    <row r="42">
      <c r="A42" s="32"/>
      <c r="B42" s="189">
        <v>39.0</v>
      </c>
      <c r="C42" s="203" t="s">
        <v>183</v>
      </c>
      <c r="D42" s="22">
        <f t="shared" si="2"/>
        <v>7.045833333</v>
      </c>
      <c r="E42" s="114" t="s">
        <v>269</v>
      </c>
      <c r="F42" s="116">
        <v>0.35555555555555557</v>
      </c>
      <c r="G42" s="116">
        <v>0.3159722222222222</v>
      </c>
      <c r="H42" s="117">
        <v>0.3333333333333333</v>
      </c>
      <c r="I42" s="114" t="s">
        <v>316</v>
      </c>
      <c r="J42" s="220"/>
      <c r="K42" s="221"/>
      <c r="L42" s="116">
        <v>0.41597222222222224</v>
      </c>
      <c r="M42" s="117">
        <v>0.375</v>
      </c>
      <c r="N42" s="222">
        <v>0.39305555555555555</v>
      </c>
      <c r="O42" s="222">
        <v>0.3506944444444444</v>
      </c>
      <c r="P42" s="223" t="s">
        <v>316</v>
      </c>
      <c r="Q42" s="220"/>
      <c r="R42" s="221"/>
      <c r="S42" s="222">
        <v>0.45902777777777776</v>
      </c>
      <c r="T42" s="224">
        <v>0.3638888888888889</v>
      </c>
      <c r="U42" s="222">
        <v>0.38819444444444445</v>
      </c>
      <c r="V42" s="224">
        <v>0.46041666666666664</v>
      </c>
      <c r="W42" s="223" t="s">
        <v>316</v>
      </c>
      <c r="X42" s="220"/>
      <c r="Y42" s="220"/>
      <c r="Z42" s="222">
        <v>0.325</v>
      </c>
      <c r="AA42" s="222">
        <v>0.36527777777777776</v>
      </c>
      <c r="AB42" s="222">
        <v>0.4111111111111111</v>
      </c>
      <c r="AC42" s="222">
        <v>0.45694444444444443</v>
      </c>
      <c r="AD42" s="222">
        <v>0.45694444444444443</v>
      </c>
      <c r="AE42" s="220"/>
      <c r="AF42" s="220"/>
      <c r="AG42" s="222">
        <v>0.4423611111111111</v>
      </c>
      <c r="AH42" s="222">
        <v>0.3770833333333333</v>
      </c>
    </row>
    <row r="43">
      <c r="A43" s="32"/>
      <c r="B43" s="187">
        <v>40.0</v>
      </c>
      <c r="C43" s="203" t="s">
        <v>186</v>
      </c>
      <c r="D43" s="22">
        <f t="shared" si="2"/>
        <v>5.963888889</v>
      </c>
      <c r="E43" s="114" t="s">
        <v>271</v>
      </c>
      <c r="F43" s="114" t="s">
        <v>271</v>
      </c>
      <c r="G43" s="116">
        <v>0.32013888888888886</v>
      </c>
      <c r="H43" s="114" t="s">
        <v>316</v>
      </c>
      <c r="I43" s="114" t="s">
        <v>316</v>
      </c>
      <c r="J43" s="220"/>
      <c r="K43" s="221"/>
      <c r="L43" s="116">
        <v>0.3729166666666667</v>
      </c>
      <c r="M43" s="116">
        <v>0.3597222222222222</v>
      </c>
      <c r="N43" s="222">
        <v>0.4652777777777778</v>
      </c>
      <c r="O43" s="222">
        <v>0.41041666666666665</v>
      </c>
      <c r="P43" s="223" t="s">
        <v>316</v>
      </c>
      <c r="Q43" s="220"/>
      <c r="R43" s="221"/>
      <c r="S43" s="222">
        <v>0.4423611111111111</v>
      </c>
      <c r="T43" s="224">
        <v>0.42986111111111114</v>
      </c>
      <c r="U43" s="223" t="s">
        <v>330</v>
      </c>
      <c r="V43" s="222">
        <v>0.44027777777777777</v>
      </c>
      <c r="W43" s="223" t="s">
        <v>316</v>
      </c>
      <c r="X43" s="220"/>
      <c r="Y43" s="220"/>
      <c r="Z43" s="222">
        <v>0.38958333333333334</v>
      </c>
      <c r="AA43" s="222">
        <v>0.36041666666666666</v>
      </c>
      <c r="AB43" s="222">
        <v>0.44722222222222224</v>
      </c>
      <c r="AC43" s="222">
        <v>0.3333333333333333</v>
      </c>
      <c r="AD43" s="222">
        <v>0.3333333333333333</v>
      </c>
      <c r="AE43" s="220"/>
      <c r="AF43" s="220"/>
      <c r="AG43" s="222">
        <v>0.45902777777777776</v>
      </c>
      <c r="AH43" s="222">
        <v>0.4</v>
      </c>
    </row>
    <row r="44">
      <c r="A44" s="32"/>
      <c r="B44" s="189">
        <v>41.0</v>
      </c>
      <c r="C44" s="203" t="s">
        <v>141</v>
      </c>
      <c r="D44" s="22">
        <f t="shared" si="2"/>
        <v>5.825</v>
      </c>
      <c r="E44" s="114" t="s">
        <v>271</v>
      </c>
      <c r="F44" s="116">
        <v>0.3034722222222222</v>
      </c>
      <c r="G44" s="116">
        <v>0.35</v>
      </c>
      <c r="H44" s="116">
        <v>0.36180555555555555</v>
      </c>
      <c r="I44" s="114" t="s">
        <v>316</v>
      </c>
      <c r="J44" s="220"/>
      <c r="K44" s="221"/>
      <c r="L44" s="116">
        <v>0.27708333333333335</v>
      </c>
      <c r="M44" s="116">
        <v>0.3763888888888889</v>
      </c>
      <c r="N44" s="222">
        <v>0.36527777777777776</v>
      </c>
      <c r="O44" s="222">
        <v>0.3548611111111111</v>
      </c>
      <c r="P44" s="223" t="s">
        <v>316</v>
      </c>
      <c r="Q44" s="220"/>
      <c r="R44" s="221"/>
      <c r="S44" s="222">
        <v>0.3645833333333333</v>
      </c>
      <c r="T44" s="224">
        <v>0.43125</v>
      </c>
      <c r="U44" s="222">
        <v>0.40694444444444444</v>
      </c>
      <c r="V44" s="224">
        <v>0.3902777777777778</v>
      </c>
      <c r="W44" s="223" t="s">
        <v>316</v>
      </c>
      <c r="X44" s="220"/>
      <c r="Y44" s="220"/>
      <c r="Z44" s="223" t="s">
        <v>316</v>
      </c>
      <c r="AA44" s="222">
        <v>0.34375</v>
      </c>
      <c r="AB44" s="222">
        <v>0.3770833333333333</v>
      </c>
      <c r="AC44" s="222">
        <v>0.37430555555555556</v>
      </c>
      <c r="AD44" s="223" t="s">
        <v>316</v>
      </c>
      <c r="AE44" s="220"/>
      <c r="AF44" s="220"/>
      <c r="AG44" s="222">
        <v>0.3541666666666667</v>
      </c>
      <c r="AH44" s="222">
        <v>0.39375</v>
      </c>
    </row>
    <row r="45">
      <c r="A45" s="15"/>
      <c r="B45" s="189">
        <v>42.0</v>
      </c>
      <c r="C45" s="203" t="s">
        <v>207</v>
      </c>
      <c r="D45" s="22">
        <f t="shared" si="2"/>
        <v>4.259027778</v>
      </c>
      <c r="E45" s="116">
        <v>0.4013888888888889</v>
      </c>
      <c r="F45" s="116">
        <v>0.3055555555555556</v>
      </c>
      <c r="G45" s="114" t="s">
        <v>316</v>
      </c>
      <c r="H45" s="116">
        <v>0.2972222222222222</v>
      </c>
      <c r="I45" s="114" t="s">
        <v>316</v>
      </c>
      <c r="J45" s="220"/>
      <c r="K45" s="221"/>
      <c r="L45" s="116">
        <v>0.33194444444444443</v>
      </c>
      <c r="M45" s="116">
        <v>0.2951388888888889</v>
      </c>
      <c r="N45" s="223" t="s">
        <v>316</v>
      </c>
      <c r="O45" s="223" t="s">
        <v>316</v>
      </c>
      <c r="P45" s="223" t="s">
        <v>316</v>
      </c>
      <c r="Q45" s="220"/>
      <c r="R45" s="221"/>
      <c r="S45" s="223" t="s">
        <v>401</v>
      </c>
      <c r="T45" s="222">
        <v>0.2965277777777778</v>
      </c>
      <c r="U45" s="223" t="s">
        <v>269</v>
      </c>
      <c r="V45" s="222">
        <v>0.25833333333333336</v>
      </c>
      <c r="W45" s="223" t="s">
        <v>316</v>
      </c>
      <c r="X45" s="220"/>
      <c r="Y45" s="220"/>
      <c r="Z45" s="222">
        <v>0.375</v>
      </c>
      <c r="AA45" s="222">
        <v>0.3451388888888889</v>
      </c>
      <c r="AB45" s="222">
        <v>0.34305555555555556</v>
      </c>
      <c r="AC45" s="222">
        <v>0.32708333333333334</v>
      </c>
      <c r="AD45" s="222">
        <v>0.32708333333333334</v>
      </c>
      <c r="AE45" s="220"/>
      <c r="AF45" s="220"/>
      <c r="AG45" s="222">
        <v>0.35555555555555557</v>
      </c>
      <c r="AH45" s="223" t="s">
        <v>316</v>
      </c>
    </row>
    <row r="46">
      <c r="A46" s="161" t="s">
        <v>278</v>
      </c>
      <c r="B46" s="189">
        <v>43.0</v>
      </c>
      <c r="C46" s="203" t="s">
        <v>78</v>
      </c>
      <c r="D46" s="22">
        <f t="shared" si="2"/>
        <v>7.6875</v>
      </c>
      <c r="E46" s="116">
        <v>0.36944444444444446</v>
      </c>
      <c r="F46" s="116">
        <v>0.3125</v>
      </c>
      <c r="G46" s="116">
        <v>0.3229166666666667</v>
      </c>
      <c r="H46" s="116">
        <v>0.3597222222222222</v>
      </c>
      <c r="I46" s="116">
        <v>0.37430555555555556</v>
      </c>
      <c r="J46" s="220"/>
      <c r="K46" s="221"/>
      <c r="L46" s="116">
        <v>0.4027777777777778</v>
      </c>
      <c r="M46" s="116">
        <v>0.3472222222222222</v>
      </c>
      <c r="N46" s="222">
        <v>0.36319444444444443</v>
      </c>
      <c r="O46" s="222">
        <v>0.3680555555555556</v>
      </c>
      <c r="P46" s="222">
        <v>0.38055555555555554</v>
      </c>
      <c r="Q46" s="220"/>
      <c r="R46" s="221"/>
      <c r="S46" s="223" t="s">
        <v>316</v>
      </c>
      <c r="T46" s="224">
        <v>0.3715277777777778</v>
      </c>
      <c r="U46" s="224">
        <v>0.3819444444444444</v>
      </c>
      <c r="V46" s="224">
        <v>0.46111111111111114</v>
      </c>
      <c r="W46" s="222">
        <v>0.34097222222222223</v>
      </c>
      <c r="X46" s="220"/>
      <c r="Y46" s="220"/>
      <c r="Z46" s="222">
        <v>0.4131944444444444</v>
      </c>
      <c r="AA46" s="222">
        <v>0.33194444444444443</v>
      </c>
      <c r="AB46" s="222">
        <v>0.37569444444444444</v>
      </c>
      <c r="AC46" s="222">
        <v>0.32222222222222224</v>
      </c>
      <c r="AD46" s="224">
        <v>0.3854166666666667</v>
      </c>
      <c r="AE46" s="220"/>
      <c r="AF46" s="220"/>
      <c r="AG46" s="222">
        <v>0.33402777777777776</v>
      </c>
      <c r="AH46" s="222">
        <v>0.36875</v>
      </c>
    </row>
    <row r="47">
      <c r="A47" s="32"/>
      <c r="B47" s="187">
        <v>44.0</v>
      </c>
      <c r="C47" s="203" t="s">
        <v>14</v>
      </c>
      <c r="D47" s="22">
        <f t="shared" si="2"/>
        <v>7.209722222</v>
      </c>
      <c r="E47" s="116">
        <v>0.44375</v>
      </c>
      <c r="F47" s="117">
        <v>0.3736111111111111</v>
      </c>
      <c r="G47" s="117">
        <v>0.3298611111111111</v>
      </c>
      <c r="H47" s="116">
        <v>0.39791666666666664</v>
      </c>
      <c r="I47" s="114" t="s">
        <v>316</v>
      </c>
      <c r="J47" s="220"/>
      <c r="K47" s="221"/>
      <c r="L47" s="116">
        <v>0.4305555555555556</v>
      </c>
      <c r="M47" s="116">
        <v>0.3701388888888889</v>
      </c>
      <c r="N47" s="222">
        <v>0.3194444444444444</v>
      </c>
      <c r="O47" s="222">
        <v>0.40347222222222223</v>
      </c>
      <c r="P47" s="223" t="s">
        <v>316</v>
      </c>
      <c r="Q47" s="220"/>
      <c r="R47" s="221"/>
      <c r="S47" s="224">
        <v>0.16666666666666666</v>
      </c>
      <c r="T47" s="224">
        <v>0.4701388888888889</v>
      </c>
      <c r="U47" s="224">
        <v>0.4388888888888889</v>
      </c>
      <c r="V47" s="224">
        <v>0.16666666666666666</v>
      </c>
      <c r="W47" s="223" t="s">
        <v>316</v>
      </c>
      <c r="X47" s="220"/>
      <c r="Y47" s="220"/>
      <c r="Z47" s="224">
        <v>0.5534722222222223</v>
      </c>
      <c r="AA47" s="224">
        <v>0.5791666666666667</v>
      </c>
      <c r="AB47" s="222">
        <v>0.4013888888888889</v>
      </c>
      <c r="AC47" s="222">
        <v>0.4826388888888889</v>
      </c>
      <c r="AD47" s="223" t="s">
        <v>316</v>
      </c>
      <c r="AE47" s="220"/>
      <c r="AF47" s="220"/>
      <c r="AG47" s="222">
        <v>0.3958333333333333</v>
      </c>
      <c r="AH47" s="222">
        <v>0.4861111111111111</v>
      </c>
    </row>
    <row r="48">
      <c r="A48" s="32"/>
      <c r="B48" s="189">
        <v>45.0</v>
      </c>
      <c r="C48" s="203" t="s">
        <v>105</v>
      </c>
      <c r="D48" s="22">
        <f t="shared" si="2"/>
        <v>5.988194444</v>
      </c>
      <c r="E48" s="116">
        <v>0.3854166666666667</v>
      </c>
      <c r="F48" s="116">
        <v>0.33541666666666664</v>
      </c>
      <c r="G48" s="116">
        <v>0.36180555555555555</v>
      </c>
      <c r="H48" s="116">
        <v>0.36736111111111114</v>
      </c>
      <c r="I48" s="114" t="s">
        <v>316</v>
      </c>
      <c r="J48" s="220"/>
      <c r="K48" s="221"/>
      <c r="L48" s="116">
        <v>0.32430555555555557</v>
      </c>
      <c r="M48" s="117">
        <v>0.3298611111111111</v>
      </c>
      <c r="N48" s="222">
        <v>0.37222222222222223</v>
      </c>
      <c r="O48" s="222">
        <v>0.3861111111111111</v>
      </c>
      <c r="P48" s="224">
        <v>0.16666666666666666</v>
      </c>
      <c r="Q48" s="220"/>
      <c r="R48" s="221"/>
      <c r="S48" s="222">
        <v>0.35833333333333334</v>
      </c>
      <c r="T48" s="224">
        <v>0.3645833333333333</v>
      </c>
      <c r="U48" s="222">
        <v>0.3680555555555556</v>
      </c>
      <c r="V48" s="224">
        <v>0.3736111111111111</v>
      </c>
      <c r="W48" s="223" t="s">
        <v>316</v>
      </c>
      <c r="X48" s="220"/>
      <c r="Y48" s="220"/>
      <c r="Z48" s="222">
        <v>0.37083333333333335</v>
      </c>
      <c r="AA48" s="222">
        <v>0.37222222222222223</v>
      </c>
      <c r="AB48" s="222">
        <v>0.3659722222222222</v>
      </c>
      <c r="AC48" s="222">
        <v>0.3854166666666667</v>
      </c>
      <c r="AD48" s="223" t="s">
        <v>316</v>
      </c>
      <c r="AE48" s="220"/>
      <c r="AF48" s="220"/>
      <c r="AG48" s="223" t="s">
        <v>316</v>
      </c>
      <c r="AH48" s="223" t="s">
        <v>316</v>
      </c>
    </row>
    <row r="49">
      <c r="A49" s="32"/>
      <c r="B49" s="187">
        <v>46.0</v>
      </c>
      <c r="C49" s="203" t="s">
        <v>29</v>
      </c>
      <c r="D49" s="22">
        <f t="shared" si="2"/>
        <v>0.8694444444</v>
      </c>
      <c r="E49" s="116">
        <v>0.33402777777777776</v>
      </c>
      <c r="F49" s="114" t="s">
        <v>316</v>
      </c>
      <c r="G49" s="114" t="s">
        <v>316</v>
      </c>
      <c r="H49" s="114" t="s">
        <v>316</v>
      </c>
      <c r="I49" s="114" t="s">
        <v>316</v>
      </c>
      <c r="J49" s="220"/>
      <c r="K49" s="221"/>
      <c r="L49" s="116">
        <v>0.36875</v>
      </c>
      <c r="M49" s="114" t="s">
        <v>316</v>
      </c>
      <c r="N49" s="224">
        <v>0.16666666666666666</v>
      </c>
      <c r="O49" s="223" t="s">
        <v>316</v>
      </c>
      <c r="P49" s="223" t="s">
        <v>316</v>
      </c>
      <c r="Q49" s="220"/>
      <c r="R49" s="221"/>
      <c r="S49" s="223" t="s">
        <v>316</v>
      </c>
      <c r="T49" s="223" t="s">
        <v>316</v>
      </c>
      <c r="U49" s="223" t="s">
        <v>316</v>
      </c>
      <c r="V49" s="223" t="s">
        <v>316</v>
      </c>
      <c r="W49" s="223" t="s">
        <v>316</v>
      </c>
      <c r="X49" s="220"/>
      <c r="Y49" s="220"/>
      <c r="Z49" s="223" t="s">
        <v>316</v>
      </c>
      <c r="AA49" s="223" t="s">
        <v>316</v>
      </c>
      <c r="AB49" s="223" t="s">
        <v>316</v>
      </c>
      <c r="AC49" s="223" t="s">
        <v>316</v>
      </c>
      <c r="AD49" s="223" t="s">
        <v>316</v>
      </c>
      <c r="AE49" s="220"/>
      <c r="AF49" s="220"/>
      <c r="AG49" s="223" t="s">
        <v>316</v>
      </c>
      <c r="AH49" s="223" t="s">
        <v>316</v>
      </c>
    </row>
    <row r="50">
      <c r="A50" s="32"/>
      <c r="B50" s="192">
        <v>47.0</v>
      </c>
      <c r="C50" s="203" t="s">
        <v>17</v>
      </c>
      <c r="D50" s="22">
        <f t="shared" si="2"/>
        <v>4.104166667</v>
      </c>
      <c r="E50" s="114" t="s">
        <v>316</v>
      </c>
      <c r="F50" s="117">
        <v>0.3298611111111111</v>
      </c>
      <c r="G50" s="114" t="s">
        <v>316</v>
      </c>
      <c r="H50" s="116">
        <v>0.3590277777777778</v>
      </c>
      <c r="I50" s="114" t="s">
        <v>316</v>
      </c>
      <c r="J50" s="220"/>
      <c r="K50" s="221"/>
      <c r="L50" s="147">
        <v>0.3298611111111111</v>
      </c>
      <c r="M50" s="116">
        <v>0.4465277777777778</v>
      </c>
      <c r="N50" s="223" t="s">
        <v>316</v>
      </c>
      <c r="O50" s="222">
        <v>0.3972222222222222</v>
      </c>
      <c r="P50" s="223" t="s">
        <v>316</v>
      </c>
      <c r="Q50" s="220"/>
      <c r="R50" s="221"/>
      <c r="S50" s="223" t="s">
        <v>271</v>
      </c>
      <c r="T50" s="224">
        <v>0.42083333333333334</v>
      </c>
      <c r="U50" s="223" t="s">
        <v>316</v>
      </c>
      <c r="V50" s="224">
        <v>0.48333333333333334</v>
      </c>
      <c r="W50" s="223" t="s">
        <v>316</v>
      </c>
      <c r="X50" s="220"/>
      <c r="Y50" s="220"/>
      <c r="Z50" s="223" t="s">
        <v>316</v>
      </c>
      <c r="AA50" s="222">
        <v>0.43194444444444446</v>
      </c>
      <c r="AB50" s="222">
        <v>0.4201388888888889</v>
      </c>
      <c r="AC50" s="222">
        <v>0.48541666666666666</v>
      </c>
      <c r="AD50" s="223" t="s">
        <v>316</v>
      </c>
      <c r="AE50" s="220"/>
      <c r="AF50" s="220"/>
      <c r="AG50" s="223" t="s">
        <v>316</v>
      </c>
      <c r="AH50" s="223" t="s">
        <v>271</v>
      </c>
    </row>
    <row r="51">
      <c r="A51" s="32"/>
      <c r="B51" s="186">
        <v>48.0</v>
      </c>
      <c r="C51" s="198" t="s">
        <v>249</v>
      </c>
      <c r="D51" s="22">
        <f t="shared" si="2"/>
        <v>7.420833333</v>
      </c>
      <c r="E51" s="116">
        <v>0.3576388888888889</v>
      </c>
      <c r="F51" s="116">
        <v>0.3506944444444444</v>
      </c>
      <c r="G51" s="116">
        <v>0.35555555555555557</v>
      </c>
      <c r="H51" s="116">
        <v>0.35833333333333334</v>
      </c>
      <c r="I51" s="114" t="s">
        <v>316</v>
      </c>
      <c r="J51" s="220"/>
      <c r="K51" s="221"/>
      <c r="L51" s="116">
        <v>0.3729166666666667</v>
      </c>
      <c r="M51" s="116">
        <v>0.3541666666666667</v>
      </c>
      <c r="N51" s="222">
        <v>0.35694444444444445</v>
      </c>
      <c r="O51" s="222">
        <v>0.3611111111111111</v>
      </c>
      <c r="P51" s="222">
        <v>0.3611111111111111</v>
      </c>
      <c r="Q51" s="220"/>
      <c r="R51" s="221"/>
      <c r="S51" s="222">
        <v>0.33819444444444446</v>
      </c>
      <c r="T51" s="222">
        <v>0.33611111111111114</v>
      </c>
      <c r="U51" s="222">
        <v>0.3729166666666667</v>
      </c>
      <c r="V51" s="222">
        <v>0.34930555555555554</v>
      </c>
      <c r="W51" s="222">
        <v>0.3729166666666667</v>
      </c>
      <c r="X51" s="220"/>
      <c r="Y51" s="220"/>
      <c r="Z51" s="222">
        <v>0.35625</v>
      </c>
      <c r="AA51" s="222">
        <v>0.36041666666666666</v>
      </c>
      <c r="AB51" s="222">
        <v>0.33611111111111114</v>
      </c>
      <c r="AC51" s="222">
        <v>0.3416666666666667</v>
      </c>
      <c r="AD51" s="222">
        <v>0.3416666666666667</v>
      </c>
      <c r="AE51" s="220"/>
      <c r="AF51" s="220"/>
      <c r="AG51" s="222">
        <v>0.3548611111111111</v>
      </c>
      <c r="AH51" s="222">
        <v>0.33194444444444443</v>
      </c>
    </row>
    <row r="52">
      <c r="A52" s="32"/>
      <c r="B52" s="186">
        <v>49.0</v>
      </c>
      <c r="C52" s="198" t="s">
        <v>394</v>
      </c>
      <c r="D52" s="22">
        <f t="shared" si="2"/>
        <v>6.314583333</v>
      </c>
      <c r="E52" s="117">
        <v>0.3645833333333333</v>
      </c>
      <c r="F52" s="116">
        <v>0.40347222222222223</v>
      </c>
      <c r="G52" s="116">
        <v>0.37222222222222223</v>
      </c>
      <c r="H52" s="117">
        <v>0.3145833333333333</v>
      </c>
      <c r="I52" s="114" t="s">
        <v>316</v>
      </c>
      <c r="J52" s="220"/>
      <c r="K52" s="221"/>
      <c r="L52" s="116">
        <v>0.35625</v>
      </c>
      <c r="M52" s="117">
        <v>0.35625</v>
      </c>
      <c r="N52" s="222">
        <v>0.37777777777777777</v>
      </c>
      <c r="O52" s="222">
        <v>0.38125</v>
      </c>
      <c r="P52" s="222">
        <v>0.38125</v>
      </c>
      <c r="Q52" s="220"/>
      <c r="R52" s="221"/>
      <c r="S52" s="223" t="s">
        <v>316</v>
      </c>
      <c r="T52" s="222">
        <v>0.32430555555555557</v>
      </c>
      <c r="U52" s="222">
        <v>0.0625</v>
      </c>
      <c r="V52" s="222">
        <v>0.3576388888888889</v>
      </c>
      <c r="W52" s="222">
        <v>0.0625</v>
      </c>
      <c r="X52" s="220"/>
      <c r="Y52" s="220"/>
      <c r="Z52" s="222">
        <v>0.37569444444444444</v>
      </c>
      <c r="AA52" s="222">
        <v>0.3736111111111111</v>
      </c>
      <c r="AB52" s="222">
        <v>0.3638888888888889</v>
      </c>
      <c r="AC52" s="222">
        <v>0.3638888888888889</v>
      </c>
      <c r="AD52" s="222">
        <v>0.36319444444444443</v>
      </c>
      <c r="AE52" s="220"/>
      <c r="AF52" s="220"/>
      <c r="AG52" s="222">
        <v>0.3597222222222222</v>
      </c>
      <c r="AH52" s="223" t="s">
        <v>271</v>
      </c>
    </row>
    <row r="53">
      <c r="A53" s="32"/>
      <c r="B53" s="145">
        <v>50.0</v>
      </c>
      <c r="C53" s="198" t="s">
        <v>72</v>
      </c>
      <c r="D53" s="22">
        <f t="shared" si="2"/>
        <v>5.191666667</v>
      </c>
      <c r="E53" s="114" t="s">
        <v>272</v>
      </c>
      <c r="F53" s="114" t="s">
        <v>272</v>
      </c>
      <c r="G53" s="114" t="s">
        <v>272</v>
      </c>
      <c r="H53" s="114" t="s">
        <v>272</v>
      </c>
      <c r="I53" s="114" t="s">
        <v>272</v>
      </c>
      <c r="J53" s="220"/>
      <c r="K53" s="221"/>
      <c r="L53" s="114" t="s">
        <v>272</v>
      </c>
      <c r="M53" s="114" t="s">
        <v>272</v>
      </c>
      <c r="N53" s="222">
        <v>0.4576388888888889</v>
      </c>
      <c r="O53" s="222">
        <v>0.4</v>
      </c>
      <c r="P53" s="223" t="s">
        <v>316</v>
      </c>
      <c r="Q53" s="220"/>
      <c r="R53" s="221"/>
      <c r="S53" s="222">
        <v>0.3861111111111111</v>
      </c>
      <c r="T53" s="224">
        <v>0.42291666666666666</v>
      </c>
      <c r="U53" s="222">
        <v>0.39444444444444443</v>
      </c>
      <c r="V53" s="224">
        <v>0.44930555555555557</v>
      </c>
      <c r="W53" s="223" t="s">
        <v>316</v>
      </c>
      <c r="X53" s="220"/>
      <c r="Y53" s="220"/>
      <c r="Z53" s="222">
        <v>0.4395833333333333</v>
      </c>
      <c r="AA53" s="222">
        <v>0.43194444444444446</v>
      </c>
      <c r="AB53" s="222">
        <v>0.45</v>
      </c>
      <c r="AC53" s="222">
        <v>0.45694444444444443</v>
      </c>
      <c r="AD53" s="223" t="s">
        <v>316</v>
      </c>
      <c r="AE53" s="220"/>
      <c r="AF53" s="220"/>
      <c r="AG53" s="222">
        <v>0.45555555555555555</v>
      </c>
      <c r="AH53" s="222">
        <v>0.44722222222222224</v>
      </c>
    </row>
    <row r="54">
      <c r="A54" s="32"/>
      <c r="B54" s="186">
        <v>51.0</v>
      </c>
      <c r="C54" s="198" t="s">
        <v>204</v>
      </c>
      <c r="D54" s="22">
        <f t="shared" si="2"/>
        <v>2.125</v>
      </c>
      <c r="E54" s="116">
        <v>0.3701388888888889</v>
      </c>
      <c r="F54" s="116">
        <v>0.3527777777777778</v>
      </c>
      <c r="G54" s="114" t="s">
        <v>316</v>
      </c>
      <c r="H54" s="116">
        <v>0.36180555555555555</v>
      </c>
      <c r="I54" s="114" t="s">
        <v>316</v>
      </c>
      <c r="J54" s="220"/>
      <c r="K54" s="221"/>
      <c r="L54" s="116">
        <v>0.34097222222222223</v>
      </c>
      <c r="M54" s="116">
        <v>0.3576388888888889</v>
      </c>
      <c r="N54" s="222">
        <v>0.3416666666666667</v>
      </c>
      <c r="O54" s="223" t="s">
        <v>316</v>
      </c>
      <c r="P54" s="223" t="s">
        <v>316</v>
      </c>
      <c r="Q54" s="220"/>
      <c r="R54" s="221"/>
      <c r="S54" s="223" t="s">
        <v>316</v>
      </c>
      <c r="T54" s="223" t="s">
        <v>316</v>
      </c>
      <c r="U54" s="223" t="s">
        <v>316</v>
      </c>
      <c r="V54" s="223" t="s">
        <v>316</v>
      </c>
      <c r="W54" s="223" t="s">
        <v>316</v>
      </c>
      <c r="X54" s="220"/>
      <c r="Y54" s="220"/>
      <c r="Z54" s="223" t="s">
        <v>316</v>
      </c>
      <c r="AA54" s="223" t="s">
        <v>316</v>
      </c>
      <c r="AB54" s="223" t="s">
        <v>316</v>
      </c>
      <c r="AC54" s="223" t="s">
        <v>316</v>
      </c>
      <c r="AD54" s="223" t="s">
        <v>316</v>
      </c>
      <c r="AE54" s="220"/>
      <c r="AF54" s="220"/>
      <c r="AG54" s="223" t="s">
        <v>316</v>
      </c>
      <c r="AH54" s="223" t="s">
        <v>316</v>
      </c>
    </row>
    <row r="55">
      <c r="A55" s="32"/>
      <c r="B55" s="186">
        <v>52.0</v>
      </c>
      <c r="C55" s="200" t="s">
        <v>410</v>
      </c>
      <c r="D55" s="22">
        <f t="shared" si="2"/>
        <v>5.433333333</v>
      </c>
      <c r="E55" s="114" t="s">
        <v>316</v>
      </c>
      <c r="F55" s="114" t="s">
        <v>316</v>
      </c>
      <c r="G55" s="114" t="s">
        <v>316</v>
      </c>
      <c r="H55" s="114" t="s">
        <v>316</v>
      </c>
      <c r="I55" s="114" t="s">
        <v>316</v>
      </c>
      <c r="J55" s="220"/>
      <c r="K55" s="221"/>
      <c r="L55" s="116">
        <v>0.2881944444444444</v>
      </c>
      <c r="M55" s="116">
        <v>0.3645833333333333</v>
      </c>
      <c r="N55" s="222">
        <v>0.36736111111111114</v>
      </c>
      <c r="O55" s="222">
        <v>0.3715277777777778</v>
      </c>
      <c r="P55" s="222">
        <v>0.3715277777777778</v>
      </c>
      <c r="Q55" s="220"/>
      <c r="R55" s="221"/>
      <c r="S55" s="223" t="s">
        <v>316</v>
      </c>
      <c r="T55" s="222">
        <v>0.36319444444444443</v>
      </c>
      <c r="U55" s="222">
        <v>0.3458333333333333</v>
      </c>
      <c r="V55" s="222">
        <v>0.3798611111111111</v>
      </c>
      <c r="W55" s="222">
        <v>0.3798611111111111</v>
      </c>
      <c r="X55" s="220"/>
      <c r="Y55" s="220"/>
      <c r="Z55" s="224">
        <v>0.16666666666666666</v>
      </c>
      <c r="AA55" s="224">
        <v>0.16666666666666666</v>
      </c>
      <c r="AB55" s="222">
        <v>0.45</v>
      </c>
      <c r="AC55" s="222">
        <v>0.3611111111111111</v>
      </c>
      <c r="AD55" s="222">
        <v>0.3611111111111111</v>
      </c>
      <c r="AE55" s="220"/>
      <c r="AF55" s="220"/>
      <c r="AG55" s="222">
        <v>0.3416666666666667</v>
      </c>
      <c r="AH55" s="222">
        <v>0.3541666666666667</v>
      </c>
    </row>
    <row r="56">
      <c r="A56" s="32"/>
      <c r="B56" s="145">
        <v>53.0</v>
      </c>
      <c r="C56" s="198" t="s">
        <v>81</v>
      </c>
      <c r="D56" s="22">
        <f t="shared" si="2"/>
        <v>6.376388889</v>
      </c>
      <c r="E56" s="116">
        <v>0.3590277777777778</v>
      </c>
      <c r="F56" s="116">
        <v>0.37569444444444444</v>
      </c>
      <c r="G56" s="116">
        <v>0.44166666666666665</v>
      </c>
      <c r="H56" s="116">
        <v>0.38333333333333336</v>
      </c>
      <c r="I56" s="114" t="s">
        <v>316</v>
      </c>
      <c r="J56" s="220"/>
      <c r="K56" s="221"/>
      <c r="L56" s="116">
        <v>0.40625</v>
      </c>
      <c r="M56" s="116">
        <v>0.3541666666666667</v>
      </c>
      <c r="N56" s="222">
        <v>0.49930555555555556</v>
      </c>
      <c r="O56" s="224">
        <v>0.16666666666666666</v>
      </c>
      <c r="P56" s="224">
        <v>0.16666666666666666</v>
      </c>
      <c r="Q56" s="220"/>
      <c r="R56" s="221"/>
      <c r="S56" s="222">
        <v>0.4027777777777778</v>
      </c>
      <c r="T56" s="224">
        <v>0.36666666666666664</v>
      </c>
      <c r="U56" s="222">
        <v>0.4013888888888889</v>
      </c>
      <c r="V56" s="224">
        <v>0.3784722222222222</v>
      </c>
      <c r="W56" s="223" t="s">
        <v>316</v>
      </c>
      <c r="X56" s="220"/>
      <c r="Y56" s="220"/>
      <c r="Z56" s="222">
        <v>0.4388888888888889</v>
      </c>
      <c r="AA56" s="223" t="s">
        <v>269</v>
      </c>
      <c r="AB56" s="223" t="s">
        <v>269</v>
      </c>
      <c r="AC56" s="222">
        <v>0.3909722222222222</v>
      </c>
      <c r="AD56" s="223" t="s">
        <v>316</v>
      </c>
      <c r="AE56" s="220"/>
      <c r="AF56" s="220"/>
      <c r="AG56" s="222">
        <v>0.48541666666666666</v>
      </c>
      <c r="AH56" s="222">
        <v>0.3590277777777778</v>
      </c>
    </row>
    <row r="57">
      <c r="A57" s="32"/>
      <c r="B57" s="186">
        <v>54.0</v>
      </c>
      <c r="C57" s="198" t="s">
        <v>153</v>
      </c>
      <c r="D57" s="22">
        <f t="shared" si="2"/>
        <v>3.563194444</v>
      </c>
      <c r="E57" s="114" t="s">
        <v>272</v>
      </c>
      <c r="F57" s="114" t="s">
        <v>272</v>
      </c>
      <c r="G57" s="114" t="s">
        <v>272</v>
      </c>
      <c r="H57" s="114" t="s">
        <v>272</v>
      </c>
      <c r="I57" s="114" t="s">
        <v>316</v>
      </c>
      <c r="J57" s="220"/>
      <c r="K57" s="221"/>
      <c r="L57" s="114" t="s">
        <v>272</v>
      </c>
      <c r="M57" s="114" t="s">
        <v>272</v>
      </c>
      <c r="N57" s="223" t="s">
        <v>272</v>
      </c>
      <c r="O57" s="223" t="s">
        <v>272</v>
      </c>
      <c r="P57" s="223" t="s">
        <v>272</v>
      </c>
      <c r="Q57" s="220"/>
      <c r="R57" s="221"/>
      <c r="S57" s="222">
        <v>0.3951388888888889</v>
      </c>
      <c r="T57" s="224">
        <v>0.35694444444444445</v>
      </c>
      <c r="U57" s="222">
        <v>0.38263888888888886</v>
      </c>
      <c r="V57" s="224">
        <v>0.4305555555555556</v>
      </c>
      <c r="W57" s="223" t="s">
        <v>316</v>
      </c>
      <c r="X57" s="220"/>
      <c r="Y57" s="220"/>
      <c r="Z57" s="223" t="s">
        <v>271</v>
      </c>
      <c r="AA57" s="222">
        <v>0.4708333333333333</v>
      </c>
      <c r="AB57" s="222">
        <v>0.3909722222222222</v>
      </c>
      <c r="AC57" s="222">
        <v>0.4173611111111111</v>
      </c>
      <c r="AD57" s="223" t="s">
        <v>316</v>
      </c>
      <c r="AE57" s="220"/>
      <c r="AF57" s="220"/>
      <c r="AG57" s="222">
        <v>0.3159722222222222</v>
      </c>
      <c r="AH57" s="222">
        <v>0.4027777777777778</v>
      </c>
    </row>
    <row r="58">
      <c r="A58" s="32"/>
      <c r="B58" s="186">
        <v>55.0</v>
      </c>
      <c r="C58" s="198" t="s">
        <v>198</v>
      </c>
      <c r="D58" s="22">
        <f t="shared" si="2"/>
        <v>6.179861111</v>
      </c>
      <c r="E58" s="116">
        <v>0.37569444444444444</v>
      </c>
      <c r="F58" s="116">
        <v>0.3798611111111111</v>
      </c>
      <c r="G58" s="114" t="s">
        <v>341</v>
      </c>
      <c r="H58" s="116">
        <v>0.33125</v>
      </c>
      <c r="I58" s="114" t="s">
        <v>316</v>
      </c>
      <c r="J58" s="220"/>
      <c r="K58" s="221"/>
      <c r="L58" s="116">
        <v>0.3763888888888889</v>
      </c>
      <c r="M58" s="116">
        <v>0.3625</v>
      </c>
      <c r="N58" s="222">
        <v>0.3763888888888889</v>
      </c>
      <c r="O58" s="222">
        <v>0.3888888888888889</v>
      </c>
      <c r="P58" s="223" t="s">
        <v>316</v>
      </c>
      <c r="Q58" s="220"/>
      <c r="R58" s="221"/>
      <c r="S58" s="222">
        <v>0.38263888888888886</v>
      </c>
      <c r="T58" s="222">
        <v>0.38125</v>
      </c>
      <c r="U58" s="222">
        <v>0.3819444444444444</v>
      </c>
      <c r="V58" s="222">
        <v>0.3736111111111111</v>
      </c>
      <c r="W58" s="222">
        <v>0.3819444444444444</v>
      </c>
      <c r="X58" s="220"/>
      <c r="Y58" s="220"/>
      <c r="Z58" s="222">
        <v>0.3645833333333333</v>
      </c>
      <c r="AA58" s="224">
        <v>0.16666666666666666</v>
      </c>
      <c r="AB58" s="222">
        <v>0.3798611111111111</v>
      </c>
      <c r="AC58" s="222">
        <v>0.38819444444444445</v>
      </c>
      <c r="AD58" s="222">
        <v>0.38819444444444445</v>
      </c>
      <c r="AE58" s="220"/>
      <c r="AF58" s="220"/>
      <c r="AG58" s="223" t="s">
        <v>316</v>
      </c>
      <c r="AH58" s="223" t="s">
        <v>316</v>
      </c>
    </row>
    <row r="59">
      <c r="A59" s="32"/>
      <c r="B59" s="145">
        <v>56.0</v>
      </c>
      <c r="C59" s="200" t="s">
        <v>411</v>
      </c>
      <c r="D59" s="22">
        <f t="shared" si="2"/>
        <v>6.750694444</v>
      </c>
      <c r="E59" s="227"/>
      <c r="F59" s="116"/>
      <c r="G59" s="116"/>
      <c r="H59" s="116"/>
      <c r="I59" s="114"/>
      <c r="J59" s="220"/>
      <c r="K59" s="221"/>
      <c r="L59" s="116">
        <v>0.27569444444444446</v>
      </c>
      <c r="M59" s="116">
        <v>0.4083333333333333</v>
      </c>
      <c r="N59" s="222">
        <v>0.3861111111111111</v>
      </c>
      <c r="O59" s="222">
        <v>0.3902777777777778</v>
      </c>
      <c r="P59" s="222">
        <v>0.3902777777777778</v>
      </c>
      <c r="Q59" s="220"/>
      <c r="R59" s="221"/>
      <c r="S59" s="222">
        <v>0.48541666666666666</v>
      </c>
      <c r="T59" s="222">
        <v>0.51875</v>
      </c>
      <c r="U59" s="222">
        <v>0.37222222222222223</v>
      </c>
      <c r="V59" s="222">
        <v>0.37916666666666665</v>
      </c>
      <c r="W59" s="222">
        <v>0.35694444444444445</v>
      </c>
      <c r="X59" s="220"/>
      <c r="Y59" s="220"/>
      <c r="Z59" s="222">
        <v>0.3854166666666667</v>
      </c>
      <c r="AA59" s="222">
        <v>0.3923611111111111</v>
      </c>
      <c r="AB59" s="222">
        <v>0.37222222222222223</v>
      </c>
      <c r="AC59" s="222">
        <v>0.38263888888888886</v>
      </c>
      <c r="AD59" s="222">
        <v>0.36527777777777776</v>
      </c>
      <c r="AE59" s="220"/>
      <c r="AF59" s="220"/>
      <c r="AG59" s="222">
        <v>0.5076388888888889</v>
      </c>
      <c r="AH59" s="222">
        <v>0.3819444444444444</v>
      </c>
    </row>
    <row r="60">
      <c r="A60" s="32"/>
      <c r="B60" s="186">
        <v>57.0</v>
      </c>
      <c r="C60" s="200" t="s">
        <v>412</v>
      </c>
      <c r="D60" s="22">
        <f t="shared" si="2"/>
        <v>7.431944444</v>
      </c>
      <c r="E60" s="147">
        <v>0.35555555555555557</v>
      </c>
      <c r="F60" s="117">
        <v>0.3611111111111111</v>
      </c>
      <c r="G60" s="117">
        <v>0.33125</v>
      </c>
      <c r="H60" s="117">
        <v>0.3375</v>
      </c>
      <c r="I60" s="147">
        <v>0.32430555555555557</v>
      </c>
      <c r="J60" s="220"/>
      <c r="K60" s="221"/>
      <c r="L60" s="117">
        <v>0.3770833333333333</v>
      </c>
      <c r="M60" s="114" t="s">
        <v>269</v>
      </c>
      <c r="N60" s="224">
        <v>0.35138888888888886</v>
      </c>
      <c r="O60" s="224">
        <v>0.3854166666666667</v>
      </c>
      <c r="P60" s="224">
        <v>0.3819444444444444</v>
      </c>
      <c r="Q60" s="220"/>
      <c r="R60" s="221"/>
      <c r="S60" s="224">
        <v>0.3527777777777778</v>
      </c>
      <c r="T60" s="224">
        <v>0.3458333333333333</v>
      </c>
      <c r="U60" s="224">
        <v>0.35555555555555557</v>
      </c>
      <c r="V60" s="224">
        <v>0.36736111111111114</v>
      </c>
      <c r="W60" s="224">
        <v>0.34930555555555554</v>
      </c>
      <c r="X60" s="220"/>
      <c r="Y60" s="220"/>
      <c r="Z60" s="224">
        <v>0.3576388888888889</v>
      </c>
      <c r="AA60" s="224">
        <v>0.3638888888888889</v>
      </c>
      <c r="AB60" s="224">
        <v>0.34305555555555556</v>
      </c>
      <c r="AC60" s="224">
        <v>0.3590277777777778</v>
      </c>
      <c r="AD60" s="224">
        <v>0.32083333333333336</v>
      </c>
      <c r="AE60" s="220"/>
      <c r="AF60" s="220"/>
      <c r="AG60" s="224">
        <v>0.35555555555555557</v>
      </c>
      <c r="AH60" s="224">
        <v>0.35555555555555557</v>
      </c>
    </row>
    <row r="61">
      <c r="A61" s="32"/>
      <c r="B61" s="139">
        <v>58.0</v>
      </c>
      <c r="C61" s="201" t="s">
        <v>260</v>
      </c>
      <c r="D61" s="22">
        <f t="shared" si="2"/>
        <v>6.85625</v>
      </c>
      <c r="E61" s="116">
        <v>0.4048611111111111</v>
      </c>
      <c r="F61" s="116">
        <v>0.28125</v>
      </c>
      <c r="G61" s="116">
        <v>0.3125</v>
      </c>
      <c r="H61" s="116">
        <v>0.47291666666666665</v>
      </c>
      <c r="I61" s="114" t="s">
        <v>316</v>
      </c>
      <c r="J61" s="220"/>
      <c r="K61" s="221"/>
      <c r="L61" s="116">
        <v>0.28402777777777777</v>
      </c>
      <c r="M61" s="116">
        <v>0.35208333333333336</v>
      </c>
      <c r="N61" s="222">
        <v>0.36527777777777776</v>
      </c>
      <c r="O61" s="222">
        <v>0.3888888888888889</v>
      </c>
      <c r="P61" s="222">
        <v>0.3888888888888889</v>
      </c>
      <c r="Q61" s="220"/>
      <c r="R61" s="221"/>
      <c r="S61" s="222">
        <v>0.3055555555555556</v>
      </c>
      <c r="T61" s="222">
        <v>0.32430555555555557</v>
      </c>
      <c r="U61" s="222">
        <v>0.38819444444444445</v>
      </c>
      <c r="V61" s="222">
        <v>0.34305555555555556</v>
      </c>
      <c r="W61" s="222">
        <v>0.38819444444444445</v>
      </c>
      <c r="X61" s="220"/>
      <c r="Y61" s="220"/>
      <c r="Z61" s="222">
        <v>0.3090277777777778</v>
      </c>
      <c r="AA61" s="222">
        <v>0.2972222222222222</v>
      </c>
      <c r="AB61" s="222"/>
      <c r="AC61" s="222">
        <v>0.3229166666666667</v>
      </c>
      <c r="AD61" s="222">
        <v>0.3229166666666667</v>
      </c>
      <c r="AE61" s="220"/>
      <c r="AF61" s="220"/>
      <c r="AG61" s="222">
        <v>0.2972222222222222</v>
      </c>
      <c r="AH61" s="222">
        <v>0.30694444444444446</v>
      </c>
    </row>
    <row r="62">
      <c r="A62" s="32"/>
      <c r="B62" s="188">
        <v>59.0</v>
      </c>
      <c r="C62" s="201" t="s">
        <v>26</v>
      </c>
      <c r="D62" s="22">
        <f t="shared" si="2"/>
        <v>4.359722222</v>
      </c>
      <c r="E62" s="114" t="s">
        <v>316</v>
      </c>
      <c r="F62" s="114" t="s">
        <v>316</v>
      </c>
      <c r="G62" s="114" t="s">
        <v>316</v>
      </c>
      <c r="H62" s="114" t="s">
        <v>316</v>
      </c>
      <c r="I62" s="114" t="s">
        <v>316</v>
      </c>
      <c r="J62" s="220"/>
      <c r="K62" s="221"/>
      <c r="L62" s="147">
        <v>0.3215277777777778</v>
      </c>
      <c r="M62" s="116">
        <v>0.37777777777777777</v>
      </c>
      <c r="N62" s="222">
        <v>0.3902777777777778</v>
      </c>
      <c r="O62" s="223" t="s">
        <v>316</v>
      </c>
      <c r="P62" s="223" t="s">
        <v>316</v>
      </c>
      <c r="Q62" s="220"/>
      <c r="R62" s="221"/>
      <c r="S62" s="223" t="s">
        <v>316</v>
      </c>
      <c r="T62" s="224">
        <v>0.3902777777777778</v>
      </c>
      <c r="U62" s="224">
        <v>0.42777777777777776</v>
      </c>
      <c r="V62" s="224">
        <v>0.16666666666666666</v>
      </c>
      <c r="W62" s="223" t="s">
        <v>316</v>
      </c>
      <c r="X62" s="220"/>
      <c r="Y62" s="220"/>
      <c r="Z62" s="224">
        <v>0.44583333333333336</v>
      </c>
      <c r="AA62" s="224">
        <v>0.5034722222222222</v>
      </c>
      <c r="AB62" s="222">
        <v>0.3680555555555556</v>
      </c>
      <c r="AC62" s="223" t="s">
        <v>316</v>
      </c>
      <c r="AD62" s="223" t="s">
        <v>316</v>
      </c>
      <c r="AE62" s="220"/>
      <c r="AF62" s="220"/>
      <c r="AG62" s="224">
        <v>0.4756944444444444</v>
      </c>
      <c r="AH62" s="224">
        <v>0.49236111111111114</v>
      </c>
    </row>
    <row r="63">
      <c r="A63" s="32"/>
      <c r="B63" s="139">
        <v>60.0</v>
      </c>
      <c r="C63" s="201" t="s">
        <v>51</v>
      </c>
      <c r="D63" s="22">
        <f t="shared" si="2"/>
        <v>2.692361111</v>
      </c>
      <c r="E63" s="114" t="s">
        <v>316</v>
      </c>
      <c r="F63" s="114" t="s">
        <v>316</v>
      </c>
      <c r="G63" s="114" t="s">
        <v>316</v>
      </c>
      <c r="H63" s="114" t="s">
        <v>316</v>
      </c>
      <c r="I63" s="114" t="s">
        <v>316</v>
      </c>
      <c r="J63" s="220"/>
      <c r="K63" s="221"/>
      <c r="L63" s="117">
        <v>0.3145833333333333</v>
      </c>
      <c r="M63" s="116">
        <v>0.41875</v>
      </c>
      <c r="N63" s="222">
        <v>0.25625</v>
      </c>
      <c r="O63" s="223" t="s">
        <v>316</v>
      </c>
      <c r="P63" s="223" t="s">
        <v>316</v>
      </c>
      <c r="Q63" s="220"/>
      <c r="R63" s="221"/>
      <c r="S63" s="223" t="s">
        <v>316</v>
      </c>
      <c r="T63" s="223" t="s">
        <v>316</v>
      </c>
      <c r="U63" s="223" t="s">
        <v>316</v>
      </c>
      <c r="V63" s="223" t="s">
        <v>316</v>
      </c>
      <c r="W63" s="223" t="s">
        <v>316</v>
      </c>
      <c r="X63" s="220"/>
      <c r="Y63" s="220"/>
      <c r="Z63" s="224">
        <v>0.42291666666666666</v>
      </c>
      <c r="AA63" s="224">
        <v>0.5152777777777777</v>
      </c>
      <c r="AB63" s="222">
        <v>0.2951388888888889</v>
      </c>
      <c r="AC63" s="223" t="s">
        <v>316</v>
      </c>
      <c r="AD63" s="223" t="s">
        <v>316</v>
      </c>
      <c r="AE63" s="220"/>
      <c r="AF63" s="220"/>
      <c r="AG63" s="223" t="s">
        <v>316</v>
      </c>
      <c r="AH63" s="224">
        <v>0.46944444444444444</v>
      </c>
    </row>
    <row r="64">
      <c r="A64" s="32"/>
      <c r="B64" s="139">
        <v>61.0</v>
      </c>
      <c r="C64" s="202" t="s">
        <v>413</v>
      </c>
      <c r="D64" s="22">
        <f t="shared" si="2"/>
        <v>6.377083333</v>
      </c>
      <c r="E64" s="147">
        <v>0.4166666666666667</v>
      </c>
      <c r="F64" s="117">
        <v>0.40625</v>
      </c>
      <c r="G64" s="117">
        <v>0.4270833333333333</v>
      </c>
      <c r="H64" s="117">
        <v>0.4131944444444444</v>
      </c>
      <c r="I64" s="114" t="s">
        <v>316</v>
      </c>
      <c r="J64" s="220"/>
      <c r="K64" s="221"/>
      <c r="L64" s="147">
        <v>0.3125</v>
      </c>
      <c r="M64" s="117">
        <v>0.3</v>
      </c>
      <c r="N64" s="224">
        <v>0.3770833333333333</v>
      </c>
      <c r="O64" s="224">
        <v>0.3763888888888889</v>
      </c>
      <c r="P64" s="223" t="s">
        <v>316</v>
      </c>
      <c r="Q64" s="220"/>
      <c r="R64" s="221"/>
      <c r="S64" s="224">
        <v>0.3902777777777778</v>
      </c>
      <c r="T64" s="224">
        <v>0.28055555555555556</v>
      </c>
      <c r="U64" s="224">
        <v>0.4236111111111111</v>
      </c>
      <c r="V64" s="224">
        <v>0.3798611111111111</v>
      </c>
      <c r="W64" s="223" t="s">
        <v>316</v>
      </c>
      <c r="X64" s="220"/>
      <c r="Y64" s="220"/>
      <c r="Z64" s="224">
        <v>0.3784722222222222</v>
      </c>
      <c r="AA64" s="224">
        <v>0.38472222222222224</v>
      </c>
      <c r="AB64" s="224">
        <v>0.3548611111111111</v>
      </c>
      <c r="AC64" s="223" t="s">
        <v>316</v>
      </c>
      <c r="AD64" s="223" t="s">
        <v>316</v>
      </c>
      <c r="AE64" s="220"/>
      <c r="AF64" s="220"/>
      <c r="AG64" s="224">
        <v>0.3763888888888889</v>
      </c>
      <c r="AH64" s="224">
        <v>0.37916666666666665</v>
      </c>
    </row>
    <row r="65">
      <c r="A65" s="15"/>
      <c r="B65" s="188">
        <v>62.0</v>
      </c>
      <c r="C65" s="201" t="s">
        <v>397</v>
      </c>
      <c r="D65" s="22">
        <f t="shared" si="2"/>
        <v>7.783333333</v>
      </c>
      <c r="E65" s="116">
        <v>0.37916666666666665</v>
      </c>
      <c r="F65" s="116">
        <v>0.36666666666666664</v>
      </c>
      <c r="G65" s="116">
        <v>0.4173611111111111</v>
      </c>
      <c r="H65" s="116">
        <v>0.3333333333333333</v>
      </c>
      <c r="I65" s="114" t="s">
        <v>316</v>
      </c>
      <c r="J65" s="220"/>
      <c r="K65" s="221"/>
      <c r="L65" s="116">
        <v>0.4076388888888889</v>
      </c>
      <c r="M65" s="116">
        <v>0.4597222222222222</v>
      </c>
      <c r="N65" s="222">
        <v>0.42916666666666664</v>
      </c>
      <c r="O65" s="222">
        <v>0.3819444444444444</v>
      </c>
      <c r="P65" s="222">
        <v>0.3819444444444444</v>
      </c>
      <c r="Q65" s="220"/>
      <c r="R65" s="221"/>
      <c r="S65" s="222">
        <v>0.3861111111111111</v>
      </c>
      <c r="T65" s="222">
        <v>0.38055555555555554</v>
      </c>
      <c r="U65" s="222">
        <v>0.40555555555555556</v>
      </c>
      <c r="V65" s="222">
        <v>0.35555555555555557</v>
      </c>
      <c r="W65" s="222">
        <v>0.40555555555555556</v>
      </c>
      <c r="X65" s="220"/>
      <c r="Y65" s="220"/>
      <c r="Z65" s="222">
        <v>0.40347222222222223</v>
      </c>
      <c r="AA65" s="222">
        <v>0.38958333333333334</v>
      </c>
      <c r="AB65" s="222">
        <v>0.3277777777777778</v>
      </c>
      <c r="AC65" s="223" t="s">
        <v>316</v>
      </c>
      <c r="AD65" s="222">
        <v>0.3576388888888889</v>
      </c>
      <c r="AE65" s="220"/>
      <c r="AF65" s="220"/>
      <c r="AG65" s="222">
        <v>0.47638888888888886</v>
      </c>
      <c r="AH65" s="222">
        <v>0.33819444444444446</v>
      </c>
    </row>
    <row r="66">
      <c r="A66" s="193" t="s">
        <v>281</v>
      </c>
      <c r="B66" s="186">
        <v>63.0</v>
      </c>
      <c r="C66" s="198" t="s">
        <v>32</v>
      </c>
      <c r="D66" s="22">
        <f t="shared" si="2"/>
        <v>5.078472222</v>
      </c>
      <c r="E66" s="116">
        <v>0.4027777777777778</v>
      </c>
      <c r="F66" s="114" t="s">
        <v>316</v>
      </c>
      <c r="G66" s="117">
        <v>0.3715277777777778</v>
      </c>
      <c r="H66" s="116">
        <v>0.36736111111111114</v>
      </c>
      <c r="I66" s="114" t="s">
        <v>316</v>
      </c>
      <c r="J66" s="220"/>
      <c r="K66" s="221"/>
      <c r="L66" s="116">
        <v>0.41875</v>
      </c>
      <c r="M66" s="114" t="s">
        <v>316</v>
      </c>
      <c r="N66" s="222">
        <v>0.3972222222222222</v>
      </c>
      <c r="O66" s="223" t="s">
        <v>316</v>
      </c>
      <c r="P66" s="224">
        <v>0.45555555555555555</v>
      </c>
      <c r="Q66" s="220"/>
      <c r="R66" s="221"/>
      <c r="S66" s="223" t="s">
        <v>269</v>
      </c>
      <c r="T66" s="224">
        <v>0.4597222222222222</v>
      </c>
      <c r="U66" s="224">
        <v>0.3416666666666667</v>
      </c>
      <c r="V66" s="224">
        <v>0.3798611111111111</v>
      </c>
      <c r="W66" s="223" t="s">
        <v>316</v>
      </c>
      <c r="X66" s="220"/>
      <c r="Y66" s="220"/>
      <c r="Z66" s="224">
        <v>0.3854166666666667</v>
      </c>
      <c r="AA66" s="224">
        <v>0.37569444444444444</v>
      </c>
      <c r="AB66" s="223" t="s">
        <v>316</v>
      </c>
      <c r="AC66" s="224">
        <v>0.32708333333333334</v>
      </c>
      <c r="AD66" s="223" t="s">
        <v>316</v>
      </c>
      <c r="AE66" s="220"/>
      <c r="AF66" s="220"/>
      <c r="AG66" s="223" t="s">
        <v>316</v>
      </c>
      <c r="AH66" s="224">
        <v>0.3958333333333333</v>
      </c>
    </row>
    <row r="67">
      <c r="A67" s="166" t="s">
        <v>282</v>
      </c>
      <c r="B67" s="228">
        <v>64.0</v>
      </c>
      <c r="C67" s="206" t="s">
        <v>23</v>
      </c>
      <c r="D67" s="22">
        <f t="shared" si="2"/>
        <v>6.751388889</v>
      </c>
      <c r="E67" s="116">
        <v>0.4375</v>
      </c>
      <c r="F67" s="116">
        <v>0.3</v>
      </c>
      <c r="G67" s="116">
        <v>0.3819444444444444</v>
      </c>
      <c r="H67" s="116">
        <v>0.3736111111111111</v>
      </c>
      <c r="I67" s="114" t="s">
        <v>316</v>
      </c>
      <c r="J67" s="220"/>
      <c r="K67" s="221"/>
      <c r="L67" s="116">
        <v>0.4576388888888889</v>
      </c>
      <c r="M67" s="114" t="s">
        <v>271</v>
      </c>
      <c r="N67" s="224">
        <v>0.4041666666666667</v>
      </c>
      <c r="O67" s="222">
        <v>0.33194444444444443</v>
      </c>
      <c r="P67" s="224">
        <v>0.40208333333333335</v>
      </c>
      <c r="Q67" s="220"/>
      <c r="R67" s="221"/>
      <c r="S67" s="224">
        <v>0.4097222222222222</v>
      </c>
      <c r="T67" s="224">
        <v>0.2861111111111111</v>
      </c>
      <c r="U67" s="222">
        <v>0.24930555555555556</v>
      </c>
      <c r="V67" s="224">
        <v>0.3993055555555556</v>
      </c>
      <c r="W67" s="223" t="s">
        <v>316</v>
      </c>
      <c r="X67" s="220"/>
      <c r="Y67" s="220"/>
      <c r="Z67" s="222">
        <v>0.2763888888888889</v>
      </c>
      <c r="AA67" s="222">
        <v>0.2986111111111111</v>
      </c>
      <c r="AB67" s="224">
        <v>0.44166666666666665</v>
      </c>
      <c r="AC67" s="224">
        <v>0.4097222222222222</v>
      </c>
      <c r="AD67" s="223" t="s">
        <v>316</v>
      </c>
      <c r="AE67" s="220"/>
      <c r="AF67" s="220"/>
      <c r="AG67" s="224">
        <v>0.4131944444444444</v>
      </c>
      <c r="AH67" s="222">
        <v>0.47847222222222224</v>
      </c>
    </row>
    <row r="68">
      <c r="A68" s="32"/>
      <c r="B68" s="149">
        <v>65.0</v>
      </c>
      <c r="C68" s="206" t="s">
        <v>138</v>
      </c>
      <c r="D68" s="22">
        <f t="shared" si="2"/>
        <v>4.511805556</v>
      </c>
      <c r="E68" s="116">
        <v>0.3375</v>
      </c>
      <c r="F68" s="116">
        <v>0.3145833333333333</v>
      </c>
      <c r="G68" s="116">
        <v>0.29583333333333334</v>
      </c>
      <c r="H68" s="114" t="s">
        <v>271</v>
      </c>
      <c r="I68" s="114" t="s">
        <v>316</v>
      </c>
      <c r="J68" s="220"/>
      <c r="K68" s="221"/>
      <c r="L68" s="116">
        <v>0.40555555555555556</v>
      </c>
      <c r="M68" s="116">
        <v>0.2923611111111111</v>
      </c>
      <c r="N68" s="222">
        <v>0.2125</v>
      </c>
      <c r="O68" s="223" t="s">
        <v>316</v>
      </c>
      <c r="P68" s="222">
        <v>0.29375</v>
      </c>
      <c r="Q68" s="220"/>
      <c r="R68" s="221"/>
      <c r="S68" s="223" t="s">
        <v>316</v>
      </c>
      <c r="T68" s="223" t="s">
        <v>316</v>
      </c>
      <c r="U68" s="222">
        <v>0.3104166666666667</v>
      </c>
      <c r="V68" s="224">
        <v>0.3527777777777778</v>
      </c>
      <c r="W68" s="222">
        <v>0.30625</v>
      </c>
      <c r="X68" s="220"/>
      <c r="Y68" s="220"/>
      <c r="Z68" s="222">
        <v>0.34652777777777777</v>
      </c>
      <c r="AA68" s="223" t="s">
        <v>316</v>
      </c>
      <c r="AB68" s="222">
        <v>0.38055555555555554</v>
      </c>
      <c r="AC68" s="222">
        <v>0.36180555555555555</v>
      </c>
      <c r="AD68" s="223" t="s">
        <v>316</v>
      </c>
      <c r="AE68" s="220"/>
      <c r="AF68" s="220"/>
      <c r="AG68" s="222">
        <v>0.3013888888888889</v>
      </c>
      <c r="AH68" s="223" t="s">
        <v>316</v>
      </c>
    </row>
    <row r="69">
      <c r="A69" s="32"/>
      <c r="B69" s="228">
        <v>66.0</v>
      </c>
      <c r="C69" s="206" t="s">
        <v>228</v>
      </c>
      <c r="D69" s="22">
        <f t="shared" si="2"/>
        <v>5.925</v>
      </c>
      <c r="E69" s="114" t="s">
        <v>316</v>
      </c>
      <c r="F69" s="116">
        <v>0.3458333333333333</v>
      </c>
      <c r="G69" s="116">
        <v>0.33402777777777776</v>
      </c>
      <c r="H69" s="116">
        <v>0.3076388888888889</v>
      </c>
      <c r="I69" s="114" t="s">
        <v>316</v>
      </c>
      <c r="J69" s="220"/>
      <c r="K69" s="221"/>
      <c r="L69" s="147">
        <v>0.3298611111111111</v>
      </c>
      <c r="M69" s="116">
        <v>0.3375</v>
      </c>
      <c r="N69" s="222">
        <v>0.32222222222222224</v>
      </c>
      <c r="O69" s="222">
        <v>0.3277777777777778</v>
      </c>
      <c r="P69" s="222">
        <v>0.3277777777777778</v>
      </c>
      <c r="Q69" s="220"/>
      <c r="R69" s="221"/>
      <c r="S69" s="223" t="s">
        <v>316</v>
      </c>
      <c r="T69" s="222">
        <v>0.3236111111111111</v>
      </c>
      <c r="U69" s="222">
        <v>0.3458333333333333</v>
      </c>
      <c r="V69" s="222">
        <v>0.3145833333333333</v>
      </c>
      <c r="W69" s="222">
        <v>0.3458333333333333</v>
      </c>
      <c r="X69" s="220"/>
      <c r="Y69" s="220"/>
      <c r="Z69" s="222">
        <v>0.33194444444444443</v>
      </c>
      <c r="AA69" s="222">
        <v>0.3236111111111111</v>
      </c>
      <c r="AB69" s="223" t="s">
        <v>269</v>
      </c>
      <c r="AC69" s="222">
        <v>0.3215277777777778</v>
      </c>
      <c r="AD69" s="222">
        <v>0.3215277777777778</v>
      </c>
      <c r="AE69" s="220"/>
      <c r="AF69" s="220"/>
      <c r="AG69" s="222">
        <v>0.3347222222222222</v>
      </c>
      <c r="AH69" s="222">
        <v>0.32916666666666666</v>
      </c>
    </row>
    <row r="70">
      <c r="A70" s="32"/>
      <c r="B70" s="228">
        <v>67.0</v>
      </c>
      <c r="C70" s="206" t="s">
        <v>273</v>
      </c>
      <c r="D70" s="22">
        <f t="shared" si="2"/>
        <v>4.309722222</v>
      </c>
      <c r="E70" s="116">
        <v>0.3333333333333333</v>
      </c>
      <c r="F70" s="116">
        <v>0.3298611111111111</v>
      </c>
      <c r="G70" s="117">
        <v>0.3229166666666667</v>
      </c>
      <c r="H70" s="114" t="s">
        <v>316</v>
      </c>
      <c r="I70" s="114" t="s">
        <v>316</v>
      </c>
      <c r="J70" s="220"/>
      <c r="K70" s="221"/>
      <c r="L70" s="116">
        <v>0.33055555555555555</v>
      </c>
      <c r="M70" s="116">
        <v>0.3284722222222222</v>
      </c>
      <c r="N70" s="222">
        <v>0.3368055555555556</v>
      </c>
      <c r="O70" s="222">
        <v>0.27152777777777776</v>
      </c>
      <c r="P70" s="222">
        <v>0.27152777777777776</v>
      </c>
      <c r="Q70" s="220"/>
      <c r="R70" s="221"/>
      <c r="S70" s="223" t="s">
        <v>316</v>
      </c>
      <c r="T70" s="223" t="s">
        <v>316</v>
      </c>
      <c r="U70" s="223" t="s">
        <v>316</v>
      </c>
      <c r="V70" s="222">
        <v>0.3326388888888889</v>
      </c>
      <c r="W70" s="223" t="s">
        <v>316</v>
      </c>
      <c r="X70" s="220"/>
      <c r="Y70" s="220"/>
      <c r="Z70" s="222">
        <v>0.31180555555555556</v>
      </c>
      <c r="AA70" s="223" t="s">
        <v>316</v>
      </c>
      <c r="AB70" s="222">
        <v>0.30625</v>
      </c>
      <c r="AC70" s="222">
        <v>0.30277777777777776</v>
      </c>
      <c r="AD70" s="222">
        <v>0.30277777777777776</v>
      </c>
      <c r="AE70" s="220"/>
      <c r="AF70" s="220"/>
      <c r="AG70" s="222">
        <v>0.22847222222222222</v>
      </c>
      <c r="AH70" s="223" t="s">
        <v>316</v>
      </c>
    </row>
    <row r="71">
      <c r="A71" s="32"/>
      <c r="B71" s="149">
        <v>68.0</v>
      </c>
      <c r="C71" s="206" t="s">
        <v>10</v>
      </c>
      <c r="D71" s="22">
        <f t="shared" si="2"/>
        <v>8.194444444</v>
      </c>
      <c r="E71" s="117">
        <v>0.28125</v>
      </c>
      <c r="F71" s="116">
        <v>0.35833333333333334</v>
      </c>
      <c r="G71" s="117">
        <v>0.2708333333333333</v>
      </c>
      <c r="H71" s="117">
        <v>0.3194444444444444</v>
      </c>
      <c r="I71" s="117">
        <v>0.4166666666666667</v>
      </c>
      <c r="J71" s="220"/>
      <c r="K71" s="221"/>
      <c r="L71" s="147">
        <v>0.28125</v>
      </c>
      <c r="M71" s="117">
        <v>0.3013888888888889</v>
      </c>
      <c r="N71" s="224">
        <v>0.5</v>
      </c>
      <c r="O71" s="224">
        <v>0.5104166666666666</v>
      </c>
      <c r="P71" s="223" t="s">
        <v>316</v>
      </c>
      <c r="Q71" s="220"/>
      <c r="R71" s="221"/>
      <c r="S71" s="224">
        <v>0.4479166666666667</v>
      </c>
      <c r="T71" s="224">
        <v>0.43680555555555556</v>
      </c>
      <c r="U71" s="224">
        <v>0.44722222222222224</v>
      </c>
      <c r="V71" s="224">
        <v>0.5166666666666667</v>
      </c>
      <c r="W71" s="223" t="s">
        <v>316</v>
      </c>
      <c r="X71" s="220"/>
      <c r="Y71" s="220"/>
      <c r="Z71" s="224">
        <v>0.46319444444444446</v>
      </c>
      <c r="AA71" s="224">
        <v>0.4479166666666667</v>
      </c>
      <c r="AB71" s="224">
        <v>0.5229166666666667</v>
      </c>
      <c r="AC71" s="224">
        <v>0.4791666666666667</v>
      </c>
      <c r="AD71" s="223" t="s">
        <v>316</v>
      </c>
      <c r="AE71" s="220"/>
      <c r="AF71" s="220"/>
      <c r="AG71" s="224">
        <v>0.5756944444444444</v>
      </c>
      <c r="AH71" s="224">
        <v>0.6173611111111111</v>
      </c>
    </row>
    <row r="72">
      <c r="A72" s="32"/>
      <c r="B72" s="228">
        <v>69.0</v>
      </c>
      <c r="C72" s="206" t="s">
        <v>6</v>
      </c>
      <c r="D72" s="22">
        <f t="shared" si="2"/>
        <v>10.56388889</v>
      </c>
      <c r="E72" s="117">
        <v>0.4166666666666667</v>
      </c>
      <c r="F72" s="147">
        <v>0.4583333333333333</v>
      </c>
      <c r="G72" s="117">
        <v>0.4270833333333333</v>
      </c>
      <c r="H72" s="116">
        <v>0.4444444444444444</v>
      </c>
      <c r="I72" s="116">
        <v>0.4513888888888889</v>
      </c>
      <c r="J72" s="220"/>
      <c r="K72" s="221"/>
      <c r="L72" s="117">
        <v>0.425</v>
      </c>
      <c r="M72" s="117">
        <v>0.42430555555555555</v>
      </c>
      <c r="N72" s="224">
        <v>0.5729166666666666</v>
      </c>
      <c r="O72" s="224">
        <v>0.49444444444444446</v>
      </c>
      <c r="P72" s="224">
        <v>0.5076388888888889</v>
      </c>
      <c r="Q72" s="220"/>
      <c r="R72" s="221"/>
      <c r="S72" s="222">
        <v>0.45555555555555555</v>
      </c>
      <c r="T72" s="224">
        <v>0.47638888888888886</v>
      </c>
      <c r="U72" s="224">
        <v>0.47430555555555554</v>
      </c>
      <c r="V72" s="224">
        <v>0.4798611111111111</v>
      </c>
      <c r="W72" s="224">
        <v>0.5875</v>
      </c>
      <c r="X72" s="220"/>
      <c r="Y72" s="220"/>
      <c r="Z72" s="222">
        <v>0.4375</v>
      </c>
      <c r="AA72" s="224">
        <v>0.51875</v>
      </c>
      <c r="AB72" s="224">
        <v>0.49236111111111114</v>
      </c>
      <c r="AC72" s="224">
        <v>0.46944444444444444</v>
      </c>
      <c r="AD72" s="224">
        <v>0.5270833333333333</v>
      </c>
      <c r="AE72" s="220"/>
      <c r="AF72" s="220"/>
      <c r="AG72" s="224">
        <v>0.45902777777777776</v>
      </c>
      <c r="AH72" s="224">
        <v>0.5638888888888889</v>
      </c>
    </row>
    <row r="73">
      <c r="A73" s="32"/>
      <c r="B73" s="228">
        <v>70.0</v>
      </c>
      <c r="C73" s="206" t="s">
        <v>75</v>
      </c>
      <c r="D73" s="22">
        <f t="shared" si="2"/>
        <v>3.369444444</v>
      </c>
      <c r="E73" s="114" t="s">
        <v>316</v>
      </c>
      <c r="F73" s="114" t="s">
        <v>316</v>
      </c>
      <c r="G73" s="114" t="s">
        <v>316</v>
      </c>
      <c r="H73" s="114" t="s">
        <v>316</v>
      </c>
      <c r="I73" s="114" t="s">
        <v>316</v>
      </c>
      <c r="J73" s="220"/>
      <c r="K73" s="221"/>
      <c r="L73" s="116">
        <v>0.34930555555555554</v>
      </c>
      <c r="M73" s="116">
        <v>0.28541666666666665</v>
      </c>
      <c r="N73" s="222">
        <v>0.28402777777777777</v>
      </c>
      <c r="O73" s="222">
        <v>0.25625</v>
      </c>
      <c r="P73" s="223" t="s">
        <v>316</v>
      </c>
      <c r="Q73" s="220"/>
      <c r="R73" s="221"/>
      <c r="S73" s="223" t="s">
        <v>316</v>
      </c>
      <c r="T73" s="224">
        <v>0.28541666666666665</v>
      </c>
      <c r="U73" s="224">
        <v>0.27291666666666664</v>
      </c>
      <c r="V73" s="224">
        <v>0.28958333333333336</v>
      </c>
      <c r="W73" s="223" t="s">
        <v>316</v>
      </c>
      <c r="X73" s="220"/>
      <c r="Y73" s="220"/>
      <c r="Z73" s="222">
        <v>0.24166666666666667</v>
      </c>
      <c r="AA73" s="222">
        <v>0.2777777777777778</v>
      </c>
      <c r="AB73" s="223" t="s">
        <v>316</v>
      </c>
      <c r="AC73" s="222">
        <v>0.30069444444444443</v>
      </c>
      <c r="AD73" s="223" t="s">
        <v>414</v>
      </c>
      <c r="AE73" s="220"/>
      <c r="AF73" s="220"/>
      <c r="AG73" s="222">
        <v>0.27152777777777776</v>
      </c>
      <c r="AH73" s="222">
        <v>0.2548611111111111</v>
      </c>
    </row>
    <row r="74">
      <c r="A74" s="32"/>
      <c r="B74" s="149">
        <v>71.0</v>
      </c>
      <c r="C74" s="206" t="s">
        <v>120</v>
      </c>
      <c r="D74" s="22">
        <f t="shared" si="2"/>
        <v>8.679861111</v>
      </c>
      <c r="E74" s="117">
        <v>0.4270833333333333</v>
      </c>
      <c r="F74" s="117">
        <v>0.40625</v>
      </c>
      <c r="G74" s="117">
        <v>0.3645833333333333</v>
      </c>
      <c r="H74" s="117">
        <v>0.3541666666666667</v>
      </c>
      <c r="I74" s="114" t="s">
        <v>284</v>
      </c>
      <c r="J74" s="229"/>
      <c r="K74" s="230">
        <v>0.3854166666666667</v>
      </c>
      <c r="L74" s="117">
        <v>0.4201388888888889</v>
      </c>
      <c r="M74" s="117">
        <v>0.3645833333333333</v>
      </c>
      <c r="N74" s="224">
        <v>0.3854166666666667</v>
      </c>
      <c r="O74" s="224">
        <v>0.4375</v>
      </c>
      <c r="P74" s="223" t="s">
        <v>284</v>
      </c>
      <c r="Q74" s="229" t="s">
        <v>284</v>
      </c>
      <c r="R74" s="230">
        <v>0.4131944444444444</v>
      </c>
      <c r="S74" s="224">
        <v>0.41875</v>
      </c>
      <c r="T74" s="224">
        <v>0.4097222222222222</v>
      </c>
      <c r="U74" s="224">
        <v>0.3611111111111111</v>
      </c>
      <c r="V74" s="224">
        <v>0.3854166666666667</v>
      </c>
      <c r="W74" s="222">
        <v>0.41458333333333336</v>
      </c>
      <c r="X74" s="229" t="s">
        <v>284</v>
      </c>
      <c r="Y74" s="229" t="s">
        <v>284</v>
      </c>
      <c r="Z74" s="224">
        <v>0.3611111111111111</v>
      </c>
      <c r="AA74" s="222">
        <v>0.29930555555555555</v>
      </c>
      <c r="AB74" s="224">
        <v>0.4166666666666667</v>
      </c>
      <c r="AC74" s="224">
        <v>0.4131944444444444</v>
      </c>
      <c r="AD74" s="224">
        <v>0.4222222222222222</v>
      </c>
      <c r="AE74" s="229" t="s">
        <v>284</v>
      </c>
      <c r="AF74" s="229" t="s">
        <v>284</v>
      </c>
      <c r="AG74" s="224">
        <v>0.4131944444444444</v>
      </c>
      <c r="AH74" s="224">
        <v>0.40625</v>
      </c>
    </row>
    <row r="75">
      <c r="A75" s="32"/>
      <c r="B75" s="228">
        <v>72.0</v>
      </c>
      <c r="C75" s="207" t="s">
        <v>123</v>
      </c>
      <c r="D75" s="22">
        <f t="shared" si="2"/>
        <v>7.511805556</v>
      </c>
      <c r="E75" s="117">
        <v>0.3819444444444444</v>
      </c>
      <c r="F75" s="117">
        <v>0.3770833333333333</v>
      </c>
      <c r="G75" s="117">
        <v>0.3715277777777778</v>
      </c>
      <c r="H75" s="116">
        <v>0.3902777777777778</v>
      </c>
      <c r="I75" s="114" t="s">
        <v>284</v>
      </c>
      <c r="J75" s="220"/>
      <c r="K75" s="221"/>
      <c r="L75" s="116">
        <v>0.3875</v>
      </c>
      <c r="M75" s="117">
        <v>0.3645833333333333</v>
      </c>
      <c r="N75" s="224">
        <v>0.37569444444444444</v>
      </c>
      <c r="O75" s="222">
        <v>0.38125</v>
      </c>
      <c r="P75" s="223" t="s">
        <v>284</v>
      </c>
      <c r="Q75" s="220"/>
      <c r="R75" s="221"/>
      <c r="S75" s="222">
        <v>0.37777777777777777</v>
      </c>
      <c r="T75" s="224">
        <v>0.3590277777777778</v>
      </c>
      <c r="U75" s="224">
        <v>0.37777777777777777</v>
      </c>
      <c r="V75" s="224">
        <v>0.36736111111111114</v>
      </c>
      <c r="W75" s="224">
        <v>0.38333333333333336</v>
      </c>
      <c r="X75" s="220"/>
      <c r="Y75" s="220"/>
      <c r="Z75" s="224">
        <v>0.3659722222222222</v>
      </c>
      <c r="AA75" s="222">
        <v>0.3902777777777778</v>
      </c>
      <c r="AB75" s="224">
        <v>0.3645833333333333</v>
      </c>
      <c r="AC75" s="224">
        <v>0.3763888888888889</v>
      </c>
      <c r="AD75" s="224">
        <v>0.3645833333333333</v>
      </c>
      <c r="AE75" s="220"/>
      <c r="AF75" s="220"/>
      <c r="AG75" s="224">
        <v>0.3819444444444444</v>
      </c>
      <c r="AH75" s="224">
        <v>0.3729166666666667</v>
      </c>
    </row>
    <row r="76">
      <c r="A76" s="32"/>
      <c r="B76" s="228">
        <v>73.0</v>
      </c>
      <c r="C76" s="206" t="s">
        <v>111</v>
      </c>
      <c r="D76" s="22">
        <f t="shared" si="2"/>
        <v>9.486805556</v>
      </c>
      <c r="E76" s="117">
        <v>0.39652777777777776</v>
      </c>
      <c r="F76" s="117">
        <v>0.4166666666666667</v>
      </c>
      <c r="G76" s="116">
        <v>0.4444444444444444</v>
      </c>
      <c r="H76" s="117">
        <v>0.40625</v>
      </c>
      <c r="I76" s="117">
        <v>0.4</v>
      </c>
      <c r="J76" s="231">
        <v>0.37569444444444444</v>
      </c>
      <c r="K76" s="221"/>
      <c r="L76" s="116">
        <v>0.43680555555555556</v>
      </c>
      <c r="M76" s="116">
        <v>0.4</v>
      </c>
      <c r="N76" s="222">
        <v>0.3590277777777778</v>
      </c>
      <c r="O76" s="222">
        <v>0.34375</v>
      </c>
      <c r="P76" s="222">
        <v>0.44166666666666665</v>
      </c>
      <c r="Q76" s="231">
        <v>0.3958333333333333</v>
      </c>
      <c r="R76" s="221"/>
      <c r="S76" s="222">
        <v>0.3375</v>
      </c>
      <c r="T76" s="224">
        <v>0.33194444444444443</v>
      </c>
      <c r="U76" s="222">
        <v>0.24305555555555555</v>
      </c>
      <c r="V76" s="224">
        <v>0.4027777777777778</v>
      </c>
      <c r="W76" s="224">
        <v>0.43819444444444444</v>
      </c>
      <c r="X76" s="231">
        <v>0.3611111111111111</v>
      </c>
      <c r="Y76" s="220"/>
      <c r="Z76" s="225">
        <v>0.4173611111111111</v>
      </c>
      <c r="AA76" s="222">
        <v>0.3368055555555556</v>
      </c>
      <c r="AB76" s="224">
        <v>0.3854166666666667</v>
      </c>
      <c r="AC76" s="222">
        <v>0.35347222222222224</v>
      </c>
      <c r="AD76" s="224">
        <v>0.3715277777777778</v>
      </c>
      <c r="AE76" s="231">
        <v>0.3625</v>
      </c>
      <c r="AF76" s="220"/>
      <c r="AG76" s="223" t="s">
        <v>401</v>
      </c>
      <c r="AH76" s="222">
        <v>0.3284722222222222</v>
      </c>
    </row>
    <row r="77">
      <c r="A77" s="32"/>
      <c r="B77" s="149">
        <v>74.0</v>
      </c>
      <c r="C77" s="207" t="s">
        <v>114</v>
      </c>
      <c r="D77" s="22">
        <f t="shared" si="2"/>
        <v>9.075</v>
      </c>
      <c r="E77" s="116">
        <v>0.36527777777777776</v>
      </c>
      <c r="F77" s="116">
        <v>0.3541666666666667</v>
      </c>
      <c r="G77" s="116">
        <v>0.45625</v>
      </c>
      <c r="H77" s="116">
        <v>0.36527777777777776</v>
      </c>
      <c r="I77" s="116"/>
      <c r="J77" s="220"/>
      <c r="K77" s="230">
        <v>0.3763888888888889</v>
      </c>
      <c r="L77" s="116">
        <v>0.3506944444444444</v>
      </c>
      <c r="M77" s="116">
        <v>0.3715277777777778</v>
      </c>
      <c r="N77" s="222">
        <v>0.36527777777777776</v>
      </c>
      <c r="O77" s="222">
        <v>0.4131944444444444</v>
      </c>
      <c r="P77" s="222"/>
      <c r="Q77" s="220"/>
      <c r="R77" s="231">
        <v>0.38958333333333334</v>
      </c>
      <c r="S77" s="222">
        <v>0.33541666666666664</v>
      </c>
      <c r="T77" s="224">
        <v>0.34791666666666665</v>
      </c>
      <c r="U77" s="222">
        <v>0.37569444444444444</v>
      </c>
      <c r="V77" s="224">
        <v>0.45069444444444445</v>
      </c>
      <c r="W77" s="222"/>
      <c r="X77" s="220"/>
      <c r="Y77" s="231">
        <v>0.3840277777777778</v>
      </c>
      <c r="Z77" s="224">
        <v>0.3458333333333333</v>
      </c>
      <c r="AA77" s="222">
        <v>0.3701388888888889</v>
      </c>
      <c r="AB77" s="222">
        <v>0.3458333333333333</v>
      </c>
      <c r="AC77" s="222">
        <v>0.3659722222222222</v>
      </c>
      <c r="AD77" s="222">
        <v>0.4756944444444444</v>
      </c>
      <c r="AE77" s="231">
        <v>0.37777777777777777</v>
      </c>
      <c r="AF77" s="231">
        <v>0.3645833333333333</v>
      </c>
      <c r="AG77" s="222">
        <v>0.36527777777777776</v>
      </c>
      <c r="AH77" s="222">
        <v>0.3625</v>
      </c>
    </row>
    <row r="78">
      <c r="A78" s="32"/>
      <c r="B78" s="228">
        <v>75.0</v>
      </c>
      <c r="C78" s="207" t="s">
        <v>129</v>
      </c>
      <c r="D78" s="22">
        <f t="shared" si="2"/>
        <v>5.825694444</v>
      </c>
      <c r="E78" s="114" t="s">
        <v>272</v>
      </c>
      <c r="F78" s="114" t="s">
        <v>272</v>
      </c>
      <c r="G78" s="114" t="s">
        <v>272</v>
      </c>
      <c r="H78" s="114" t="s">
        <v>272</v>
      </c>
      <c r="I78" s="114" t="s">
        <v>272</v>
      </c>
      <c r="J78" s="220"/>
      <c r="K78" s="221"/>
      <c r="L78" s="114" t="s">
        <v>271</v>
      </c>
      <c r="M78" s="114" t="s">
        <v>271</v>
      </c>
      <c r="N78" s="223" t="s">
        <v>271</v>
      </c>
      <c r="O78" s="222">
        <v>0.34652777777777777</v>
      </c>
      <c r="P78" s="222">
        <v>0.3368055555555556</v>
      </c>
      <c r="Q78" s="231">
        <v>0.33541666666666664</v>
      </c>
      <c r="R78" s="231">
        <v>0.3458333333333333</v>
      </c>
      <c r="S78" s="223" t="s">
        <v>284</v>
      </c>
      <c r="T78" s="224">
        <v>0.3486111111111111</v>
      </c>
      <c r="U78" s="222">
        <v>0.33541666666666664</v>
      </c>
      <c r="V78" s="224">
        <v>0.3263888888888889</v>
      </c>
      <c r="W78" s="222">
        <v>0.3458333333333333</v>
      </c>
      <c r="X78" s="231">
        <v>0.34305555555555556</v>
      </c>
      <c r="Y78" s="220"/>
      <c r="Z78" s="222">
        <v>0.34930555555555554</v>
      </c>
      <c r="AA78" s="222">
        <v>0.34305555555555556</v>
      </c>
      <c r="AB78" s="222">
        <v>0.3472222222222222</v>
      </c>
      <c r="AC78" s="222">
        <v>0.3423611111111111</v>
      </c>
      <c r="AD78" s="222">
        <v>0.3347222222222222</v>
      </c>
      <c r="AE78" s="231">
        <v>0.3423611111111111</v>
      </c>
      <c r="AF78" s="231">
        <v>0.3506944444444444</v>
      </c>
      <c r="AG78" s="223" t="s">
        <v>284</v>
      </c>
      <c r="AH78" s="222">
        <v>0.35208333333333336</v>
      </c>
    </row>
    <row r="79">
      <c r="A79" s="32"/>
      <c r="B79" s="228">
        <v>76.0</v>
      </c>
      <c r="C79" s="206" t="s">
        <v>126</v>
      </c>
      <c r="D79" s="22">
        <f t="shared" si="2"/>
        <v>12.16736111</v>
      </c>
      <c r="E79" s="116">
        <v>0.6743055555555556</v>
      </c>
      <c r="F79" s="116">
        <v>0.42291666666666666</v>
      </c>
      <c r="G79" s="116"/>
      <c r="H79" s="116">
        <v>0.6215277777777778</v>
      </c>
      <c r="I79" s="116">
        <v>0.44166666666666665</v>
      </c>
      <c r="J79" s="231">
        <v>0.4131944444444444</v>
      </c>
      <c r="K79" s="231">
        <v>0.46805555555555556</v>
      </c>
      <c r="L79" s="116">
        <v>0.6048611111111111</v>
      </c>
      <c r="M79" s="116">
        <v>0.6743055555555556</v>
      </c>
      <c r="N79" s="224">
        <v>0.44513888888888886</v>
      </c>
      <c r="O79" s="222"/>
      <c r="P79" s="223" t="s">
        <v>271</v>
      </c>
      <c r="Q79" s="229" t="s">
        <v>271</v>
      </c>
      <c r="R79" s="230">
        <v>0.4152777777777778</v>
      </c>
      <c r="S79" s="222">
        <v>0.6840277777777778</v>
      </c>
      <c r="T79" s="224">
        <v>0.4388888888888889</v>
      </c>
      <c r="U79" s="222">
        <v>0.4465277777777778</v>
      </c>
      <c r="V79" s="224">
        <v>0.41805555555555557</v>
      </c>
      <c r="W79" s="222">
        <v>0.48680555555555555</v>
      </c>
      <c r="X79" s="231">
        <v>0.3736111111111111</v>
      </c>
      <c r="Y79" s="231">
        <v>0.39166666666666666</v>
      </c>
      <c r="Z79" s="222">
        <v>0.54375</v>
      </c>
      <c r="AA79" s="222"/>
      <c r="AB79" s="222">
        <v>0.41180555555555554</v>
      </c>
      <c r="AC79" s="222">
        <v>0.39305555555555555</v>
      </c>
      <c r="AD79" s="222">
        <v>0.58125</v>
      </c>
      <c r="AE79" s="231">
        <v>0.34930555555555554</v>
      </c>
      <c r="AF79" s="231">
        <v>0.44305555555555554</v>
      </c>
      <c r="AG79" s="222">
        <v>0.3451388888888889</v>
      </c>
      <c r="AH79" s="222">
        <v>0.6791666666666667</v>
      </c>
    </row>
    <row r="80">
      <c r="A80" s="32"/>
      <c r="B80" s="149">
        <v>77.0</v>
      </c>
      <c r="C80" s="206" t="s">
        <v>287</v>
      </c>
      <c r="D80" s="22">
        <f t="shared" si="2"/>
        <v>10.18333333</v>
      </c>
      <c r="E80" s="116">
        <v>0.40902777777777777</v>
      </c>
      <c r="F80" s="116">
        <v>0.3402777777777778</v>
      </c>
      <c r="G80" s="116">
        <v>0.3875</v>
      </c>
      <c r="H80" s="114" t="s">
        <v>284</v>
      </c>
      <c r="I80" s="116">
        <v>0.34791666666666665</v>
      </c>
      <c r="J80" s="231">
        <v>0.35347222222222224</v>
      </c>
      <c r="K80" s="230">
        <v>0.3541666666666667</v>
      </c>
      <c r="L80" s="116">
        <v>0.3638888888888889</v>
      </c>
      <c r="M80" s="116">
        <v>0.3368055555555556</v>
      </c>
      <c r="N80" s="223" t="s">
        <v>284</v>
      </c>
      <c r="O80" s="222">
        <v>0.3597222222222222</v>
      </c>
      <c r="P80" s="222">
        <v>0.3659722222222222</v>
      </c>
      <c r="Q80" s="231">
        <v>0.3798611111111111</v>
      </c>
      <c r="R80" s="230">
        <v>0.35555555555555557</v>
      </c>
      <c r="S80" s="222">
        <v>0.38472222222222224</v>
      </c>
      <c r="T80" s="222">
        <v>0.3486111111111111</v>
      </c>
      <c r="U80" s="222">
        <v>0.34791666666666665</v>
      </c>
      <c r="V80" s="222">
        <v>0.34791666666666665</v>
      </c>
      <c r="W80" s="222">
        <v>0.35694444444444445</v>
      </c>
      <c r="X80" s="231">
        <v>0.36666666666666664</v>
      </c>
      <c r="Y80" s="231">
        <v>0.34097222222222223</v>
      </c>
      <c r="Z80" s="222">
        <v>0.38055555555555554</v>
      </c>
      <c r="AA80" s="224">
        <v>0.37569444444444444</v>
      </c>
      <c r="AB80" s="222">
        <v>0.45416666666666666</v>
      </c>
      <c r="AC80" s="224">
        <v>0.3680555555555556</v>
      </c>
      <c r="AD80" s="225">
        <v>0.34375</v>
      </c>
      <c r="AE80" s="231">
        <v>0.34375</v>
      </c>
      <c r="AF80" s="231">
        <v>0.3486111111111111</v>
      </c>
      <c r="AG80" s="222">
        <v>0.3527777777777778</v>
      </c>
      <c r="AH80" s="222">
        <v>0.3680555555555556</v>
      </c>
    </row>
    <row r="81">
      <c r="A81" s="32"/>
      <c r="B81" s="228">
        <v>78.0</v>
      </c>
      <c r="C81" s="208" t="s">
        <v>162</v>
      </c>
      <c r="D81" s="22">
        <f t="shared" si="2"/>
        <v>11.20208333</v>
      </c>
      <c r="E81" s="117">
        <v>0.5763888888888888</v>
      </c>
      <c r="F81" s="116">
        <v>0.32083333333333336</v>
      </c>
      <c r="G81" s="114"/>
      <c r="H81" s="116">
        <v>0.4444444444444444</v>
      </c>
      <c r="I81" s="116">
        <v>0.37430555555555556</v>
      </c>
      <c r="J81" s="220"/>
      <c r="K81" s="221"/>
      <c r="L81" s="117">
        <v>0.47708333333333336</v>
      </c>
      <c r="M81" s="117">
        <v>0.49722222222222223</v>
      </c>
      <c r="N81" s="224">
        <v>0.5722222222222222</v>
      </c>
      <c r="O81" s="224">
        <v>0.49444444444444446</v>
      </c>
      <c r="P81" s="224">
        <v>0.5076388888888889</v>
      </c>
      <c r="Q81" s="231">
        <v>0.3229166666666667</v>
      </c>
      <c r="R81" s="221"/>
      <c r="S81" s="222">
        <v>0.45555555555555555</v>
      </c>
      <c r="T81" s="224">
        <v>0.47638888888888886</v>
      </c>
      <c r="U81" s="224">
        <v>0.47430555555555554</v>
      </c>
      <c r="V81" s="224">
        <v>0.4798611111111111</v>
      </c>
      <c r="W81" s="224">
        <v>0.5875</v>
      </c>
      <c r="X81" s="231">
        <v>0.3597222222222222</v>
      </c>
      <c r="Y81" s="220"/>
      <c r="Z81" s="222">
        <v>0.43680555555555556</v>
      </c>
      <c r="AA81" s="224">
        <v>0.5180555555555556</v>
      </c>
      <c r="AB81" s="224">
        <v>0.49236111111111114</v>
      </c>
      <c r="AC81" s="224">
        <v>0.46944444444444444</v>
      </c>
      <c r="AD81" s="224">
        <v>0.48819444444444443</v>
      </c>
      <c r="AE81" s="231">
        <v>0.34652777777777777</v>
      </c>
      <c r="AF81" s="220"/>
      <c r="AG81" s="224">
        <v>0.46597222222222223</v>
      </c>
      <c r="AH81" s="224">
        <v>0.5638888888888889</v>
      </c>
    </row>
    <row r="82">
      <c r="A82" s="32"/>
      <c r="B82" s="228">
        <v>79.0</v>
      </c>
      <c r="C82" s="206" t="s">
        <v>117</v>
      </c>
      <c r="D82" s="22">
        <f t="shared" si="2"/>
        <v>10.06736111</v>
      </c>
      <c r="E82" s="116">
        <v>0.44513888888888886</v>
      </c>
      <c r="F82" s="160">
        <v>0.4354166666666667</v>
      </c>
      <c r="G82" s="117">
        <v>0.4270833333333333</v>
      </c>
      <c r="H82" s="117">
        <v>0.40347222222222223</v>
      </c>
      <c r="I82" s="117">
        <v>0.4173611111111111</v>
      </c>
      <c r="J82" s="220"/>
      <c r="K82" s="221"/>
      <c r="L82" s="116">
        <v>0.44305555555555554</v>
      </c>
      <c r="M82" s="117">
        <v>0.40625</v>
      </c>
      <c r="N82" s="222">
        <v>0.35833333333333334</v>
      </c>
      <c r="O82" s="222">
        <v>0.3715277777777778</v>
      </c>
      <c r="P82" s="222">
        <v>0.3159722222222222</v>
      </c>
      <c r="Q82" s="232"/>
      <c r="R82" s="231">
        <v>0.3541666666666667</v>
      </c>
      <c r="S82" s="222">
        <v>0.39791666666666664</v>
      </c>
      <c r="T82" s="224">
        <v>0.3923611111111111</v>
      </c>
      <c r="U82" s="224">
        <v>0.44513888888888886</v>
      </c>
      <c r="V82" s="224">
        <v>0.39652777777777776</v>
      </c>
      <c r="W82" s="224">
        <v>0.4305555555555556</v>
      </c>
      <c r="X82" s="220"/>
      <c r="Y82" s="220"/>
      <c r="Z82" s="222">
        <v>0.4263888888888889</v>
      </c>
      <c r="AA82" s="222">
        <v>0.4375</v>
      </c>
      <c r="AB82" s="224">
        <v>0.40555555555555556</v>
      </c>
      <c r="AC82" s="224">
        <v>0.4270833333333333</v>
      </c>
      <c r="AD82" s="224">
        <v>0.4270833333333333</v>
      </c>
      <c r="AE82" s="231">
        <v>0.3611111111111111</v>
      </c>
      <c r="AF82" s="231">
        <v>0.37569444444444444</v>
      </c>
      <c r="AG82" s="222">
        <v>0.40208333333333335</v>
      </c>
      <c r="AH82" s="222">
        <v>0.3645833333333333</v>
      </c>
    </row>
    <row r="83">
      <c r="A83" s="32"/>
      <c r="B83" s="149">
        <v>80.0</v>
      </c>
      <c r="C83" s="206" t="s">
        <v>237</v>
      </c>
      <c r="D83" s="22">
        <f t="shared" si="2"/>
        <v>8.844444444</v>
      </c>
      <c r="E83" s="116">
        <v>0.34791666666666665</v>
      </c>
      <c r="F83" s="114" t="s">
        <v>284</v>
      </c>
      <c r="G83" s="117">
        <v>0.3541666666666667</v>
      </c>
      <c r="H83" s="116">
        <v>0.33402777777777776</v>
      </c>
      <c r="I83" s="117">
        <v>0.36180555555555555</v>
      </c>
      <c r="J83" s="231">
        <v>0.3576388888888889</v>
      </c>
      <c r="K83" s="230">
        <v>0.3333333333333333</v>
      </c>
      <c r="L83" s="116">
        <v>0.33958333333333335</v>
      </c>
      <c r="M83" s="114" t="s">
        <v>284</v>
      </c>
      <c r="N83" s="224">
        <v>0.3576388888888889</v>
      </c>
      <c r="O83" s="222">
        <v>0.33541666666666664</v>
      </c>
      <c r="P83" s="222">
        <v>0.34444444444444444</v>
      </c>
      <c r="Q83" s="231">
        <v>0.3347222222222222</v>
      </c>
      <c r="R83" s="230">
        <v>0.3368055555555556</v>
      </c>
      <c r="S83" s="222">
        <v>0.3326388888888889</v>
      </c>
      <c r="T83" s="222">
        <v>0.3326388888888889</v>
      </c>
      <c r="U83" s="224">
        <v>0.33402777777777776</v>
      </c>
      <c r="V83" s="224">
        <v>0.34444444444444444</v>
      </c>
      <c r="W83" s="222">
        <v>0.33541666666666664</v>
      </c>
      <c r="X83" s="231">
        <v>0.3541666666666667</v>
      </c>
      <c r="Y83" s="231">
        <v>0.34444444444444444</v>
      </c>
      <c r="Z83" s="222">
        <v>0.3347222222222222</v>
      </c>
      <c r="AA83" s="222">
        <v>0.33194444444444443</v>
      </c>
      <c r="AB83" s="223" t="s">
        <v>284</v>
      </c>
      <c r="AC83" s="222">
        <v>0.3326388888888889</v>
      </c>
      <c r="AD83" s="222">
        <v>0.3263888888888889</v>
      </c>
      <c r="AE83" s="231">
        <v>0.33194444444444443</v>
      </c>
      <c r="AF83" s="231">
        <v>0.33541666666666664</v>
      </c>
      <c r="AG83" s="222">
        <v>0.33611111111111114</v>
      </c>
      <c r="AH83" s="223" t="s">
        <v>284</v>
      </c>
    </row>
    <row r="84">
      <c r="A84" s="15"/>
      <c r="B84" s="228">
        <v>81.0</v>
      </c>
      <c r="C84" s="206" t="s">
        <v>288</v>
      </c>
      <c r="D84" s="22">
        <f t="shared" si="2"/>
        <v>18.33402778</v>
      </c>
      <c r="E84" s="117">
        <v>0.6763888888888889</v>
      </c>
      <c r="F84" s="117">
        <v>0.6604166666666667</v>
      </c>
      <c r="G84" s="117">
        <v>0.6270833333333333</v>
      </c>
      <c r="H84" s="117">
        <v>0.6597222222222222</v>
      </c>
      <c r="I84" s="114" t="s">
        <v>284</v>
      </c>
      <c r="J84" s="231">
        <v>0.625</v>
      </c>
      <c r="K84" s="230">
        <v>0.6354166666666666</v>
      </c>
      <c r="L84" s="117">
        <v>0.6625</v>
      </c>
      <c r="M84" s="117">
        <v>0.6576388888888889</v>
      </c>
      <c r="N84" s="224">
        <v>0.6548611111111111</v>
      </c>
      <c r="O84" s="224">
        <v>0.6638888888888889</v>
      </c>
      <c r="P84" s="223" t="s">
        <v>284</v>
      </c>
      <c r="Q84" s="231">
        <v>0.6458333333333334</v>
      </c>
      <c r="R84" s="230">
        <v>0.6527777777777778</v>
      </c>
      <c r="S84" s="224">
        <v>0.6631944444444444</v>
      </c>
      <c r="T84" s="224">
        <v>0.6638888888888889</v>
      </c>
      <c r="U84" s="224">
        <v>0.6618055555555555</v>
      </c>
      <c r="V84" s="224">
        <v>0.6611111111111111</v>
      </c>
      <c r="W84" s="225">
        <v>0.6458333333333334</v>
      </c>
      <c r="X84" s="231">
        <v>0.6486111111111111</v>
      </c>
      <c r="Y84" s="231">
        <v>0.6611111111111111</v>
      </c>
      <c r="Z84" s="224">
        <v>0.6590277777777778</v>
      </c>
      <c r="AA84" s="224">
        <v>0.65625</v>
      </c>
      <c r="AB84" s="224">
        <v>0.6513888888888889</v>
      </c>
      <c r="AC84" s="224">
        <v>0.6708333333333333</v>
      </c>
      <c r="AD84" s="225">
        <v>0.6458333333333334</v>
      </c>
      <c r="AE84" s="231">
        <v>0.6472222222222223</v>
      </c>
      <c r="AF84" s="231">
        <v>0.6513888888888889</v>
      </c>
      <c r="AG84" s="224">
        <v>0.6652777777777777</v>
      </c>
      <c r="AH84" s="224">
        <v>0.6597222222222222</v>
      </c>
    </row>
    <row r="85">
      <c r="N85" s="233"/>
      <c r="P85" s="65"/>
      <c r="AH85" s="65"/>
    </row>
    <row r="86">
      <c r="J86" s="234"/>
      <c r="N86" s="233"/>
      <c r="P86" s="65"/>
      <c r="AH86" s="65"/>
    </row>
    <row r="87">
      <c r="N87" s="233"/>
      <c r="P87" s="65"/>
      <c r="AH87" s="65"/>
    </row>
    <row r="88">
      <c r="N88" s="233"/>
      <c r="P88" s="65"/>
      <c r="AH88" s="65"/>
    </row>
    <row r="89">
      <c r="N89" s="233"/>
      <c r="P89" s="65"/>
      <c r="AH89" s="65"/>
    </row>
    <row r="90">
      <c r="N90" s="233"/>
      <c r="P90" s="65"/>
      <c r="AH90" s="65"/>
    </row>
    <row r="91">
      <c r="N91" s="233"/>
      <c r="P91" s="65"/>
      <c r="AH91" s="65"/>
    </row>
    <row r="92">
      <c r="N92" s="233"/>
      <c r="P92" s="65"/>
      <c r="AH92" s="65"/>
    </row>
    <row r="93">
      <c r="N93" s="233"/>
      <c r="P93" s="65"/>
      <c r="AH93" s="65"/>
    </row>
    <row r="94">
      <c r="N94" s="233"/>
      <c r="P94" s="65"/>
      <c r="AH94" s="65"/>
    </row>
    <row r="95">
      <c r="N95" s="233"/>
      <c r="P95" s="65"/>
      <c r="AH95" s="65"/>
    </row>
    <row r="96">
      <c r="N96" s="233"/>
      <c r="P96" s="65"/>
      <c r="AH96" s="65"/>
    </row>
    <row r="97">
      <c r="N97" s="233"/>
      <c r="P97" s="65"/>
      <c r="AH97" s="65"/>
    </row>
    <row r="98">
      <c r="N98" s="233"/>
      <c r="P98" s="65"/>
      <c r="AH98" s="65"/>
    </row>
    <row r="99">
      <c r="N99" s="233"/>
      <c r="P99" s="65"/>
      <c r="AH99" s="65"/>
    </row>
    <row r="100">
      <c r="N100" s="233"/>
      <c r="P100" s="65"/>
      <c r="AH100" s="65"/>
    </row>
    <row r="101">
      <c r="N101" s="233"/>
      <c r="P101" s="65"/>
      <c r="AH101" s="65"/>
    </row>
    <row r="102">
      <c r="N102" s="233"/>
      <c r="P102" s="65"/>
      <c r="AH102" s="65"/>
    </row>
    <row r="103">
      <c r="N103" s="233"/>
      <c r="P103" s="65"/>
      <c r="AH103" s="65"/>
    </row>
    <row r="104">
      <c r="N104" s="233"/>
      <c r="P104" s="65"/>
      <c r="AH104" s="65"/>
    </row>
    <row r="105">
      <c r="N105" s="233"/>
      <c r="P105" s="65"/>
      <c r="AH105" s="65"/>
    </row>
    <row r="106">
      <c r="N106" s="233"/>
      <c r="P106" s="65"/>
      <c r="AH106" s="65"/>
    </row>
    <row r="107">
      <c r="N107" s="233"/>
      <c r="P107" s="65"/>
      <c r="AH107" s="65"/>
    </row>
    <row r="108">
      <c r="N108" s="233"/>
      <c r="P108" s="65"/>
      <c r="AH108" s="65"/>
    </row>
    <row r="109">
      <c r="N109" s="233"/>
      <c r="P109" s="65"/>
      <c r="AH109" s="65"/>
    </row>
    <row r="110">
      <c r="N110" s="233"/>
      <c r="P110" s="65"/>
      <c r="AH110" s="65"/>
    </row>
    <row r="111">
      <c r="N111" s="233"/>
      <c r="P111" s="65"/>
      <c r="AH111" s="65"/>
    </row>
    <row r="112">
      <c r="N112" s="233"/>
      <c r="P112" s="65"/>
      <c r="AH112" s="65"/>
    </row>
    <row r="113">
      <c r="N113" s="233"/>
      <c r="P113" s="65"/>
      <c r="AH113" s="65"/>
    </row>
    <row r="114">
      <c r="N114" s="233"/>
      <c r="P114" s="65"/>
      <c r="AH114" s="65"/>
    </row>
    <row r="115">
      <c r="N115" s="233"/>
      <c r="P115" s="65"/>
      <c r="AH115" s="65"/>
    </row>
    <row r="116">
      <c r="N116" s="233"/>
      <c r="P116" s="65"/>
      <c r="AH116" s="65"/>
    </row>
    <row r="117">
      <c r="N117" s="233"/>
      <c r="P117" s="65"/>
      <c r="AH117" s="65"/>
    </row>
    <row r="118">
      <c r="N118" s="233"/>
      <c r="P118" s="65"/>
      <c r="AH118" s="65"/>
    </row>
    <row r="119">
      <c r="N119" s="233"/>
      <c r="P119" s="65"/>
      <c r="AH119" s="65"/>
    </row>
    <row r="120">
      <c r="N120" s="233"/>
      <c r="P120" s="65"/>
      <c r="AH120" s="65"/>
    </row>
    <row r="121">
      <c r="N121" s="233"/>
      <c r="P121" s="65"/>
      <c r="AH121" s="65"/>
    </row>
    <row r="122">
      <c r="N122" s="233"/>
      <c r="P122" s="65"/>
      <c r="AH122" s="65"/>
    </row>
    <row r="123">
      <c r="N123" s="233"/>
      <c r="P123" s="65"/>
      <c r="AH123" s="65"/>
    </row>
    <row r="124">
      <c r="N124" s="233"/>
      <c r="P124" s="65"/>
      <c r="AH124" s="65"/>
    </row>
    <row r="125">
      <c r="N125" s="233"/>
      <c r="P125" s="65"/>
      <c r="AH125" s="65"/>
    </row>
    <row r="126">
      <c r="N126" s="233"/>
      <c r="P126" s="65"/>
      <c r="AH126" s="65"/>
    </row>
    <row r="127">
      <c r="N127" s="233"/>
      <c r="P127" s="65"/>
      <c r="AH127" s="65"/>
    </row>
    <row r="128">
      <c r="N128" s="233"/>
      <c r="P128" s="65"/>
      <c r="AH128" s="65"/>
    </row>
    <row r="129">
      <c r="N129" s="233"/>
      <c r="P129" s="65"/>
      <c r="AH129" s="65"/>
    </row>
    <row r="130">
      <c r="N130" s="233"/>
      <c r="P130" s="65"/>
      <c r="AH130" s="65"/>
    </row>
    <row r="131">
      <c r="N131" s="233"/>
      <c r="P131" s="65"/>
      <c r="AH131" s="65"/>
    </row>
    <row r="132">
      <c r="N132" s="233"/>
      <c r="P132" s="65"/>
      <c r="AH132" s="65"/>
    </row>
    <row r="133">
      <c r="N133" s="233"/>
      <c r="P133" s="65"/>
      <c r="AH133" s="65"/>
    </row>
    <row r="134">
      <c r="N134" s="233"/>
      <c r="P134" s="65"/>
      <c r="AH134" s="65"/>
    </row>
    <row r="135">
      <c r="N135" s="233"/>
      <c r="P135" s="65"/>
      <c r="AH135" s="65"/>
    </row>
    <row r="136">
      <c r="N136" s="233"/>
      <c r="P136" s="65"/>
      <c r="AH136" s="65"/>
    </row>
    <row r="137">
      <c r="N137" s="233"/>
      <c r="P137" s="65"/>
      <c r="AH137" s="65"/>
    </row>
    <row r="138">
      <c r="N138" s="233"/>
      <c r="P138" s="65"/>
      <c r="AH138" s="65"/>
    </row>
    <row r="139">
      <c r="N139" s="233"/>
      <c r="P139" s="65"/>
      <c r="AH139" s="65"/>
    </row>
    <row r="140">
      <c r="N140" s="233"/>
      <c r="P140" s="65"/>
      <c r="AH140" s="65"/>
    </row>
    <row r="141">
      <c r="N141" s="233"/>
      <c r="P141" s="65"/>
      <c r="AH141" s="65"/>
    </row>
    <row r="142">
      <c r="N142" s="233"/>
      <c r="P142" s="65"/>
      <c r="AH142" s="65"/>
    </row>
    <row r="143">
      <c r="N143" s="233"/>
      <c r="P143" s="65"/>
      <c r="AH143" s="65"/>
    </row>
    <row r="144">
      <c r="N144" s="233"/>
      <c r="P144" s="65"/>
      <c r="AH144" s="65"/>
    </row>
    <row r="145">
      <c r="N145" s="233"/>
      <c r="P145" s="65"/>
      <c r="AH145" s="65"/>
    </row>
    <row r="146">
      <c r="N146" s="233"/>
      <c r="P146" s="65"/>
      <c r="AH146" s="65"/>
    </row>
    <row r="147">
      <c r="N147" s="233"/>
      <c r="P147" s="65"/>
      <c r="AH147" s="65"/>
    </row>
    <row r="148">
      <c r="N148" s="233"/>
      <c r="P148" s="65"/>
      <c r="AH148" s="65"/>
    </row>
    <row r="149">
      <c r="N149" s="233"/>
      <c r="P149" s="65"/>
      <c r="AH149" s="65"/>
    </row>
    <row r="150">
      <c r="N150" s="233"/>
      <c r="P150" s="65"/>
      <c r="AH150" s="65"/>
    </row>
    <row r="151">
      <c r="N151" s="233"/>
      <c r="P151" s="65"/>
      <c r="AH151" s="65"/>
    </row>
    <row r="152">
      <c r="N152" s="233"/>
      <c r="P152" s="65"/>
      <c r="AH152" s="65"/>
    </row>
    <row r="153">
      <c r="N153" s="233"/>
      <c r="P153" s="65"/>
      <c r="AH153" s="65"/>
    </row>
    <row r="154">
      <c r="N154" s="233"/>
      <c r="P154" s="65"/>
      <c r="AH154" s="65"/>
    </row>
    <row r="155">
      <c r="N155" s="233"/>
      <c r="P155" s="65"/>
      <c r="AH155" s="65"/>
    </row>
    <row r="156">
      <c r="N156" s="233"/>
      <c r="P156" s="65"/>
      <c r="AH156" s="65"/>
    </row>
    <row r="157">
      <c r="N157" s="233"/>
      <c r="P157" s="65"/>
      <c r="AH157" s="65"/>
    </row>
    <row r="158">
      <c r="N158" s="233"/>
      <c r="P158" s="65"/>
      <c r="AH158" s="65"/>
    </row>
    <row r="159">
      <c r="N159" s="233"/>
      <c r="P159" s="65"/>
      <c r="AH159" s="65"/>
    </row>
    <row r="160">
      <c r="N160" s="233"/>
      <c r="P160" s="65"/>
      <c r="AH160" s="65"/>
    </row>
    <row r="161">
      <c r="N161" s="233"/>
      <c r="P161" s="65"/>
      <c r="AH161" s="65"/>
    </row>
    <row r="162">
      <c r="N162" s="233"/>
      <c r="P162" s="65"/>
      <c r="AH162" s="65"/>
    </row>
    <row r="163">
      <c r="N163" s="233"/>
      <c r="P163" s="65"/>
      <c r="AH163" s="65"/>
    </row>
    <row r="164">
      <c r="N164" s="233"/>
      <c r="P164" s="65"/>
      <c r="AH164" s="65"/>
    </row>
    <row r="165">
      <c r="N165" s="233"/>
      <c r="P165" s="65"/>
      <c r="AH165" s="65"/>
    </row>
    <row r="166">
      <c r="N166" s="233"/>
      <c r="P166" s="65"/>
      <c r="AH166" s="65"/>
    </row>
    <row r="167">
      <c r="N167" s="233"/>
      <c r="P167" s="65"/>
      <c r="AH167" s="65"/>
    </row>
    <row r="168">
      <c r="N168" s="233"/>
      <c r="P168" s="65"/>
      <c r="AH168" s="65"/>
    </row>
    <row r="169">
      <c r="N169" s="233"/>
      <c r="P169" s="65"/>
      <c r="AH169" s="65"/>
    </row>
    <row r="170">
      <c r="N170" s="233"/>
      <c r="P170" s="65"/>
      <c r="AH170" s="65"/>
    </row>
    <row r="171">
      <c r="N171" s="233"/>
      <c r="P171" s="65"/>
      <c r="AH171" s="65"/>
    </row>
    <row r="172">
      <c r="N172" s="233"/>
      <c r="P172" s="65"/>
      <c r="AH172" s="65"/>
    </row>
    <row r="173">
      <c r="N173" s="233"/>
      <c r="P173" s="65"/>
      <c r="AH173" s="65"/>
    </row>
    <row r="174">
      <c r="N174" s="233"/>
      <c r="P174" s="65"/>
      <c r="AH174" s="65"/>
    </row>
    <row r="175">
      <c r="N175" s="233"/>
      <c r="P175" s="65"/>
      <c r="AH175" s="65"/>
    </row>
    <row r="176">
      <c r="N176" s="233"/>
      <c r="P176" s="65"/>
      <c r="AH176" s="65"/>
    </row>
    <row r="177">
      <c r="N177" s="233"/>
      <c r="P177" s="65"/>
      <c r="AH177" s="65"/>
    </row>
    <row r="178">
      <c r="N178" s="233"/>
      <c r="P178" s="65"/>
      <c r="AH178" s="65"/>
    </row>
    <row r="179">
      <c r="N179" s="233"/>
      <c r="P179" s="65"/>
      <c r="AH179" s="65"/>
    </row>
    <row r="180">
      <c r="N180" s="233"/>
      <c r="P180" s="65"/>
      <c r="AH180" s="65"/>
    </row>
    <row r="181">
      <c r="N181" s="233"/>
      <c r="P181" s="65"/>
      <c r="AH181" s="65"/>
    </row>
    <row r="182">
      <c r="N182" s="233"/>
      <c r="P182" s="65"/>
      <c r="AH182" s="65"/>
    </row>
    <row r="183">
      <c r="N183" s="233"/>
      <c r="P183" s="65"/>
      <c r="AH183" s="65"/>
    </row>
    <row r="184">
      <c r="N184" s="233"/>
      <c r="P184" s="65"/>
      <c r="AH184" s="65"/>
    </row>
    <row r="185">
      <c r="N185" s="233"/>
      <c r="P185" s="65"/>
      <c r="AH185" s="65"/>
    </row>
    <row r="186">
      <c r="N186" s="233"/>
      <c r="P186" s="65"/>
      <c r="AH186" s="65"/>
    </row>
    <row r="187">
      <c r="N187" s="233"/>
      <c r="P187" s="65"/>
      <c r="AH187" s="65"/>
    </row>
    <row r="188">
      <c r="N188" s="233"/>
      <c r="P188" s="65"/>
      <c r="AH188" s="65"/>
    </row>
    <row r="189">
      <c r="N189" s="233"/>
      <c r="P189" s="65"/>
      <c r="AH189" s="65"/>
    </row>
    <row r="190">
      <c r="N190" s="233"/>
      <c r="P190" s="65"/>
      <c r="AH190" s="65"/>
    </row>
    <row r="191">
      <c r="N191" s="233"/>
      <c r="P191" s="65"/>
      <c r="AH191" s="65"/>
    </row>
    <row r="192">
      <c r="N192" s="233"/>
      <c r="P192" s="65"/>
      <c r="AH192" s="65"/>
    </row>
    <row r="193">
      <c r="N193" s="233"/>
      <c r="P193" s="65"/>
      <c r="AH193" s="65"/>
    </row>
    <row r="194">
      <c r="N194" s="233"/>
      <c r="P194" s="65"/>
      <c r="AH194" s="65"/>
    </row>
    <row r="195">
      <c r="N195" s="233"/>
      <c r="P195" s="65"/>
      <c r="AH195" s="65"/>
    </row>
    <row r="196">
      <c r="N196" s="233"/>
      <c r="P196" s="65"/>
      <c r="AH196" s="65"/>
    </row>
    <row r="197">
      <c r="N197" s="233"/>
      <c r="P197" s="65"/>
      <c r="AH197" s="65"/>
    </row>
    <row r="198">
      <c r="N198" s="233"/>
      <c r="P198" s="65"/>
      <c r="AH198" s="65"/>
    </row>
    <row r="199">
      <c r="N199" s="233"/>
      <c r="P199" s="65"/>
      <c r="AH199" s="65"/>
    </row>
    <row r="200">
      <c r="N200" s="233"/>
      <c r="P200" s="65"/>
      <c r="AH200" s="65"/>
    </row>
    <row r="201">
      <c r="N201" s="233"/>
      <c r="P201" s="65"/>
      <c r="AH201" s="65"/>
    </row>
    <row r="202">
      <c r="N202" s="233"/>
      <c r="P202" s="65"/>
      <c r="AH202" s="65"/>
    </row>
    <row r="203">
      <c r="N203" s="233"/>
      <c r="P203" s="65"/>
      <c r="AH203" s="65"/>
    </row>
    <row r="204">
      <c r="N204" s="233"/>
      <c r="P204" s="65"/>
      <c r="AH204" s="65"/>
    </row>
    <row r="205">
      <c r="N205" s="233"/>
      <c r="P205" s="65"/>
      <c r="AH205" s="65"/>
    </row>
    <row r="206">
      <c r="N206" s="233"/>
      <c r="P206" s="65"/>
      <c r="AH206" s="65"/>
    </row>
    <row r="207">
      <c r="N207" s="233"/>
      <c r="P207" s="65"/>
      <c r="AH207" s="65"/>
    </row>
    <row r="208">
      <c r="N208" s="233"/>
      <c r="P208" s="65"/>
      <c r="AH208" s="65"/>
    </row>
    <row r="209">
      <c r="N209" s="233"/>
      <c r="P209" s="65"/>
      <c r="AH209" s="65"/>
    </row>
    <row r="210">
      <c r="N210" s="233"/>
      <c r="P210" s="65"/>
      <c r="AH210" s="65"/>
    </row>
    <row r="211">
      <c r="N211" s="233"/>
      <c r="P211" s="65"/>
      <c r="AH211" s="65"/>
    </row>
    <row r="212">
      <c r="N212" s="233"/>
      <c r="P212" s="65"/>
      <c r="AH212" s="65"/>
    </row>
    <row r="213">
      <c r="N213" s="233"/>
      <c r="P213" s="65"/>
      <c r="AH213" s="65"/>
    </row>
    <row r="214">
      <c r="N214" s="233"/>
      <c r="P214" s="65"/>
      <c r="AH214" s="65"/>
    </row>
    <row r="215">
      <c r="N215" s="233"/>
      <c r="P215" s="65"/>
      <c r="AH215" s="65"/>
    </row>
    <row r="216">
      <c r="N216" s="233"/>
      <c r="P216" s="65"/>
      <c r="AH216" s="65"/>
    </row>
    <row r="217">
      <c r="N217" s="233"/>
      <c r="P217" s="65"/>
      <c r="AH217" s="65"/>
    </row>
    <row r="218">
      <c r="N218" s="233"/>
      <c r="P218" s="65"/>
      <c r="AH218" s="65"/>
    </row>
    <row r="219">
      <c r="N219" s="233"/>
      <c r="P219" s="65"/>
      <c r="AH219" s="65"/>
    </row>
    <row r="220">
      <c r="N220" s="233"/>
      <c r="P220" s="65"/>
      <c r="AH220" s="65"/>
    </row>
    <row r="221">
      <c r="N221" s="233"/>
      <c r="P221" s="65"/>
      <c r="AH221" s="65"/>
    </row>
    <row r="222">
      <c r="N222" s="233"/>
      <c r="P222" s="65"/>
      <c r="AH222" s="65"/>
    </row>
    <row r="223">
      <c r="N223" s="233"/>
      <c r="P223" s="65"/>
      <c r="AH223" s="65"/>
    </row>
    <row r="224">
      <c r="N224" s="233"/>
      <c r="P224" s="65"/>
      <c r="AH224" s="65"/>
    </row>
    <row r="225">
      <c r="N225" s="233"/>
      <c r="P225" s="65"/>
      <c r="AH225" s="65"/>
    </row>
    <row r="226">
      <c r="N226" s="233"/>
      <c r="P226" s="65"/>
      <c r="AH226" s="65"/>
    </row>
    <row r="227">
      <c r="N227" s="233"/>
      <c r="P227" s="65"/>
      <c r="AH227" s="65"/>
    </row>
    <row r="228">
      <c r="N228" s="233"/>
      <c r="P228" s="65"/>
      <c r="AH228" s="65"/>
    </row>
    <row r="229">
      <c r="N229" s="233"/>
      <c r="P229" s="65"/>
      <c r="AH229" s="65"/>
    </row>
    <row r="230">
      <c r="N230" s="233"/>
      <c r="P230" s="65"/>
      <c r="AH230" s="65"/>
    </row>
    <row r="231">
      <c r="N231" s="233"/>
      <c r="P231" s="65"/>
      <c r="AH231" s="65"/>
    </row>
    <row r="232">
      <c r="N232" s="233"/>
      <c r="P232" s="65"/>
      <c r="AH232" s="65"/>
    </row>
    <row r="233">
      <c r="N233" s="233"/>
      <c r="P233" s="65"/>
      <c r="AH233" s="65"/>
    </row>
    <row r="234">
      <c r="N234" s="233"/>
      <c r="P234" s="65"/>
      <c r="AH234" s="65"/>
    </row>
    <row r="235">
      <c r="N235" s="233"/>
      <c r="P235" s="65"/>
      <c r="AH235" s="65"/>
    </row>
    <row r="236">
      <c r="N236" s="233"/>
      <c r="P236" s="65"/>
      <c r="AH236" s="65"/>
    </row>
    <row r="237">
      <c r="N237" s="233"/>
      <c r="P237" s="65"/>
      <c r="AH237" s="65"/>
    </row>
    <row r="238">
      <c r="N238" s="233"/>
      <c r="P238" s="65"/>
      <c r="AH238" s="65"/>
    </row>
    <row r="239">
      <c r="N239" s="233"/>
      <c r="P239" s="65"/>
      <c r="AH239" s="65"/>
    </row>
    <row r="240">
      <c r="N240" s="233"/>
      <c r="P240" s="65"/>
      <c r="AH240" s="65"/>
    </row>
    <row r="241">
      <c r="N241" s="233"/>
      <c r="P241" s="65"/>
      <c r="AH241" s="65"/>
    </row>
    <row r="242">
      <c r="N242" s="233"/>
      <c r="P242" s="65"/>
      <c r="AH242" s="65"/>
    </row>
    <row r="243">
      <c r="N243" s="233"/>
      <c r="P243" s="65"/>
      <c r="AH243" s="65"/>
    </row>
    <row r="244">
      <c r="N244" s="233"/>
      <c r="P244" s="65"/>
      <c r="AH244" s="65"/>
    </row>
    <row r="245">
      <c r="N245" s="233"/>
      <c r="P245" s="65"/>
      <c r="AH245" s="65"/>
    </row>
    <row r="246">
      <c r="N246" s="233"/>
      <c r="P246" s="65"/>
      <c r="AH246" s="65"/>
    </row>
    <row r="247">
      <c r="N247" s="233"/>
      <c r="P247" s="65"/>
      <c r="AH247" s="65"/>
    </row>
    <row r="248">
      <c r="N248" s="233"/>
      <c r="P248" s="65"/>
      <c r="AH248" s="65"/>
    </row>
    <row r="249">
      <c r="N249" s="233"/>
      <c r="P249" s="65"/>
      <c r="AH249" s="65"/>
    </row>
    <row r="250">
      <c r="N250" s="233"/>
      <c r="P250" s="65"/>
      <c r="AH250" s="65"/>
    </row>
    <row r="251">
      <c r="N251" s="233"/>
      <c r="P251" s="65"/>
      <c r="AH251" s="65"/>
    </row>
    <row r="252">
      <c r="N252" s="233"/>
      <c r="P252" s="65"/>
      <c r="AH252" s="65"/>
    </row>
    <row r="253">
      <c r="N253" s="233"/>
      <c r="P253" s="65"/>
      <c r="AH253" s="65"/>
    </row>
    <row r="254">
      <c r="N254" s="233"/>
      <c r="P254" s="65"/>
      <c r="AH254" s="65"/>
    </row>
    <row r="255">
      <c r="N255" s="233"/>
      <c r="P255" s="65"/>
      <c r="AH255" s="65"/>
    </row>
    <row r="256">
      <c r="N256" s="233"/>
      <c r="P256" s="65"/>
      <c r="AH256" s="65"/>
    </row>
    <row r="257">
      <c r="N257" s="233"/>
      <c r="P257" s="65"/>
      <c r="AH257" s="65"/>
    </row>
    <row r="258">
      <c r="N258" s="233"/>
      <c r="P258" s="65"/>
      <c r="AH258" s="65"/>
    </row>
    <row r="259">
      <c r="N259" s="233"/>
      <c r="P259" s="65"/>
      <c r="AH259" s="65"/>
    </row>
    <row r="260">
      <c r="N260" s="233"/>
      <c r="P260" s="65"/>
      <c r="AH260" s="65"/>
    </row>
    <row r="261">
      <c r="N261" s="233"/>
      <c r="P261" s="65"/>
      <c r="AH261" s="65"/>
    </row>
    <row r="262">
      <c r="N262" s="233"/>
      <c r="P262" s="65"/>
      <c r="AH262" s="65"/>
    </row>
    <row r="263">
      <c r="N263" s="233"/>
      <c r="P263" s="65"/>
      <c r="AH263" s="65"/>
    </row>
    <row r="264">
      <c r="N264" s="233"/>
      <c r="P264" s="65"/>
      <c r="AH264" s="65"/>
    </row>
    <row r="265">
      <c r="N265" s="233"/>
      <c r="P265" s="65"/>
      <c r="AH265" s="65"/>
    </row>
    <row r="266">
      <c r="N266" s="233"/>
      <c r="P266" s="65"/>
      <c r="AH266" s="65"/>
    </row>
    <row r="267">
      <c r="N267" s="233"/>
      <c r="P267" s="65"/>
      <c r="AH267" s="65"/>
    </row>
    <row r="268">
      <c r="N268" s="233"/>
      <c r="P268" s="65"/>
      <c r="AH268" s="65"/>
    </row>
    <row r="269">
      <c r="N269" s="233"/>
      <c r="P269" s="65"/>
      <c r="AH269" s="65"/>
    </row>
    <row r="270">
      <c r="N270" s="233"/>
      <c r="P270" s="65"/>
      <c r="AH270" s="65"/>
    </row>
    <row r="271">
      <c r="N271" s="233"/>
      <c r="P271" s="65"/>
      <c r="AH271" s="65"/>
    </row>
    <row r="272">
      <c r="N272" s="233"/>
      <c r="P272" s="65"/>
      <c r="AH272" s="65"/>
    </row>
    <row r="273">
      <c r="N273" s="233"/>
      <c r="P273" s="65"/>
      <c r="AH273" s="65"/>
    </row>
    <row r="274">
      <c r="N274" s="233"/>
      <c r="P274" s="65"/>
      <c r="AH274" s="65"/>
    </row>
    <row r="275">
      <c r="N275" s="233"/>
      <c r="P275" s="65"/>
      <c r="AH275" s="65"/>
    </row>
    <row r="276">
      <c r="N276" s="233"/>
      <c r="P276" s="65"/>
      <c r="AH276" s="65"/>
    </row>
    <row r="277">
      <c r="N277" s="233"/>
      <c r="P277" s="65"/>
      <c r="AH277" s="65"/>
    </row>
    <row r="278">
      <c r="N278" s="233"/>
      <c r="P278" s="65"/>
      <c r="AH278" s="65"/>
    </row>
    <row r="279">
      <c r="N279" s="233"/>
      <c r="P279" s="65"/>
      <c r="AH279" s="65"/>
    </row>
    <row r="280">
      <c r="N280" s="233"/>
      <c r="P280" s="65"/>
      <c r="AH280" s="65"/>
    </row>
    <row r="281">
      <c r="N281" s="233"/>
      <c r="P281" s="65"/>
      <c r="AH281" s="65"/>
    </row>
    <row r="282">
      <c r="N282" s="233"/>
      <c r="P282" s="65"/>
      <c r="AH282" s="65"/>
    </row>
    <row r="283">
      <c r="N283" s="233"/>
      <c r="P283" s="65"/>
      <c r="AH283" s="65"/>
    </row>
    <row r="284">
      <c r="N284" s="233"/>
      <c r="P284" s="65"/>
      <c r="AH284" s="65"/>
    </row>
    <row r="285">
      <c r="N285" s="233"/>
      <c r="P285" s="65"/>
      <c r="AH285" s="65"/>
    </row>
    <row r="286">
      <c r="N286" s="233"/>
      <c r="P286" s="65"/>
      <c r="AH286" s="65"/>
    </row>
    <row r="287">
      <c r="N287" s="233"/>
      <c r="P287" s="65"/>
      <c r="AH287" s="65"/>
    </row>
    <row r="288">
      <c r="N288" s="233"/>
      <c r="P288" s="65"/>
      <c r="AH288" s="65"/>
    </row>
    <row r="289">
      <c r="N289" s="233"/>
      <c r="P289" s="65"/>
      <c r="AH289" s="65"/>
    </row>
    <row r="290">
      <c r="N290" s="233"/>
      <c r="P290" s="65"/>
      <c r="AH290" s="65"/>
    </row>
    <row r="291">
      <c r="N291" s="233"/>
      <c r="P291" s="65"/>
      <c r="AH291" s="65"/>
    </row>
    <row r="292">
      <c r="N292" s="233"/>
      <c r="P292" s="65"/>
      <c r="AH292" s="65"/>
    </row>
    <row r="293">
      <c r="N293" s="233"/>
      <c r="P293" s="65"/>
      <c r="AH293" s="65"/>
    </row>
    <row r="294">
      <c r="N294" s="233"/>
      <c r="P294" s="65"/>
      <c r="AH294" s="65"/>
    </row>
    <row r="295">
      <c r="N295" s="233"/>
      <c r="P295" s="65"/>
      <c r="AH295" s="65"/>
    </row>
    <row r="296">
      <c r="N296" s="233"/>
      <c r="P296" s="65"/>
      <c r="AH296" s="65"/>
    </row>
    <row r="297">
      <c r="N297" s="233"/>
      <c r="P297" s="65"/>
      <c r="AH297" s="65"/>
    </row>
    <row r="298">
      <c r="N298" s="233"/>
      <c r="P298" s="65"/>
      <c r="AH298" s="65"/>
    </row>
    <row r="299">
      <c r="N299" s="233"/>
      <c r="P299" s="65"/>
      <c r="AH299" s="65"/>
    </row>
    <row r="300">
      <c r="N300" s="233"/>
      <c r="P300" s="65"/>
      <c r="AH300" s="65"/>
    </row>
    <row r="301">
      <c r="N301" s="233"/>
      <c r="P301" s="65"/>
      <c r="AH301" s="65"/>
    </row>
    <row r="302">
      <c r="N302" s="233"/>
      <c r="P302" s="65"/>
      <c r="AH302" s="65"/>
    </row>
    <row r="303">
      <c r="N303" s="233"/>
      <c r="P303" s="65"/>
      <c r="AH303" s="65"/>
    </row>
    <row r="304">
      <c r="N304" s="233"/>
      <c r="P304" s="65"/>
      <c r="AH304" s="65"/>
    </row>
    <row r="305">
      <c r="N305" s="233"/>
      <c r="P305" s="65"/>
      <c r="AH305" s="65"/>
    </row>
    <row r="306">
      <c r="N306" s="233"/>
      <c r="P306" s="65"/>
      <c r="AH306" s="65"/>
    </row>
    <row r="307">
      <c r="N307" s="233"/>
      <c r="P307" s="65"/>
      <c r="AH307" s="65"/>
    </row>
    <row r="308">
      <c r="N308" s="233"/>
      <c r="P308" s="65"/>
      <c r="AH308" s="65"/>
    </row>
    <row r="309">
      <c r="N309" s="233"/>
      <c r="P309" s="65"/>
      <c r="AH309" s="65"/>
    </row>
    <row r="310">
      <c r="N310" s="233"/>
      <c r="P310" s="65"/>
      <c r="AH310" s="65"/>
    </row>
    <row r="311">
      <c r="N311" s="233"/>
      <c r="P311" s="65"/>
      <c r="AH311" s="65"/>
    </row>
    <row r="312">
      <c r="N312" s="233"/>
      <c r="P312" s="65"/>
      <c r="AH312" s="65"/>
    </row>
    <row r="313">
      <c r="N313" s="233"/>
      <c r="P313" s="65"/>
      <c r="AH313" s="65"/>
    </row>
    <row r="314">
      <c r="N314" s="233"/>
      <c r="P314" s="65"/>
      <c r="AH314" s="65"/>
    </row>
    <row r="315">
      <c r="N315" s="233"/>
      <c r="P315" s="65"/>
      <c r="AH315" s="65"/>
    </row>
    <row r="316">
      <c r="N316" s="233"/>
      <c r="P316" s="65"/>
      <c r="AH316" s="65"/>
    </row>
    <row r="317">
      <c r="N317" s="233"/>
      <c r="P317" s="65"/>
      <c r="AH317" s="65"/>
    </row>
    <row r="318">
      <c r="N318" s="233"/>
      <c r="P318" s="65"/>
      <c r="AH318" s="65"/>
    </row>
    <row r="319">
      <c r="N319" s="233"/>
      <c r="P319" s="65"/>
      <c r="AH319" s="65"/>
    </row>
    <row r="320">
      <c r="N320" s="233"/>
      <c r="P320" s="65"/>
      <c r="AH320" s="65"/>
    </row>
    <row r="321">
      <c r="N321" s="233"/>
      <c r="P321" s="65"/>
      <c r="AH321" s="65"/>
    </row>
    <row r="322">
      <c r="N322" s="233"/>
      <c r="P322" s="65"/>
      <c r="AH322" s="65"/>
    </row>
    <row r="323">
      <c r="N323" s="233"/>
      <c r="P323" s="65"/>
      <c r="AH323" s="65"/>
    </row>
    <row r="324">
      <c r="N324" s="233"/>
      <c r="P324" s="65"/>
      <c r="AH324" s="65"/>
    </row>
    <row r="325">
      <c r="N325" s="233"/>
      <c r="P325" s="65"/>
      <c r="AH325" s="65"/>
    </row>
    <row r="326">
      <c r="N326" s="233"/>
      <c r="P326" s="65"/>
      <c r="AH326" s="65"/>
    </row>
    <row r="327">
      <c r="N327" s="233"/>
      <c r="P327" s="65"/>
      <c r="AH327" s="65"/>
    </row>
    <row r="328">
      <c r="N328" s="233"/>
      <c r="P328" s="65"/>
      <c r="AH328" s="65"/>
    </row>
    <row r="329">
      <c r="N329" s="233"/>
      <c r="P329" s="65"/>
      <c r="AH329" s="65"/>
    </row>
    <row r="330">
      <c r="N330" s="233"/>
      <c r="P330" s="65"/>
      <c r="AH330" s="65"/>
    </row>
    <row r="331">
      <c r="N331" s="233"/>
      <c r="P331" s="65"/>
      <c r="AH331" s="65"/>
    </row>
    <row r="332">
      <c r="N332" s="233"/>
      <c r="P332" s="65"/>
      <c r="AH332" s="65"/>
    </row>
    <row r="333">
      <c r="N333" s="233"/>
      <c r="P333" s="65"/>
      <c r="AH333" s="65"/>
    </row>
    <row r="334">
      <c r="N334" s="233"/>
      <c r="P334" s="65"/>
      <c r="AH334" s="65"/>
    </row>
    <row r="335">
      <c r="N335" s="233"/>
      <c r="P335" s="65"/>
      <c r="AH335" s="65"/>
    </row>
    <row r="336">
      <c r="N336" s="233"/>
      <c r="P336" s="65"/>
      <c r="AH336" s="65"/>
    </row>
    <row r="337">
      <c r="N337" s="233"/>
      <c r="P337" s="65"/>
      <c r="AH337" s="65"/>
    </row>
    <row r="338">
      <c r="N338" s="233"/>
      <c r="P338" s="65"/>
      <c r="AH338" s="65"/>
    </row>
    <row r="339">
      <c r="N339" s="233"/>
      <c r="P339" s="65"/>
      <c r="AH339" s="65"/>
    </row>
    <row r="340">
      <c r="N340" s="233"/>
      <c r="P340" s="65"/>
      <c r="AH340" s="65"/>
    </row>
    <row r="341">
      <c r="N341" s="233"/>
      <c r="P341" s="65"/>
      <c r="AH341" s="65"/>
    </row>
    <row r="342">
      <c r="N342" s="233"/>
      <c r="P342" s="65"/>
      <c r="AH342" s="65"/>
    </row>
    <row r="343">
      <c r="N343" s="233"/>
      <c r="P343" s="65"/>
      <c r="AH343" s="65"/>
    </row>
    <row r="344">
      <c r="N344" s="233"/>
      <c r="P344" s="65"/>
      <c r="AH344" s="65"/>
    </row>
    <row r="345">
      <c r="N345" s="233"/>
      <c r="P345" s="65"/>
      <c r="AH345" s="65"/>
    </row>
    <row r="346">
      <c r="N346" s="233"/>
      <c r="P346" s="65"/>
      <c r="AH346" s="65"/>
    </row>
    <row r="347">
      <c r="N347" s="233"/>
      <c r="P347" s="65"/>
      <c r="AH347" s="65"/>
    </row>
    <row r="348">
      <c r="N348" s="233"/>
      <c r="P348" s="65"/>
      <c r="AH348" s="65"/>
    </row>
    <row r="349">
      <c r="N349" s="233"/>
      <c r="P349" s="65"/>
      <c r="AH349" s="65"/>
    </row>
    <row r="350">
      <c r="N350" s="233"/>
      <c r="P350" s="65"/>
      <c r="AH350" s="65"/>
    </row>
    <row r="351">
      <c r="N351" s="233"/>
      <c r="P351" s="65"/>
      <c r="AH351" s="65"/>
    </row>
    <row r="352">
      <c r="N352" s="233"/>
      <c r="P352" s="65"/>
      <c r="AH352" s="65"/>
    </row>
    <row r="353">
      <c r="N353" s="233"/>
      <c r="P353" s="65"/>
      <c r="AH353" s="65"/>
    </row>
    <row r="354">
      <c r="N354" s="233"/>
      <c r="P354" s="65"/>
      <c r="AH354" s="65"/>
    </row>
    <row r="355">
      <c r="N355" s="233"/>
      <c r="P355" s="65"/>
      <c r="AH355" s="65"/>
    </row>
    <row r="356">
      <c r="N356" s="233"/>
      <c r="P356" s="65"/>
      <c r="AH356" s="65"/>
    </row>
    <row r="357">
      <c r="N357" s="233"/>
      <c r="P357" s="65"/>
      <c r="AH357" s="65"/>
    </row>
    <row r="358">
      <c r="N358" s="233"/>
      <c r="P358" s="65"/>
      <c r="AH358" s="65"/>
    </row>
    <row r="359">
      <c r="N359" s="233"/>
      <c r="P359" s="65"/>
      <c r="AH359" s="65"/>
    </row>
    <row r="360">
      <c r="N360" s="233"/>
      <c r="P360" s="65"/>
      <c r="AH360" s="65"/>
    </row>
    <row r="361">
      <c r="N361" s="233"/>
      <c r="P361" s="65"/>
      <c r="AH361" s="65"/>
    </row>
    <row r="362">
      <c r="N362" s="233"/>
      <c r="P362" s="65"/>
      <c r="AH362" s="65"/>
    </row>
    <row r="363">
      <c r="N363" s="233"/>
      <c r="P363" s="65"/>
      <c r="AH363" s="65"/>
    </row>
    <row r="364">
      <c r="N364" s="233"/>
      <c r="P364" s="65"/>
      <c r="AH364" s="65"/>
    </row>
    <row r="365">
      <c r="N365" s="233"/>
      <c r="P365" s="65"/>
      <c r="AH365" s="65"/>
    </row>
    <row r="366">
      <c r="N366" s="233"/>
      <c r="P366" s="65"/>
      <c r="AH366" s="65"/>
    </row>
    <row r="367">
      <c r="N367" s="233"/>
      <c r="P367" s="65"/>
      <c r="AH367" s="65"/>
    </row>
    <row r="368">
      <c r="N368" s="233"/>
      <c r="P368" s="65"/>
      <c r="AH368" s="65"/>
    </row>
    <row r="369">
      <c r="N369" s="233"/>
      <c r="P369" s="65"/>
      <c r="AH369" s="65"/>
    </row>
    <row r="370">
      <c r="N370" s="233"/>
      <c r="P370" s="65"/>
      <c r="AH370" s="65"/>
    </row>
    <row r="371">
      <c r="N371" s="233"/>
      <c r="P371" s="65"/>
      <c r="AH371" s="65"/>
    </row>
    <row r="372">
      <c r="N372" s="233"/>
      <c r="P372" s="65"/>
      <c r="AH372" s="65"/>
    </row>
    <row r="373">
      <c r="N373" s="233"/>
      <c r="P373" s="65"/>
      <c r="AH373" s="65"/>
    </row>
    <row r="374">
      <c r="N374" s="233"/>
      <c r="P374" s="65"/>
      <c r="AH374" s="65"/>
    </row>
    <row r="375">
      <c r="N375" s="233"/>
      <c r="P375" s="65"/>
      <c r="AH375" s="65"/>
    </row>
    <row r="376">
      <c r="N376" s="233"/>
      <c r="P376" s="65"/>
      <c r="AH376" s="65"/>
    </row>
    <row r="377">
      <c r="N377" s="233"/>
      <c r="P377" s="65"/>
      <c r="AH377" s="65"/>
    </row>
    <row r="378">
      <c r="N378" s="233"/>
      <c r="P378" s="65"/>
      <c r="AH378" s="65"/>
    </row>
    <row r="379">
      <c r="N379" s="233"/>
      <c r="P379" s="65"/>
      <c r="AH379" s="65"/>
    </row>
    <row r="380">
      <c r="N380" s="233"/>
      <c r="P380" s="65"/>
      <c r="AH380" s="65"/>
    </row>
    <row r="381">
      <c r="N381" s="233"/>
      <c r="P381" s="65"/>
      <c r="AH381" s="65"/>
    </row>
    <row r="382">
      <c r="N382" s="233"/>
      <c r="P382" s="65"/>
      <c r="AH382" s="65"/>
    </row>
    <row r="383">
      <c r="N383" s="233"/>
      <c r="P383" s="65"/>
      <c r="AH383" s="65"/>
    </row>
    <row r="384">
      <c r="N384" s="233"/>
      <c r="P384" s="65"/>
      <c r="AH384" s="65"/>
    </row>
    <row r="385">
      <c r="N385" s="233"/>
      <c r="P385" s="65"/>
      <c r="AH385" s="65"/>
    </row>
    <row r="386">
      <c r="N386" s="233"/>
      <c r="P386" s="65"/>
      <c r="AH386" s="65"/>
    </row>
    <row r="387">
      <c r="N387" s="233"/>
      <c r="P387" s="65"/>
      <c r="AH387" s="65"/>
    </row>
    <row r="388">
      <c r="N388" s="233"/>
      <c r="P388" s="65"/>
      <c r="AH388" s="65"/>
    </row>
    <row r="389">
      <c r="N389" s="233"/>
      <c r="P389" s="65"/>
      <c r="AH389" s="65"/>
    </row>
    <row r="390">
      <c r="N390" s="233"/>
      <c r="P390" s="65"/>
      <c r="AH390" s="65"/>
    </row>
    <row r="391">
      <c r="N391" s="233"/>
      <c r="P391" s="65"/>
      <c r="AH391" s="65"/>
    </row>
    <row r="392">
      <c r="N392" s="233"/>
      <c r="P392" s="65"/>
      <c r="AH392" s="65"/>
    </row>
    <row r="393">
      <c r="N393" s="233"/>
      <c r="P393" s="65"/>
      <c r="AH393" s="65"/>
    </row>
    <row r="394">
      <c r="N394" s="233"/>
      <c r="P394" s="65"/>
      <c r="AH394" s="65"/>
    </row>
    <row r="395">
      <c r="N395" s="233"/>
      <c r="P395" s="65"/>
      <c r="AH395" s="65"/>
    </row>
    <row r="396">
      <c r="N396" s="233"/>
      <c r="P396" s="65"/>
      <c r="AH396" s="65"/>
    </row>
    <row r="397">
      <c r="N397" s="233"/>
      <c r="P397" s="65"/>
      <c r="AH397" s="65"/>
    </row>
    <row r="398">
      <c r="N398" s="233"/>
      <c r="P398" s="65"/>
      <c r="AH398" s="65"/>
    </row>
    <row r="399">
      <c r="N399" s="233"/>
      <c r="P399" s="65"/>
      <c r="AH399" s="65"/>
    </row>
    <row r="400">
      <c r="N400" s="233"/>
      <c r="P400" s="65"/>
      <c r="AH400" s="65"/>
    </row>
    <row r="401">
      <c r="N401" s="233"/>
      <c r="P401" s="65"/>
      <c r="AH401" s="65"/>
    </row>
    <row r="402">
      <c r="N402" s="233"/>
      <c r="P402" s="65"/>
      <c r="AH402" s="65"/>
    </row>
    <row r="403">
      <c r="N403" s="233"/>
      <c r="P403" s="65"/>
      <c r="AH403" s="65"/>
    </row>
    <row r="404">
      <c r="N404" s="233"/>
      <c r="P404" s="65"/>
      <c r="AH404" s="65"/>
    </row>
    <row r="405">
      <c r="N405" s="233"/>
      <c r="P405" s="65"/>
      <c r="AH405" s="65"/>
    </row>
    <row r="406">
      <c r="N406" s="233"/>
      <c r="P406" s="65"/>
      <c r="AH406" s="65"/>
    </row>
    <row r="407">
      <c r="N407" s="233"/>
      <c r="P407" s="65"/>
      <c r="AH407" s="65"/>
    </row>
    <row r="408">
      <c r="N408" s="233"/>
      <c r="P408" s="65"/>
      <c r="AH408" s="65"/>
    </row>
    <row r="409">
      <c r="N409" s="233"/>
      <c r="P409" s="65"/>
      <c r="AH409" s="65"/>
    </row>
    <row r="410">
      <c r="N410" s="233"/>
      <c r="P410" s="65"/>
      <c r="AH410" s="65"/>
    </row>
    <row r="411">
      <c r="N411" s="233"/>
      <c r="P411" s="65"/>
      <c r="AH411" s="65"/>
    </row>
    <row r="412">
      <c r="N412" s="233"/>
      <c r="P412" s="65"/>
      <c r="AH412" s="65"/>
    </row>
    <row r="413">
      <c r="N413" s="233"/>
      <c r="P413" s="65"/>
      <c r="AH413" s="65"/>
    </row>
    <row r="414">
      <c r="N414" s="233"/>
      <c r="P414" s="65"/>
      <c r="AH414" s="65"/>
    </row>
    <row r="415">
      <c r="N415" s="233"/>
      <c r="P415" s="65"/>
      <c r="AH415" s="65"/>
    </row>
    <row r="416">
      <c r="N416" s="233"/>
      <c r="P416" s="65"/>
      <c r="AH416" s="65"/>
    </row>
    <row r="417">
      <c r="N417" s="233"/>
      <c r="P417" s="65"/>
      <c r="AH417" s="65"/>
    </row>
    <row r="418">
      <c r="N418" s="233"/>
      <c r="P418" s="65"/>
      <c r="AH418" s="65"/>
    </row>
    <row r="419">
      <c r="N419" s="233"/>
      <c r="P419" s="65"/>
      <c r="AH419" s="65"/>
    </row>
    <row r="420">
      <c r="N420" s="233"/>
      <c r="P420" s="65"/>
      <c r="AH420" s="65"/>
    </row>
    <row r="421">
      <c r="N421" s="233"/>
      <c r="P421" s="65"/>
      <c r="AH421" s="65"/>
    </row>
    <row r="422">
      <c r="N422" s="233"/>
      <c r="P422" s="65"/>
      <c r="AH422" s="65"/>
    </row>
    <row r="423">
      <c r="N423" s="233"/>
      <c r="P423" s="65"/>
      <c r="AH423" s="65"/>
    </row>
    <row r="424">
      <c r="N424" s="233"/>
      <c r="P424" s="65"/>
      <c r="AH424" s="65"/>
    </row>
    <row r="425">
      <c r="N425" s="233"/>
      <c r="P425" s="65"/>
      <c r="AH425" s="65"/>
    </row>
    <row r="426">
      <c r="N426" s="233"/>
      <c r="P426" s="65"/>
      <c r="AH426" s="65"/>
    </row>
    <row r="427">
      <c r="N427" s="233"/>
      <c r="P427" s="65"/>
      <c r="AH427" s="65"/>
    </row>
    <row r="428">
      <c r="N428" s="233"/>
      <c r="P428" s="65"/>
      <c r="AH428" s="65"/>
    </row>
    <row r="429">
      <c r="N429" s="233"/>
      <c r="P429" s="65"/>
      <c r="AH429" s="65"/>
    </row>
    <row r="430">
      <c r="N430" s="233"/>
      <c r="P430" s="65"/>
      <c r="AH430" s="65"/>
    </row>
    <row r="431">
      <c r="N431" s="233"/>
      <c r="P431" s="65"/>
      <c r="AH431" s="65"/>
    </row>
    <row r="432">
      <c r="N432" s="233"/>
      <c r="P432" s="65"/>
      <c r="AH432" s="65"/>
    </row>
    <row r="433">
      <c r="N433" s="233"/>
      <c r="P433" s="65"/>
      <c r="AH433" s="65"/>
    </row>
    <row r="434">
      <c r="N434" s="233"/>
      <c r="P434" s="65"/>
      <c r="AH434" s="65"/>
    </row>
    <row r="435">
      <c r="N435" s="233"/>
      <c r="P435" s="65"/>
      <c r="AH435" s="65"/>
    </row>
    <row r="436">
      <c r="N436" s="233"/>
      <c r="P436" s="65"/>
      <c r="AH436" s="65"/>
    </row>
    <row r="437">
      <c r="N437" s="233"/>
      <c r="P437" s="65"/>
      <c r="AH437" s="65"/>
    </row>
    <row r="438">
      <c r="N438" s="233"/>
      <c r="P438" s="65"/>
      <c r="AH438" s="65"/>
    </row>
    <row r="439">
      <c r="N439" s="233"/>
      <c r="P439" s="65"/>
      <c r="AH439" s="65"/>
    </row>
    <row r="440">
      <c r="N440" s="233"/>
      <c r="P440" s="65"/>
      <c r="AH440" s="65"/>
    </row>
    <row r="441">
      <c r="N441" s="233"/>
      <c r="P441" s="65"/>
      <c r="AH441" s="65"/>
    </row>
    <row r="442">
      <c r="N442" s="233"/>
      <c r="P442" s="65"/>
      <c r="AH442" s="65"/>
    </row>
    <row r="443">
      <c r="N443" s="233"/>
      <c r="P443" s="65"/>
      <c r="AH443" s="65"/>
    </row>
    <row r="444">
      <c r="N444" s="233"/>
      <c r="P444" s="65"/>
      <c r="AH444" s="65"/>
    </row>
    <row r="445">
      <c r="N445" s="233"/>
      <c r="P445" s="65"/>
      <c r="AH445" s="65"/>
    </row>
    <row r="446">
      <c r="N446" s="233"/>
      <c r="P446" s="65"/>
      <c r="AH446" s="65"/>
    </row>
    <row r="447">
      <c r="N447" s="233"/>
      <c r="P447" s="65"/>
      <c r="AH447" s="65"/>
    </row>
    <row r="448">
      <c r="N448" s="233"/>
      <c r="P448" s="65"/>
      <c r="AH448" s="65"/>
    </row>
    <row r="449">
      <c r="N449" s="233"/>
      <c r="P449" s="65"/>
      <c r="AH449" s="65"/>
    </row>
    <row r="450">
      <c r="N450" s="233"/>
      <c r="P450" s="65"/>
      <c r="AH450" s="65"/>
    </row>
    <row r="451">
      <c r="N451" s="233"/>
      <c r="P451" s="65"/>
      <c r="AH451" s="65"/>
    </row>
    <row r="452">
      <c r="N452" s="233"/>
      <c r="P452" s="65"/>
      <c r="AH452" s="65"/>
    </row>
    <row r="453">
      <c r="N453" s="233"/>
      <c r="P453" s="65"/>
      <c r="AH453" s="65"/>
    </row>
    <row r="454">
      <c r="N454" s="233"/>
      <c r="P454" s="65"/>
      <c r="AH454" s="65"/>
    </row>
    <row r="455">
      <c r="N455" s="233"/>
      <c r="P455" s="65"/>
      <c r="AH455" s="65"/>
    </row>
    <row r="456">
      <c r="N456" s="233"/>
      <c r="P456" s="65"/>
      <c r="AH456" s="65"/>
    </row>
    <row r="457">
      <c r="N457" s="233"/>
      <c r="P457" s="65"/>
      <c r="AH457" s="65"/>
    </row>
    <row r="458">
      <c r="N458" s="233"/>
      <c r="P458" s="65"/>
      <c r="AH458" s="65"/>
    </row>
    <row r="459">
      <c r="N459" s="233"/>
      <c r="P459" s="65"/>
      <c r="AH459" s="65"/>
    </row>
    <row r="460">
      <c r="N460" s="233"/>
      <c r="P460" s="65"/>
      <c r="AH460" s="65"/>
    </row>
    <row r="461">
      <c r="N461" s="233"/>
      <c r="P461" s="65"/>
      <c r="AH461" s="65"/>
    </row>
    <row r="462">
      <c r="N462" s="233"/>
      <c r="P462" s="65"/>
      <c r="AH462" s="65"/>
    </row>
    <row r="463">
      <c r="N463" s="233"/>
      <c r="P463" s="65"/>
      <c r="AH463" s="65"/>
    </row>
    <row r="464">
      <c r="N464" s="233"/>
      <c r="P464" s="65"/>
      <c r="AH464" s="65"/>
    </row>
    <row r="465">
      <c r="N465" s="233"/>
      <c r="P465" s="65"/>
      <c r="AH465" s="65"/>
    </row>
    <row r="466">
      <c r="N466" s="233"/>
      <c r="P466" s="65"/>
      <c r="AH466" s="65"/>
    </row>
    <row r="467">
      <c r="N467" s="233"/>
      <c r="P467" s="65"/>
      <c r="AH467" s="65"/>
    </row>
    <row r="468">
      <c r="N468" s="233"/>
      <c r="P468" s="65"/>
      <c r="AH468" s="65"/>
    </row>
    <row r="469">
      <c r="N469" s="233"/>
      <c r="P469" s="65"/>
      <c r="AH469" s="65"/>
    </row>
    <row r="470">
      <c r="N470" s="233"/>
      <c r="P470" s="65"/>
      <c r="AH470" s="65"/>
    </row>
    <row r="471">
      <c r="N471" s="233"/>
      <c r="P471" s="65"/>
      <c r="AH471" s="65"/>
    </row>
    <row r="472">
      <c r="N472" s="233"/>
      <c r="P472" s="65"/>
      <c r="AH472" s="65"/>
    </row>
    <row r="473">
      <c r="N473" s="233"/>
      <c r="P473" s="65"/>
      <c r="AH473" s="65"/>
    </row>
    <row r="474">
      <c r="N474" s="233"/>
      <c r="P474" s="65"/>
      <c r="AH474" s="65"/>
    </row>
    <row r="475">
      <c r="N475" s="233"/>
      <c r="P475" s="65"/>
      <c r="AH475" s="65"/>
    </row>
    <row r="476">
      <c r="N476" s="233"/>
      <c r="P476" s="65"/>
      <c r="AH476" s="65"/>
    </row>
    <row r="477">
      <c r="N477" s="233"/>
      <c r="P477" s="65"/>
      <c r="AH477" s="65"/>
    </row>
    <row r="478">
      <c r="N478" s="233"/>
      <c r="P478" s="65"/>
      <c r="AH478" s="65"/>
    </row>
    <row r="479">
      <c r="N479" s="233"/>
      <c r="P479" s="65"/>
      <c r="AH479" s="65"/>
    </row>
    <row r="480">
      <c r="N480" s="233"/>
      <c r="P480" s="65"/>
      <c r="AH480" s="65"/>
    </row>
    <row r="481">
      <c r="N481" s="233"/>
      <c r="P481" s="65"/>
      <c r="AH481" s="65"/>
    </row>
    <row r="482">
      <c r="N482" s="233"/>
      <c r="P482" s="65"/>
      <c r="AH482" s="65"/>
    </row>
    <row r="483">
      <c r="N483" s="233"/>
      <c r="P483" s="65"/>
      <c r="AH483" s="65"/>
    </row>
    <row r="484">
      <c r="N484" s="233"/>
      <c r="P484" s="65"/>
      <c r="AH484" s="65"/>
    </row>
    <row r="485">
      <c r="N485" s="233"/>
      <c r="P485" s="65"/>
      <c r="AH485" s="65"/>
    </row>
    <row r="486">
      <c r="N486" s="233"/>
      <c r="P486" s="65"/>
      <c r="AH486" s="65"/>
    </row>
    <row r="487">
      <c r="N487" s="233"/>
      <c r="P487" s="65"/>
      <c r="AH487" s="65"/>
    </row>
    <row r="488">
      <c r="N488" s="233"/>
      <c r="P488" s="65"/>
      <c r="AH488" s="65"/>
    </row>
    <row r="489">
      <c r="N489" s="233"/>
      <c r="P489" s="65"/>
      <c r="AH489" s="65"/>
    </row>
    <row r="490">
      <c r="N490" s="233"/>
      <c r="P490" s="65"/>
      <c r="AH490" s="65"/>
    </row>
    <row r="491">
      <c r="N491" s="233"/>
      <c r="P491" s="65"/>
      <c r="AH491" s="65"/>
    </row>
    <row r="492">
      <c r="N492" s="233"/>
      <c r="P492" s="65"/>
      <c r="AH492" s="65"/>
    </row>
    <row r="493">
      <c r="N493" s="233"/>
      <c r="P493" s="65"/>
      <c r="AH493" s="65"/>
    </row>
    <row r="494">
      <c r="N494" s="233"/>
      <c r="P494" s="65"/>
      <c r="AH494" s="65"/>
    </row>
    <row r="495">
      <c r="N495" s="233"/>
      <c r="P495" s="65"/>
      <c r="AH495" s="65"/>
    </row>
    <row r="496">
      <c r="N496" s="233"/>
      <c r="P496" s="65"/>
      <c r="AH496" s="65"/>
    </row>
    <row r="497">
      <c r="N497" s="233"/>
      <c r="P497" s="65"/>
      <c r="AH497" s="65"/>
    </row>
    <row r="498">
      <c r="N498" s="233"/>
      <c r="P498" s="65"/>
      <c r="AH498" s="65"/>
    </row>
    <row r="499">
      <c r="N499" s="233"/>
      <c r="P499" s="65"/>
      <c r="AH499" s="65"/>
    </row>
    <row r="500">
      <c r="N500" s="233"/>
      <c r="P500" s="65"/>
      <c r="AH500" s="65"/>
    </row>
    <row r="501">
      <c r="N501" s="233"/>
      <c r="P501" s="65"/>
      <c r="AH501" s="65"/>
    </row>
    <row r="502">
      <c r="N502" s="233"/>
      <c r="P502" s="65"/>
      <c r="AH502" s="65"/>
    </row>
    <row r="503">
      <c r="N503" s="233"/>
      <c r="P503" s="65"/>
      <c r="AH503" s="65"/>
    </row>
    <row r="504">
      <c r="N504" s="233"/>
      <c r="P504" s="65"/>
      <c r="AH504" s="65"/>
    </row>
    <row r="505">
      <c r="N505" s="233"/>
      <c r="P505" s="65"/>
      <c r="AH505" s="65"/>
    </row>
    <row r="506">
      <c r="N506" s="233"/>
      <c r="P506" s="65"/>
      <c r="AH506" s="65"/>
    </row>
    <row r="507">
      <c r="N507" s="233"/>
      <c r="P507" s="65"/>
      <c r="AH507" s="65"/>
    </row>
    <row r="508">
      <c r="N508" s="233"/>
      <c r="P508" s="65"/>
      <c r="AH508" s="65"/>
    </row>
    <row r="509">
      <c r="N509" s="233"/>
      <c r="P509" s="65"/>
      <c r="AH509" s="65"/>
    </row>
    <row r="510">
      <c r="N510" s="233"/>
      <c r="P510" s="65"/>
      <c r="AH510" s="65"/>
    </row>
    <row r="511">
      <c r="N511" s="233"/>
      <c r="P511" s="65"/>
      <c r="AH511" s="65"/>
    </row>
    <row r="512">
      <c r="N512" s="233"/>
      <c r="P512" s="65"/>
      <c r="AH512" s="65"/>
    </row>
    <row r="513">
      <c r="N513" s="233"/>
      <c r="P513" s="65"/>
      <c r="AH513" s="65"/>
    </row>
    <row r="514">
      <c r="N514" s="233"/>
      <c r="P514" s="65"/>
      <c r="AH514" s="65"/>
    </row>
    <row r="515">
      <c r="N515" s="233"/>
      <c r="P515" s="65"/>
      <c r="AH515" s="65"/>
    </row>
    <row r="516">
      <c r="N516" s="233"/>
      <c r="P516" s="65"/>
      <c r="AH516" s="65"/>
    </row>
    <row r="517">
      <c r="N517" s="233"/>
      <c r="P517" s="65"/>
      <c r="AH517" s="65"/>
    </row>
    <row r="518">
      <c r="N518" s="233"/>
      <c r="P518" s="65"/>
      <c r="AH518" s="65"/>
    </row>
    <row r="519">
      <c r="N519" s="233"/>
      <c r="P519" s="65"/>
      <c r="AH519" s="65"/>
    </row>
    <row r="520">
      <c r="N520" s="233"/>
      <c r="P520" s="65"/>
      <c r="AH520" s="65"/>
    </row>
    <row r="521">
      <c r="N521" s="233"/>
      <c r="P521" s="65"/>
      <c r="AH521" s="65"/>
    </row>
    <row r="522">
      <c r="N522" s="233"/>
      <c r="P522" s="65"/>
      <c r="AH522" s="65"/>
    </row>
    <row r="523">
      <c r="N523" s="233"/>
      <c r="P523" s="65"/>
      <c r="AH523" s="65"/>
    </row>
    <row r="524">
      <c r="N524" s="233"/>
      <c r="P524" s="65"/>
      <c r="AH524" s="65"/>
    </row>
    <row r="525">
      <c r="N525" s="233"/>
      <c r="P525" s="65"/>
      <c r="AH525" s="65"/>
    </row>
    <row r="526">
      <c r="N526" s="233"/>
      <c r="P526" s="65"/>
      <c r="AH526" s="65"/>
    </row>
    <row r="527">
      <c r="N527" s="233"/>
      <c r="P527" s="65"/>
      <c r="AH527" s="65"/>
    </row>
    <row r="528">
      <c r="N528" s="233"/>
      <c r="P528" s="65"/>
      <c r="AH528" s="65"/>
    </row>
    <row r="529">
      <c r="N529" s="233"/>
      <c r="P529" s="65"/>
      <c r="AH529" s="65"/>
    </row>
    <row r="530">
      <c r="N530" s="233"/>
      <c r="P530" s="65"/>
      <c r="AH530" s="65"/>
    </row>
    <row r="531">
      <c r="N531" s="233"/>
      <c r="P531" s="65"/>
      <c r="AH531" s="65"/>
    </row>
    <row r="532">
      <c r="N532" s="233"/>
      <c r="P532" s="65"/>
      <c r="AH532" s="65"/>
    </row>
    <row r="533">
      <c r="N533" s="233"/>
      <c r="P533" s="65"/>
      <c r="AH533" s="65"/>
    </row>
    <row r="534">
      <c r="N534" s="233"/>
      <c r="P534" s="65"/>
      <c r="AH534" s="65"/>
    </row>
    <row r="535">
      <c r="N535" s="233"/>
      <c r="P535" s="65"/>
      <c r="AH535" s="65"/>
    </row>
    <row r="536">
      <c r="N536" s="233"/>
      <c r="P536" s="65"/>
      <c r="AH536" s="65"/>
    </row>
    <row r="537">
      <c r="N537" s="233"/>
      <c r="P537" s="65"/>
      <c r="AH537" s="65"/>
    </row>
    <row r="538">
      <c r="N538" s="233"/>
      <c r="P538" s="65"/>
      <c r="AH538" s="65"/>
    </row>
    <row r="539">
      <c r="N539" s="233"/>
      <c r="P539" s="65"/>
      <c r="AH539" s="65"/>
    </row>
    <row r="540">
      <c r="N540" s="233"/>
      <c r="P540" s="65"/>
      <c r="AH540" s="65"/>
    </row>
    <row r="541">
      <c r="N541" s="233"/>
      <c r="P541" s="65"/>
      <c r="AH541" s="65"/>
    </row>
    <row r="542">
      <c r="N542" s="233"/>
      <c r="P542" s="65"/>
      <c r="AH542" s="65"/>
    </row>
    <row r="543">
      <c r="N543" s="233"/>
      <c r="P543" s="65"/>
      <c r="AH543" s="65"/>
    </row>
    <row r="544">
      <c r="N544" s="233"/>
      <c r="P544" s="65"/>
      <c r="AH544" s="65"/>
    </row>
    <row r="545">
      <c r="N545" s="233"/>
      <c r="P545" s="65"/>
      <c r="AH545" s="65"/>
    </row>
    <row r="546">
      <c r="N546" s="233"/>
      <c r="P546" s="65"/>
      <c r="AH546" s="65"/>
    </row>
    <row r="547">
      <c r="N547" s="233"/>
      <c r="P547" s="65"/>
      <c r="AH547" s="65"/>
    </row>
    <row r="548">
      <c r="N548" s="233"/>
      <c r="P548" s="65"/>
      <c r="AH548" s="65"/>
    </row>
    <row r="549">
      <c r="N549" s="233"/>
      <c r="P549" s="65"/>
      <c r="AH549" s="65"/>
    </row>
    <row r="550">
      <c r="N550" s="233"/>
      <c r="P550" s="65"/>
      <c r="AH550" s="65"/>
    </row>
    <row r="551">
      <c r="N551" s="233"/>
      <c r="P551" s="65"/>
      <c r="AH551" s="65"/>
    </row>
    <row r="552">
      <c r="N552" s="233"/>
      <c r="P552" s="65"/>
      <c r="AH552" s="65"/>
    </row>
    <row r="553">
      <c r="N553" s="233"/>
      <c r="P553" s="65"/>
      <c r="AH553" s="65"/>
    </row>
    <row r="554">
      <c r="N554" s="233"/>
      <c r="P554" s="65"/>
      <c r="AH554" s="65"/>
    </row>
    <row r="555">
      <c r="N555" s="233"/>
      <c r="P555" s="65"/>
      <c r="AH555" s="65"/>
    </row>
    <row r="556">
      <c r="N556" s="233"/>
      <c r="P556" s="65"/>
      <c r="AH556" s="65"/>
    </row>
    <row r="557">
      <c r="N557" s="233"/>
      <c r="P557" s="65"/>
      <c r="AH557" s="65"/>
    </row>
    <row r="558">
      <c r="N558" s="233"/>
      <c r="P558" s="65"/>
      <c r="AH558" s="65"/>
    </row>
    <row r="559">
      <c r="N559" s="233"/>
      <c r="P559" s="65"/>
      <c r="AH559" s="65"/>
    </row>
    <row r="560">
      <c r="N560" s="233"/>
      <c r="P560" s="65"/>
      <c r="AH560" s="65"/>
    </row>
    <row r="561">
      <c r="N561" s="233"/>
      <c r="P561" s="65"/>
      <c r="AH561" s="65"/>
    </row>
    <row r="562">
      <c r="N562" s="233"/>
      <c r="P562" s="65"/>
      <c r="AH562" s="65"/>
    </row>
    <row r="563">
      <c r="N563" s="233"/>
      <c r="P563" s="65"/>
      <c r="AH563" s="65"/>
    </row>
    <row r="564">
      <c r="N564" s="233"/>
      <c r="P564" s="65"/>
      <c r="AH564" s="65"/>
    </row>
    <row r="565">
      <c r="N565" s="233"/>
      <c r="P565" s="65"/>
      <c r="AH565" s="65"/>
    </row>
    <row r="566">
      <c r="N566" s="233"/>
      <c r="P566" s="65"/>
      <c r="AH566" s="65"/>
    </row>
    <row r="567">
      <c r="N567" s="233"/>
      <c r="P567" s="65"/>
      <c r="AH567" s="65"/>
    </row>
    <row r="568">
      <c r="N568" s="233"/>
      <c r="P568" s="65"/>
      <c r="AH568" s="65"/>
    </row>
    <row r="569">
      <c r="N569" s="233"/>
      <c r="P569" s="65"/>
      <c r="AH569" s="65"/>
    </row>
    <row r="570">
      <c r="N570" s="233"/>
      <c r="P570" s="65"/>
      <c r="AH570" s="65"/>
    </row>
    <row r="571">
      <c r="N571" s="233"/>
      <c r="P571" s="65"/>
      <c r="AH571" s="65"/>
    </row>
    <row r="572">
      <c r="N572" s="233"/>
      <c r="P572" s="65"/>
      <c r="AH572" s="65"/>
    </row>
    <row r="573">
      <c r="N573" s="233"/>
      <c r="P573" s="65"/>
      <c r="AH573" s="65"/>
    </row>
    <row r="574">
      <c r="N574" s="233"/>
      <c r="P574" s="65"/>
      <c r="AH574" s="65"/>
    </row>
    <row r="575">
      <c r="N575" s="233"/>
      <c r="P575" s="65"/>
      <c r="AH575" s="65"/>
    </row>
    <row r="576">
      <c r="N576" s="233"/>
      <c r="P576" s="65"/>
      <c r="AH576" s="65"/>
    </row>
    <row r="577">
      <c r="N577" s="233"/>
      <c r="P577" s="65"/>
      <c r="AH577" s="65"/>
    </row>
    <row r="578">
      <c r="N578" s="233"/>
      <c r="P578" s="65"/>
      <c r="AH578" s="65"/>
    </row>
    <row r="579">
      <c r="N579" s="233"/>
      <c r="P579" s="65"/>
      <c r="AH579" s="65"/>
    </row>
    <row r="580">
      <c r="N580" s="233"/>
      <c r="P580" s="65"/>
      <c r="AH580" s="65"/>
    </row>
    <row r="581">
      <c r="N581" s="233"/>
      <c r="P581" s="65"/>
      <c r="AH581" s="65"/>
    </row>
    <row r="582">
      <c r="N582" s="233"/>
      <c r="P582" s="65"/>
      <c r="AH582" s="65"/>
    </row>
    <row r="583">
      <c r="N583" s="233"/>
      <c r="P583" s="65"/>
      <c r="AH583" s="65"/>
    </row>
    <row r="584">
      <c r="N584" s="233"/>
      <c r="P584" s="65"/>
      <c r="AH584" s="65"/>
    </row>
    <row r="585">
      <c r="N585" s="233"/>
      <c r="P585" s="65"/>
      <c r="AH585" s="65"/>
    </row>
    <row r="586">
      <c r="N586" s="233"/>
      <c r="P586" s="65"/>
      <c r="AH586" s="65"/>
    </row>
    <row r="587">
      <c r="N587" s="233"/>
      <c r="P587" s="65"/>
      <c r="AH587" s="65"/>
    </row>
    <row r="588">
      <c r="N588" s="233"/>
      <c r="P588" s="65"/>
      <c r="AH588" s="65"/>
    </row>
    <row r="589">
      <c r="N589" s="233"/>
      <c r="P589" s="65"/>
      <c r="AH589" s="65"/>
    </row>
    <row r="590">
      <c r="N590" s="233"/>
      <c r="P590" s="65"/>
      <c r="AH590" s="65"/>
    </row>
    <row r="591">
      <c r="N591" s="233"/>
      <c r="P591" s="65"/>
      <c r="AH591" s="65"/>
    </row>
    <row r="592">
      <c r="N592" s="233"/>
      <c r="P592" s="65"/>
      <c r="AH592" s="65"/>
    </row>
    <row r="593">
      <c r="N593" s="233"/>
      <c r="P593" s="65"/>
      <c r="AH593" s="65"/>
    </row>
    <row r="594">
      <c r="N594" s="233"/>
      <c r="P594" s="65"/>
      <c r="AH594" s="65"/>
    </row>
    <row r="595">
      <c r="N595" s="233"/>
      <c r="P595" s="65"/>
      <c r="AH595" s="65"/>
    </row>
    <row r="596">
      <c r="N596" s="233"/>
      <c r="P596" s="65"/>
      <c r="AH596" s="65"/>
    </row>
    <row r="597">
      <c r="N597" s="233"/>
      <c r="P597" s="65"/>
      <c r="AH597" s="65"/>
    </row>
    <row r="598">
      <c r="N598" s="233"/>
      <c r="P598" s="65"/>
      <c r="AH598" s="65"/>
    </row>
    <row r="599">
      <c r="N599" s="233"/>
      <c r="P599" s="65"/>
      <c r="AH599" s="65"/>
    </row>
    <row r="600">
      <c r="N600" s="233"/>
      <c r="P600" s="65"/>
      <c r="AH600" s="65"/>
    </row>
    <row r="601">
      <c r="N601" s="233"/>
      <c r="P601" s="65"/>
      <c r="AH601" s="65"/>
    </row>
    <row r="602">
      <c r="N602" s="233"/>
      <c r="P602" s="65"/>
      <c r="AH602" s="65"/>
    </row>
    <row r="603">
      <c r="N603" s="233"/>
      <c r="P603" s="65"/>
      <c r="AH603" s="65"/>
    </row>
    <row r="604">
      <c r="N604" s="233"/>
      <c r="P604" s="65"/>
      <c r="AH604" s="65"/>
    </row>
    <row r="605">
      <c r="N605" s="233"/>
      <c r="P605" s="65"/>
      <c r="AH605" s="65"/>
    </row>
    <row r="606">
      <c r="N606" s="233"/>
      <c r="P606" s="65"/>
      <c r="AH606" s="65"/>
    </row>
    <row r="607">
      <c r="N607" s="233"/>
      <c r="P607" s="65"/>
      <c r="AH607" s="65"/>
    </row>
    <row r="608">
      <c r="N608" s="233"/>
      <c r="P608" s="65"/>
      <c r="AH608" s="65"/>
    </row>
    <row r="609">
      <c r="N609" s="233"/>
      <c r="P609" s="65"/>
      <c r="AH609" s="65"/>
    </row>
    <row r="610">
      <c r="N610" s="233"/>
      <c r="P610" s="65"/>
      <c r="AH610" s="65"/>
    </row>
    <row r="611">
      <c r="N611" s="233"/>
      <c r="P611" s="65"/>
      <c r="AH611" s="65"/>
    </row>
    <row r="612">
      <c r="N612" s="233"/>
      <c r="P612" s="65"/>
      <c r="AH612" s="65"/>
    </row>
    <row r="613">
      <c r="N613" s="233"/>
      <c r="P613" s="65"/>
      <c r="AH613" s="65"/>
    </row>
    <row r="614">
      <c r="N614" s="233"/>
      <c r="P614" s="65"/>
      <c r="AH614" s="65"/>
    </row>
    <row r="615">
      <c r="N615" s="233"/>
      <c r="P615" s="65"/>
      <c r="AH615" s="65"/>
    </row>
    <row r="616">
      <c r="N616" s="233"/>
      <c r="P616" s="65"/>
      <c r="AH616" s="65"/>
    </row>
    <row r="617">
      <c r="N617" s="233"/>
      <c r="P617" s="65"/>
      <c r="AH617" s="65"/>
    </row>
    <row r="618">
      <c r="N618" s="233"/>
      <c r="P618" s="65"/>
      <c r="AH618" s="65"/>
    </row>
    <row r="619">
      <c r="N619" s="233"/>
      <c r="P619" s="65"/>
      <c r="AH619" s="65"/>
    </row>
    <row r="620">
      <c r="N620" s="233"/>
      <c r="P620" s="65"/>
      <c r="AH620" s="65"/>
    </row>
    <row r="621">
      <c r="N621" s="233"/>
      <c r="P621" s="65"/>
      <c r="AH621" s="65"/>
    </row>
    <row r="622">
      <c r="N622" s="233"/>
      <c r="P622" s="65"/>
      <c r="AH622" s="65"/>
    </row>
    <row r="623">
      <c r="N623" s="233"/>
      <c r="P623" s="65"/>
      <c r="AH623" s="65"/>
    </row>
    <row r="624">
      <c r="N624" s="233"/>
      <c r="P624" s="65"/>
      <c r="AH624" s="65"/>
    </row>
    <row r="625">
      <c r="N625" s="233"/>
      <c r="P625" s="65"/>
      <c r="AH625" s="65"/>
    </row>
    <row r="626">
      <c r="N626" s="233"/>
      <c r="P626" s="65"/>
      <c r="AH626" s="65"/>
    </row>
    <row r="627">
      <c r="N627" s="233"/>
      <c r="P627" s="65"/>
      <c r="AH627" s="65"/>
    </row>
    <row r="628">
      <c r="N628" s="233"/>
      <c r="P628" s="65"/>
      <c r="AH628" s="65"/>
    </row>
    <row r="629">
      <c r="N629" s="233"/>
      <c r="P629" s="65"/>
      <c r="AH629" s="65"/>
    </row>
    <row r="630">
      <c r="N630" s="233"/>
      <c r="P630" s="65"/>
      <c r="AH630" s="65"/>
    </row>
    <row r="631">
      <c r="N631" s="233"/>
      <c r="P631" s="65"/>
      <c r="AH631" s="65"/>
    </row>
    <row r="632">
      <c r="N632" s="233"/>
      <c r="P632" s="65"/>
      <c r="AH632" s="65"/>
    </row>
    <row r="633">
      <c r="N633" s="233"/>
      <c r="P633" s="65"/>
      <c r="AH633" s="65"/>
    </row>
    <row r="634">
      <c r="N634" s="233"/>
      <c r="P634" s="65"/>
      <c r="AH634" s="65"/>
    </row>
    <row r="635">
      <c r="N635" s="233"/>
      <c r="P635" s="65"/>
      <c r="AH635" s="65"/>
    </row>
    <row r="636">
      <c r="N636" s="233"/>
      <c r="P636" s="65"/>
      <c r="AH636" s="65"/>
    </row>
    <row r="637">
      <c r="N637" s="233"/>
      <c r="P637" s="65"/>
      <c r="AH637" s="65"/>
    </row>
    <row r="638">
      <c r="N638" s="233"/>
      <c r="P638" s="65"/>
      <c r="AH638" s="65"/>
    </row>
    <row r="639">
      <c r="N639" s="233"/>
      <c r="P639" s="65"/>
      <c r="AH639" s="65"/>
    </row>
    <row r="640">
      <c r="N640" s="233"/>
      <c r="P640" s="65"/>
      <c r="AH640" s="65"/>
    </row>
    <row r="641">
      <c r="N641" s="233"/>
      <c r="P641" s="65"/>
      <c r="AH641" s="65"/>
    </row>
    <row r="642">
      <c r="N642" s="233"/>
      <c r="P642" s="65"/>
      <c r="AH642" s="65"/>
    </row>
    <row r="643">
      <c r="N643" s="233"/>
      <c r="P643" s="65"/>
      <c r="AH643" s="65"/>
    </row>
    <row r="644">
      <c r="N644" s="233"/>
      <c r="P644" s="65"/>
      <c r="AH644" s="65"/>
    </row>
    <row r="645">
      <c r="N645" s="233"/>
      <c r="P645" s="65"/>
      <c r="AH645" s="65"/>
    </row>
    <row r="646">
      <c r="N646" s="233"/>
      <c r="P646" s="65"/>
      <c r="AH646" s="65"/>
    </row>
    <row r="647">
      <c r="N647" s="233"/>
      <c r="P647" s="65"/>
      <c r="AH647" s="65"/>
    </row>
    <row r="648">
      <c r="N648" s="233"/>
      <c r="P648" s="65"/>
      <c r="AH648" s="65"/>
    </row>
    <row r="649">
      <c r="N649" s="233"/>
      <c r="P649" s="65"/>
      <c r="AH649" s="65"/>
    </row>
    <row r="650">
      <c r="N650" s="233"/>
      <c r="P650" s="65"/>
      <c r="AH650" s="65"/>
    </row>
    <row r="651">
      <c r="N651" s="233"/>
      <c r="P651" s="65"/>
      <c r="AH651" s="65"/>
    </row>
    <row r="652">
      <c r="N652" s="233"/>
      <c r="P652" s="65"/>
      <c r="AH652" s="65"/>
    </row>
    <row r="653">
      <c r="N653" s="233"/>
      <c r="P653" s="65"/>
      <c r="AH653" s="65"/>
    </row>
    <row r="654">
      <c r="N654" s="233"/>
      <c r="P654" s="65"/>
      <c r="AH654" s="65"/>
    </row>
    <row r="655">
      <c r="N655" s="233"/>
      <c r="P655" s="65"/>
      <c r="AH655" s="65"/>
    </row>
    <row r="656">
      <c r="N656" s="233"/>
      <c r="P656" s="65"/>
      <c r="AH656" s="65"/>
    </row>
    <row r="657">
      <c r="N657" s="233"/>
      <c r="P657" s="65"/>
      <c r="AH657" s="65"/>
    </row>
    <row r="658">
      <c r="N658" s="233"/>
      <c r="P658" s="65"/>
      <c r="AH658" s="65"/>
    </row>
    <row r="659">
      <c r="N659" s="233"/>
      <c r="P659" s="65"/>
      <c r="AH659" s="65"/>
    </row>
    <row r="660">
      <c r="N660" s="233"/>
      <c r="P660" s="65"/>
      <c r="AH660" s="65"/>
    </row>
    <row r="661">
      <c r="N661" s="233"/>
      <c r="P661" s="65"/>
      <c r="AH661" s="65"/>
    </row>
    <row r="662">
      <c r="N662" s="233"/>
      <c r="P662" s="65"/>
      <c r="AH662" s="65"/>
    </row>
    <row r="663">
      <c r="N663" s="233"/>
      <c r="P663" s="65"/>
      <c r="AH663" s="65"/>
    </row>
    <row r="664">
      <c r="N664" s="233"/>
      <c r="P664" s="65"/>
      <c r="AH664" s="65"/>
    </row>
    <row r="665">
      <c r="N665" s="233"/>
      <c r="P665" s="65"/>
      <c r="AH665" s="65"/>
    </row>
    <row r="666">
      <c r="N666" s="233"/>
      <c r="P666" s="65"/>
      <c r="AH666" s="65"/>
    </row>
    <row r="667">
      <c r="N667" s="233"/>
      <c r="P667" s="65"/>
      <c r="AH667" s="65"/>
    </row>
    <row r="668">
      <c r="N668" s="233"/>
      <c r="P668" s="65"/>
      <c r="AH668" s="65"/>
    </row>
    <row r="669">
      <c r="N669" s="233"/>
      <c r="P669" s="65"/>
      <c r="AH669" s="65"/>
    </row>
    <row r="670">
      <c r="N670" s="233"/>
      <c r="P670" s="65"/>
      <c r="AH670" s="65"/>
    </row>
    <row r="671">
      <c r="N671" s="233"/>
      <c r="P671" s="65"/>
      <c r="AH671" s="65"/>
    </row>
    <row r="672">
      <c r="N672" s="233"/>
      <c r="P672" s="65"/>
      <c r="AH672" s="65"/>
    </row>
    <row r="673">
      <c r="N673" s="233"/>
      <c r="P673" s="65"/>
      <c r="AH673" s="65"/>
    </row>
    <row r="674">
      <c r="N674" s="233"/>
      <c r="P674" s="65"/>
      <c r="AH674" s="65"/>
    </row>
    <row r="675">
      <c r="N675" s="233"/>
      <c r="P675" s="65"/>
      <c r="AH675" s="65"/>
    </row>
    <row r="676">
      <c r="N676" s="233"/>
      <c r="P676" s="65"/>
      <c r="AH676" s="65"/>
    </row>
    <row r="677">
      <c r="N677" s="233"/>
      <c r="P677" s="65"/>
      <c r="AH677" s="65"/>
    </row>
    <row r="678">
      <c r="N678" s="233"/>
      <c r="P678" s="65"/>
      <c r="AH678" s="65"/>
    </row>
    <row r="679">
      <c r="N679" s="233"/>
      <c r="P679" s="65"/>
      <c r="AH679" s="65"/>
    </row>
    <row r="680">
      <c r="N680" s="233"/>
      <c r="P680" s="65"/>
      <c r="AH680" s="65"/>
    </row>
    <row r="681">
      <c r="N681" s="233"/>
      <c r="P681" s="65"/>
      <c r="AH681" s="65"/>
    </row>
    <row r="682">
      <c r="N682" s="233"/>
      <c r="P682" s="65"/>
      <c r="AH682" s="65"/>
    </row>
    <row r="683">
      <c r="N683" s="233"/>
      <c r="P683" s="65"/>
      <c r="AH683" s="65"/>
    </row>
    <row r="684">
      <c r="N684" s="233"/>
      <c r="P684" s="65"/>
      <c r="AH684" s="65"/>
    </row>
    <row r="685">
      <c r="N685" s="233"/>
      <c r="P685" s="65"/>
      <c r="AH685" s="65"/>
    </row>
    <row r="686">
      <c r="N686" s="233"/>
      <c r="P686" s="65"/>
      <c r="AH686" s="65"/>
    </row>
    <row r="687">
      <c r="N687" s="233"/>
      <c r="P687" s="65"/>
      <c r="AH687" s="65"/>
    </row>
    <row r="688">
      <c r="N688" s="233"/>
      <c r="P688" s="65"/>
      <c r="AH688" s="65"/>
    </row>
    <row r="689">
      <c r="N689" s="233"/>
      <c r="P689" s="65"/>
      <c r="AH689" s="65"/>
    </row>
    <row r="690">
      <c r="N690" s="233"/>
      <c r="P690" s="65"/>
      <c r="AH690" s="65"/>
    </row>
    <row r="691">
      <c r="N691" s="233"/>
      <c r="P691" s="65"/>
      <c r="AH691" s="65"/>
    </row>
    <row r="692">
      <c r="N692" s="233"/>
      <c r="P692" s="65"/>
      <c r="AH692" s="65"/>
    </row>
    <row r="693">
      <c r="N693" s="233"/>
      <c r="P693" s="65"/>
      <c r="AH693" s="65"/>
    </row>
    <row r="694">
      <c r="N694" s="233"/>
      <c r="P694" s="65"/>
      <c r="AH694" s="65"/>
    </row>
    <row r="695">
      <c r="N695" s="233"/>
      <c r="P695" s="65"/>
      <c r="AH695" s="65"/>
    </row>
    <row r="696">
      <c r="N696" s="233"/>
      <c r="P696" s="65"/>
      <c r="AH696" s="65"/>
    </row>
    <row r="697">
      <c r="N697" s="233"/>
      <c r="P697" s="65"/>
      <c r="AH697" s="65"/>
    </row>
    <row r="698">
      <c r="N698" s="233"/>
      <c r="P698" s="65"/>
      <c r="AH698" s="65"/>
    </row>
    <row r="699">
      <c r="N699" s="233"/>
      <c r="P699" s="65"/>
      <c r="AH699" s="65"/>
    </row>
    <row r="700">
      <c r="N700" s="233"/>
      <c r="P700" s="65"/>
      <c r="AH700" s="65"/>
    </row>
    <row r="701">
      <c r="N701" s="233"/>
      <c r="P701" s="65"/>
      <c r="AH701" s="65"/>
    </row>
    <row r="702">
      <c r="N702" s="233"/>
      <c r="P702" s="65"/>
      <c r="AH702" s="65"/>
    </row>
    <row r="703">
      <c r="N703" s="233"/>
      <c r="P703" s="65"/>
      <c r="AH703" s="65"/>
    </row>
    <row r="704">
      <c r="N704" s="233"/>
      <c r="P704" s="65"/>
      <c r="AH704" s="65"/>
    </row>
    <row r="705">
      <c r="N705" s="233"/>
      <c r="P705" s="65"/>
      <c r="AH705" s="65"/>
    </row>
    <row r="706">
      <c r="N706" s="233"/>
      <c r="P706" s="65"/>
      <c r="AH706" s="65"/>
    </row>
    <row r="707">
      <c r="N707" s="233"/>
      <c r="P707" s="65"/>
      <c r="AH707" s="65"/>
    </row>
    <row r="708">
      <c r="N708" s="233"/>
      <c r="P708" s="65"/>
      <c r="AH708" s="65"/>
    </row>
    <row r="709">
      <c r="N709" s="233"/>
      <c r="P709" s="65"/>
      <c r="AH709" s="65"/>
    </row>
    <row r="710">
      <c r="N710" s="233"/>
      <c r="P710" s="65"/>
      <c r="AH710" s="65"/>
    </row>
    <row r="711">
      <c r="N711" s="233"/>
      <c r="P711" s="65"/>
      <c r="AH711" s="65"/>
    </row>
    <row r="712">
      <c r="N712" s="233"/>
      <c r="P712" s="65"/>
      <c r="AH712" s="65"/>
    </row>
    <row r="713">
      <c r="N713" s="233"/>
      <c r="P713" s="65"/>
      <c r="AH713" s="65"/>
    </row>
    <row r="714">
      <c r="N714" s="233"/>
      <c r="P714" s="65"/>
      <c r="AH714" s="65"/>
    </row>
    <row r="715">
      <c r="N715" s="233"/>
      <c r="P715" s="65"/>
      <c r="AH715" s="65"/>
    </row>
    <row r="716">
      <c r="N716" s="233"/>
      <c r="P716" s="65"/>
      <c r="AH716" s="65"/>
    </row>
    <row r="717">
      <c r="N717" s="233"/>
      <c r="P717" s="65"/>
      <c r="AH717" s="65"/>
    </row>
    <row r="718">
      <c r="N718" s="233"/>
      <c r="P718" s="65"/>
      <c r="AH718" s="65"/>
    </row>
    <row r="719">
      <c r="N719" s="233"/>
      <c r="P719" s="65"/>
      <c r="AH719" s="65"/>
    </row>
    <row r="720">
      <c r="N720" s="233"/>
      <c r="P720" s="65"/>
      <c r="AH720" s="65"/>
    </row>
    <row r="721">
      <c r="N721" s="233"/>
      <c r="P721" s="65"/>
      <c r="AH721" s="65"/>
    </row>
    <row r="722">
      <c r="N722" s="233"/>
      <c r="P722" s="65"/>
      <c r="AH722" s="65"/>
    </row>
    <row r="723">
      <c r="N723" s="233"/>
      <c r="P723" s="65"/>
      <c r="AH723" s="65"/>
    </row>
    <row r="724">
      <c r="N724" s="233"/>
      <c r="P724" s="65"/>
      <c r="AH724" s="65"/>
    </row>
    <row r="725">
      <c r="N725" s="233"/>
      <c r="P725" s="65"/>
      <c r="AH725" s="65"/>
    </row>
    <row r="726">
      <c r="N726" s="233"/>
      <c r="P726" s="65"/>
      <c r="AH726" s="65"/>
    </row>
    <row r="727">
      <c r="N727" s="233"/>
      <c r="P727" s="65"/>
      <c r="AH727" s="65"/>
    </row>
    <row r="728">
      <c r="N728" s="233"/>
      <c r="P728" s="65"/>
      <c r="AH728" s="65"/>
    </row>
    <row r="729">
      <c r="N729" s="233"/>
      <c r="P729" s="65"/>
      <c r="AH729" s="65"/>
    </row>
    <row r="730">
      <c r="N730" s="233"/>
      <c r="P730" s="65"/>
      <c r="AH730" s="65"/>
    </row>
    <row r="731">
      <c r="N731" s="233"/>
      <c r="P731" s="65"/>
      <c r="AH731" s="65"/>
    </row>
    <row r="732">
      <c r="N732" s="233"/>
      <c r="P732" s="65"/>
      <c r="AH732" s="65"/>
    </row>
    <row r="733">
      <c r="N733" s="233"/>
      <c r="P733" s="65"/>
      <c r="AH733" s="65"/>
    </row>
    <row r="734">
      <c r="N734" s="233"/>
      <c r="P734" s="65"/>
      <c r="AH734" s="65"/>
    </row>
    <row r="735">
      <c r="N735" s="233"/>
      <c r="P735" s="65"/>
      <c r="AH735" s="65"/>
    </row>
    <row r="736">
      <c r="N736" s="233"/>
      <c r="P736" s="65"/>
      <c r="AH736" s="65"/>
    </row>
    <row r="737">
      <c r="N737" s="233"/>
      <c r="P737" s="65"/>
      <c r="AH737" s="65"/>
    </row>
    <row r="738">
      <c r="N738" s="233"/>
      <c r="P738" s="65"/>
      <c r="AH738" s="65"/>
    </row>
    <row r="739">
      <c r="N739" s="233"/>
      <c r="P739" s="65"/>
      <c r="AH739" s="65"/>
    </row>
    <row r="740">
      <c r="N740" s="233"/>
      <c r="P740" s="65"/>
      <c r="AH740" s="65"/>
    </row>
    <row r="741">
      <c r="N741" s="233"/>
      <c r="P741" s="65"/>
      <c r="AH741" s="65"/>
    </row>
    <row r="742">
      <c r="N742" s="233"/>
      <c r="P742" s="65"/>
      <c r="AH742" s="65"/>
    </row>
    <row r="743">
      <c r="N743" s="233"/>
      <c r="P743" s="65"/>
      <c r="AH743" s="65"/>
    </row>
    <row r="744">
      <c r="N744" s="233"/>
      <c r="P744" s="65"/>
      <c r="AH744" s="65"/>
    </row>
    <row r="745">
      <c r="N745" s="233"/>
      <c r="P745" s="65"/>
      <c r="AH745" s="65"/>
    </row>
    <row r="746">
      <c r="N746" s="233"/>
      <c r="P746" s="65"/>
      <c r="AH746" s="65"/>
    </row>
    <row r="747">
      <c r="N747" s="233"/>
      <c r="P747" s="65"/>
      <c r="AH747" s="65"/>
    </row>
    <row r="748">
      <c r="N748" s="233"/>
      <c r="P748" s="65"/>
      <c r="AH748" s="65"/>
    </row>
    <row r="749">
      <c r="N749" s="233"/>
      <c r="P749" s="65"/>
      <c r="AH749" s="65"/>
    </row>
    <row r="750">
      <c r="N750" s="233"/>
      <c r="P750" s="65"/>
      <c r="AH750" s="65"/>
    </row>
    <row r="751">
      <c r="N751" s="233"/>
      <c r="P751" s="65"/>
      <c r="AH751" s="65"/>
    </row>
    <row r="752">
      <c r="N752" s="233"/>
      <c r="P752" s="65"/>
      <c r="AH752" s="65"/>
    </row>
    <row r="753">
      <c r="N753" s="233"/>
      <c r="P753" s="65"/>
      <c r="AH753" s="65"/>
    </row>
    <row r="754">
      <c r="N754" s="233"/>
      <c r="P754" s="65"/>
      <c r="AH754" s="65"/>
    </row>
    <row r="755">
      <c r="N755" s="233"/>
      <c r="P755" s="65"/>
      <c r="AH755" s="65"/>
    </row>
    <row r="756">
      <c r="N756" s="233"/>
      <c r="P756" s="65"/>
      <c r="AH756" s="65"/>
    </row>
    <row r="757">
      <c r="N757" s="233"/>
      <c r="P757" s="65"/>
      <c r="AH757" s="65"/>
    </row>
    <row r="758">
      <c r="N758" s="233"/>
      <c r="P758" s="65"/>
      <c r="AH758" s="65"/>
    </row>
    <row r="759">
      <c r="N759" s="233"/>
      <c r="P759" s="65"/>
      <c r="AH759" s="65"/>
    </row>
    <row r="760">
      <c r="N760" s="233"/>
      <c r="P760" s="65"/>
      <c r="AH760" s="65"/>
    </row>
    <row r="761">
      <c r="N761" s="233"/>
      <c r="P761" s="65"/>
      <c r="AH761" s="65"/>
    </row>
    <row r="762">
      <c r="N762" s="233"/>
      <c r="P762" s="65"/>
      <c r="AH762" s="65"/>
    </row>
    <row r="763">
      <c r="N763" s="233"/>
      <c r="P763" s="65"/>
      <c r="AH763" s="65"/>
    </row>
    <row r="764">
      <c r="N764" s="233"/>
      <c r="P764" s="65"/>
      <c r="AH764" s="65"/>
    </row>
    <row r="765">
      <c r="N765" s="233"/>
      <c r="P765" s="65"/>
      <c r="AH765" s="65"/>
    </row>
    <row r="766">
      <c r="N766" s="233"/>
      <c r="P766" s="65"/>
      <c r="AH766" s="65"/>
    </row>
    <row r="767">
      <c r="N767" s="233"/>
      <c r="P767" s="65"/>
      <c r="AH767" s="65"/>
    </row>
    <row r="768">
      <c r="N768" s="233"/>
      <c r="P768" s="65"/>
      <c r="AH768" s="65"/>
    </row>
    <row r="769">
      <c r="N769" s="233"/>
      <c r="P769" s="65"/>
      <c r="AH769" s="65"/>
    </row>
    <row r="770">
      <c r="N770" s="233"/>
      <c r="P770" s="65"/>
      <c r="AH770" s="65"/>
    </row>
    <row r="771">
      <c r="N771" s="233"/>
      <c r="P771" s="65"/>
      <c r="AH771" s="65"/>
    </row>
    <row r="772">
      <c r="N772" s="233"/>
      <c r="P772" s="65"/>
      <c r="AH772" s="65"/>
    </row>
    <row r="773">
      <c r="N773" s="233"/>
      <c r="P773" s="65"/>
      <c r="AH773" s="65"/>
    </row>
    <row r="774">
      <c r="N774" s="233"/>
      <c r="P774" s="65"/>
      <c r="AH774" s="65"/>
    </row>
    <row r="775">
      <c r="N775" s="233"/>
      <c r="P775" s="65"/>
      <c r="AH775" s="65"/>
    </row>
    <row r="776">
      <c r="N776" s="233"/>
      <c r="P776" s="65"/>
      <c r="AH776" s="65"/>
    </row>
    <row r="777">
      <c r="N777" s="233"/>
      <c r="P777" s="65"/>
      <c r="AH777" s="65"/>
    </row>
    <row r="778">
      <c r="N778" s="233"/>
      <c r="P778" s="65"/>
      <c r="AH778" s="65"/>
    </row>
    <row r="779">
      <c r="N779" s="233"/>
      <c r="P779" s="65"/>
      <c r="AH779" s="65"/>
    </row>
    <row r="780">
      <c r="N780" s="233"/>
      <c r="P780" s="65"/>
      <c r="AH780" s="65"/>
    </row>
    <row r="781">
      <c r="N781" s="233"/>
      <c r="P781" s="65"/>
      <c r="AH781" s="65"/>
    </row>
    <row r="782">
      <c r="N782" s="233"/>
      <c r="P782" s="65"/>
      <c r="AH782" s="65"/>
    </row>
    <row r="783">
      <c r="N783" s="233"/>
      <c r="P783" s="65"/>
      <c r="AH783" s="65"/>
    </row>
    <row r="784">
      <c r="N784" s="233"/>
      <c r="P784" s="65"/>
      <c r="AH784" s="65"/>
    </row>
    <row r="785">
      <c r="N785" s="233"/>
      <c r="P785" s="65"/>
      <c r="AH785" s="65"/>
    </row>
    <row r="786">
      <c r="N786" s="233"/>
      <c r="P786" s="65"/>
      <c r="AH786" s="65"/>
    </row>
    <row r="787">
      <c r="N787" s="233"/>
      <c r="P787" s="65"/>
      <c r="AH787" s="65"/>
    </row>
    <row r="788">
      <c r="N788" s="233"/>
      <c r="P788" s="65"/>
      <c r="AH788" s="65"/>
    </row>
    <row r="789">
      <c r="N789" s="233"/>
      <c r="P789" s="65"/>
      <c r="AH789" s="65"/>
    </row>
    <row r="790">
      <c r="N790" s="233"/>
      <c r="P790" s="65"/>
      <c r="AH790" s="65"/>
    </row>
    <row r="791">
      <c r="N791" s="233"/>
      <c r="P791" s="65"/>
      <c r="AH791" s="65"/>
    </row>
    <row r="792">
      <c r="N792" s="233"/>
      <c r="P792" s="65"/>
      <c r="AH792" s="65"/>
    </row>
    <row r="793">
      <c r="N793" s="233"/>
      <c r="P793" s="65"/>
      <c r="AH793" s="65"/>
    </row>
    <row r="794">
      <c r="N794" s="233"/>
      <c r="P794" s="65"/>
      <c r="AH794" s="65"/>
    </row>
    <row r="795">
      <c r="N795" s="233"/>
      <c r="P795" s="65"/>
      <c r="AH795" s="65"/>
    </row>
    <row r="796">
      <c r="N796" s="233"/>
      <c r="P796" s="65"/>
      <c r="AH796" s="65"/>
    </row>
    <row r="797">
      <c r="N797" s="233"/>
      <c r="P797" s="65"/>
      <c r="AH797" s="65"/>
    </row>
    <row r="798">
      <c r="N798" s="233"/>
      <c r="P798" s="65"/>
      <c r="AH798" s="65"/>
    </row>
    <row r="799">
      <c r="N799" s="233"/>
      <c r="P799" s="65"/>
      <c r="AH799" s="65"/>
    </row>
    <row r="800">
      <c r="N800" s="233"/>
      <c r="P800" s="65"/>
      <c r="AH800" s="65"/>
    </row>
    <row r="801">
      <c r="N801" s="233"/>
      <c r="P801" s="65"/>
      <c r="AH801" s="65"/>
    </row>
    <row r="802">
      <c r="N802" s="233"/>
      <c r="P802" s="65"/>
      <c r="AH802" s="65"/>
    </row>
    <row r="803">
      <c r="N803" s="233"/>
      <c r="P803" s="65"/>
      <c r="AH803" s="65"/>
    </row>
    <row r="804">
      <c r="N804" s="233"/>
      <c r="P804" s="65"/>
      <c r="AH804" s="65"/>
    </row>
    <row r="805">
      <c r="N805" s="233"/>
      <c r="P805" s="65"/>
      <c r="AH805" s="65"/>
    </row>
    <row r="806">
      <c r="N806" s="233"/>
      <c r="P806" s="65"/>
      <c r="AH806" s="65"/>
    </row>
    <row r="807">
      <c r="N807" s="233"/>
      <c r="P807" s="65"/>
      <c r="AH807" s="65"/>
    </row>
    <row r="808">
      <c r="N808" s="233"/>
      <c r="P808" s="65"/>
      <c r="AH808" s="65"/>
    </row>
    <row r="809">
      <c r="N809" s="233"/>
      <c r="P809" s="65"/>
      <c r="AH809" s="65"/>
    </row>
    <row r="810">
      <c r="N810" s="233"/>
      <c r="P810" s="65"/>
      <c r="AH810" s="65"/>
    </row>
    <row r="811">
      <c r="N811" s="233"/>
      <c r="P811" s="65"/>
      <c r="AH811" s="65"/>
    </row>
    <row r="812">
      <c r="N812" s="233"/>
      <c r="P812" s="65"/>
      <c r="AH812" s="65"/>
    </row>
    <row r="813">
      <c r="N813" s="233"/>
      <c r="P813" s="65"/>
      <c r="AH813" s="65"/>
    </row>
    <row r="814">
      <c r="N814" s="233"/>
      <c r="P814" s="65"/>
      <c r="AH814" s="65"/>
    </row>
    <row r="815">
      <c r="N815" s="233"/>
      <c r="P815" s="65"/>
      <c r="AH815" s="65"/>
    </row>
    <row r="816">
      <c r="N816" s="233"/>
      <c r="P816" s="65"/>
      <c r="AH816" s="65"/>
    </row>
    <row r="817">
      <c r="N817" s="233"/>
      <c r="P817" s="65"/>
      <c r="AH817" s="65"/>
    </row>
    <row r="818">
      <c r="N818" s="233"/>
      <c r="P818" s="65"/>
      <c r="AH818" s="65"/>
    </row>
    <row r="819">
      <c r="N819" s="233"/>
      <c r="P819" s="65"/>
      <c r="AH819" s="65"/>
    </row>
    <row r="820">
      <c r="N820" s="233"/>
      <c r="P820" s="65"/>
      <c r="AH820" s="65"/>
    </row>
    <row r="821">
      <c r="N821" s="233"/>
      <c r="P821" s="65"/>
      <c r="AH821" s="65"/>
    </row>
    <row r="822">
      <c r="N822" s="233"/>
      <c r="P822" s="65"/>
      <c r="AH822" s="65"/>
    </row>
    <row r="823">
      <c r="N823" s="233"/>
      <c r="P823" s="65"/>
      <c r="AH823" s="65"/>
    </row>
    <row r="824">
      <c r="N824" s="233"/>
      <c r="P824" s="65"/>
      <c r="AH824" s="65"/>
    </row>
    <row r="825">
      <c r="N825" s="233"/>
      <c r="P825" s="65"/>
      <c r="AH825" s="65"/>
    </row>
    <row r="826">
      <c r="N826" s="233"/>
      <c r="P826" s="65"/>
      <c r="AH826" s="65"/>
    </row>
    <row r="827">
      <c r="N827" s="233"/>
      <c r="P827" s="65"/>
      <c r="AH827" s="65"/>
    </row>
    <row r="828">
      <c r="N828" s="233"/>
      <c r="P828" s="65"/>
      <c r="AH828" s="65"/>
    </row>
    <row r="829">
      <c r="N829" s="233"/>
      <c r="P829" s="65"/>
      <c r="AH829" s="65"/>
    </row>
    <row r="830">
      <c r="N830" s="233"/>
      <c r="P830" s="65"/>
      <c r="AH830" s="65"/>
    </row>
    <row r="831">
      <c r="N831" s="233"/>
      <c r="P831" s="65"/>
      <c r="AH831" s="65"/>
    </row>
    <row r="832">
      <c r="N832" s="233"/>
      <c r="P832" s="65"/>
      <c r="AH832" s="65"/>
    </row>
    <row r="833">
      <c r="N833" s="233"/>
      <c r="P833" s="65"/>
      <c r="AH833" s="65"/>
    </row>
    <row r="834">
      <c r="N834" s="233"/>
      <c r="P834" s="65"/>
      <c r="AH834" s="65"/>
    </row>
    <row r="835">
      <c r="N835" s="233"/>
      <c r="P835" s="65"/>
      <c r="AH835" s="65"/>
    </row>
    <row r="836">
      <c r="N836" s="233"/>
      <c r="P836" s="65"/>
      <c r="AH836" s="65"/>
    </row>
    <row r="837">
      <c r="N837" s="233"/>
      <c r="P837" s="65"/>
      <c r="AH837" s="65"/>
    </row>
    <row r="838">
      <c r="N838" s="233"/>
      <c r="P838" s="65"/>
      <c r="AH838" s="65"/>
    </row>
    <row r="839">
      <c r="N839" s="233"/>
      <c r="P839" s="65"/>
      <c r="AH839" s="65"/>
    </row>
    <row r="840">
      <c r="N840" s="233"/>
      <c r="P840" s="65"/>
      <c r="AH840" s="65"/>
    </row>
    <row r="841">
      <c r="N841" s="233"/>
      <c r="P841" s="65"/>
      <c r="AH841" s="65"/>
    </row>
    <row r="842">
      <c r="N842" s="233"/>
      <c r="P842" s="65"/>
      <c r="AH842" s="65"/>
    </row>
    <row r="843">
      <c r="N843" s="233"/>
      <c r="P843" s="65"/>
      <c r="AH843" s="65"/>
    </row>
    <row r="844">
      <c r="N844" s="233"/>
      <c r="P844" s="65"/>
      <c r="AH844" s="65"/>
    </row>
    <row r="845">
      <c r="N845" s="233"/>
      <c r="P845" s="65"/>
      <c r="AH845" s="65"/>
    </row>
    <row r="846">
      <c r="N846" s="233"/>
      <c r="P846" s="65"/>
      <c r="AH846" s="65"/>
    </row>
    <row r="847">
      <c r="N847" s="233"/>
      <c r="P847" s="65"/>
      <c r="AH847" s="65"/>
    </row>
    <row r="848">
      <c r="N848" s="233"/>
      <c r="P848" s="65"/>
      <c r="AH848" s="65"/>
    </row>
    <row r="849">
      <c r="N849" s="233"/>
      <c r="P849" s="65"/>
      <c r="AH849" s="65"/>
    </row>
    <row r="850">
      <c r="N850" s="233"/>
      <c r="P850" s="65"/>
      <c r="AH850" s="65"/>
    </row>
    <row r="851">
      <c r="N851" s="233"/>
      <c r="P851" s="65"/>
      <c r="AH851" s="65"/>
    </row>
    <row r="852">
      <c r="N852" s="233"/>
      <c r="P852" s="65"/>
      <c r="AH852" s="65"/>
    </row>
    <row r="853">
      <c r="N853" s="233"/>
      <c r="P853" s="65"/>
      <c r="AH853" s="65"/>
    </row>
    <row r="854">
      <c r="N854" s="233"/>
      <c r="P854" s="65"/>
      <c r="AH854" s="65"/>
    </row>
    <row r="855">
      <c r="N855" s="233"/>
      <c r="P855" s="65"/>
      <c r="AH855" s="65"/>
    </row>
    <row r="856">
      <c r="N856" s="233"/>
      <c r="P856" s="65"/>
      <c r="AH856" s="65"/>
    </row>
    <row r="857">
      <c r="N857" s="233"/>
      <c r="P857" s="65"/>
      <c r="AH857" s="65"/>
    </row>
    <row r="858">
      <c r="N858" s="233"/>
      <c r="P858" s="65"/>
      <c r="AH858" s="65"/>
    </row>
    <row r="859">
      <c r="N859" s="233"/>
      <c r="P859" s="65"/>
      <c r="AH859" s="65"/>
    </row>
    <row r="860">
      <c r="N860" s="233"/>
      <c r="P860" s="65"/>
      <c r="AH860" s="65"/>
    </row>
    <row r="861">
      <c r="N861" s="233"/>
      <c r="P861" s="65"/>
      <c r="AH861" s="65"/>
    </row>
    <row r="862">
      <c r="N862" s="233"/>
      <c r="P862" s="65"/>
      <c r="AH862" s="65"/>
    </row>
    <row r="863">
      <c r="N863" s="233"/>
      <c r="P863" s="65"/>
      <c r="AH863" s="65"/>
    </row>
    <row r="864">
      <c r="N864" s="233"/>
      <c r="P864" s="65"/>
      <c r="AH864" s="65"/>
    </row>
    <row r="865">
      <c r="N865" s="233"/>
      <c r="P865" s="65"/>
      <c r="AH865" s="65"/>
    </row>
    <row r="866">
      <c r="N866" s="233"/>
      <c r="P866" s="65"/>
      <c r="AH866" s="65"/>
    </row>
    <row r="867">
      <c r="N867" s="233"/>
      <c r="P867" s="65"/>
      <c r="AH867" s="65"/>
    </row>
    <row r="868">
      <c r="N868" s="233"/>
      <c r="P868" s="65"/>
      <c r="AH868" s="65"/>
    </row>
    <row r="869">
      <c r="N869" s="233"/>
      <c r="P869" s="65"/>
      <c r="AH869" s="65"/>
    </row>
    <row r="870">
      <c r="N870" s="233"/>
      <c r="P870" s="65"/>
      <c r="AH870" s="65"/>
    </row>
    <row r="871">
      <c r="N871" s="233"/>
      <c r="P871" s="65"/>
      <c r="AH871" s="65"/>
    </row>
    <row r="872">
      <c r="N872" s="233"/>
      <c r="P872" s="65"/>
      <c r="AH872" s="65"/>
    </row>
    <row r="873">
      <c r="N873" s="233"/>
      <c r="P873" s="65"/>
      <c r="AH873" s="65"/>
    </row>
    <row r="874">
      <c r="N874" s="233"/>
      <c r="P874" s="65"/>
      <c r="AH874" s="65"/>
    </row>
    <row r="875">
      <c r="N875" s="233"/>
      <c r="P875" s="65"/>
      <c r="AH875" s="65"/>
    </row>
    <row r="876">
      <c r="N876" s="233"/>
      <c r="P876" s="65"/>
      <c r="AH876" s="65"/>
    </row>
    <row r="877">
      <c r="N877" s="233"/>
      <c r="P877" s="65"/>
      <c r="AH877" s="65"/>
    </row>
    <row r="878">
      <c r="N878" s="233"/>
      <c r="P878" s="65"/>
      <c r="AH878" s="65"/>
    </row>
    <row r="879">
      <c r="N879" s="233"/>
      <c r="P879" s="65"/>
      <c r="AH879" s="65"/>
    </row>
    <row r="880">
      <c r="N880" s="233"/>
      <c r="P880" s="65"/>
      <c r="AH880" s="65"/>
    </row>
    <row r="881">
      <c r="N881" s="233"/>
      <c r="P881" s="65"/>
      <c r="AH881" s="65"/>
    </row>
    <row r="882">
      <c r="N882" s="233"/>
      <c r="P882" s="65"/>
      <c r="AH882" s="65"/>
    </row>
    <row r="883">
      <c r="N883" s="233"/>
      <c r="P883" s="65"/>
      <c r="AH883" s="65"/>
    </row>
    <row r="884">
      <c r="N884" s="233"/>
      <c r="P884" s="65"/>
      <c r="AH884" s="65"/>
    </row>
    <row r="885">
      <c r="N885" s="233"/>
      <c r="P885" s="65"/>
      <c r="AH885" s="65"/>
    </row>
    <row r="886">
      <c r="N886" s="233"/>
      <c r="P886" s="65"/>
      <c r="AH886" s="65"/>
    </row>
    <row r="887">
      <c r="N887" s="233"/>
      <c r="P887" s="65"/>
      <c r="AH887" s="65"/>
    </row>
    <row r="888">
      <c r="N888" s="233"/>
      <c r="P888" s="65"/>
      <c r="AH888" s="65"/>
    </row>
    <row r="889">
      <c r="N889" s="233"/>
      <c r="P889" s="65"/>
      <c r="AH889" s="65"/>
    </row>
    <row r="890">
      <c r="N890" s="233"/>
      <c r="P890" s="65"/>
      <c r="AH890" s="65"/>
    </row>
    <row r="891">
      <c r="N891" s="233"/>
      <c r="P891" s="65"/>
      <c r="AH891" s="65"/>
    </row>
    <row r="892">
      <c r="N892" s="233"/>
      <c r="P892" s="65"/>
      <c r="AH892" s="65"/>
    </row>
    <row r="893">
      <c r="N893" s="233"/>
      <c r="P893" s="65"/>
      <c r="AH893" s="65"/>
    </row>
    <row r="894">
      <c r="N894" s="233"/>
      <c r="P894" s="65"/>
      <c r="AH894" s="65"/>
    </row>
    <row r="895">
      <c r="N895" s="233"/>
      <c r="P895" s="65"/>
      <c r="AH895" s="65"/>
    </row>
    <row r="896">
      <c r="N896" s="233"/>
      <c r="P896" s="65"/>
      <c r="AH896" s="65"/>
    </row>
    <row r="897">
      <c r="N897" s="233"/>
      <c r="P897" s="65"/>
      <c r="AH897" s="65"/>
    </row>
    <row r="898">
      <c r="N898" s="233"/>
      <c r="P898" s="65"/>
      <c r="AH898" s="65"/>
    </row>
    <row r="899">
      <c r="N899" s="233"/>
      <c r="P899" s="65"/>
      <c r="AH899" s="65"/>
    </row>
    <row r="900">
      <c r="N900" s="233"/>
      <c r="P900" s="65"/>
      <c r="AH900" s="65"/>
    </row>
    <row r="901">
      <c r="N901" s="233"/>
      <c r="P901" s="65"/>
      <c r="AH901" s="65"/>
    </row>
    <row r="902">
      <c r="N902" s="233"/>
      <c r="P902" s="65"/>
      <c r="AH902" s="65"/>
    </row>
    <row r="903">
      <c r="N903" s="233"/>
      <c r="P903" s="65"/>
      <c r="AH903" s="65"/>
    </row>
    <row r="904">
      <c r="N904" s="233"/>
      <c r="P904" s="65"/>
      <c r="AH904" s="65"/>
    </row>
    <row r="905">
      <c r="N905" s="233"/>
      <c r="P905" s="65"/>
      <c r="AH905" s="65"/>
    </row>
    <row r="906">
      <c r="N906" s="233"/>
      <c r="P906" s="65"/>
      <c r="AH906" s="65"/>
    </row>
    <row r="907">
      <c r="N907" s="233"/>
      <c r="P907" s="65"/>
      <c r="AH907" s="65"/>
    </row>
    <row r="908">
      <c r="N908" s="233"/>
      <c r="P908" s="65"/>
      <c r="AH908" s="65"/>
    </row>
    <row r="909">
      <c r="N909" s="233"/>
      <c r="P909" s="65"/>
      <c r="AH909" s="65"/>
    </row>
    <row r="910">
      <c r="N910" s="233"/>
      <c r="P910" s="65"/>
      <c r="AH910" s="65"/>
    </row>
    <row r="911">
      <c r="N911" s="233"/>
      <c r="P911" s="65"/>
      <c r="AH911" s="65"/>
    </row>
    <row r="912">
      <c r="N912" s="233"/>
      <c r="P912" s="65"/>
      <c r="AH912" s="65"/>
    </row>
    <row r="913">
      <c r="N913" s="233"/>
      <c r="P913" s="65"/>
      <c r="AH913" s="65"/>
    </row>
    <row r="914">
      <c r="N914" s="233"/>
      <c r="P914" s="65"/>
      <c r="AH914" s="65"/>
    </row>
    <row r="915">
      <c r="N915" s="233"/>
      <c r="P915" s="65"/>
      <c r="AH915" s="65"/>
    </row>
    <row r="916">
      <c r="N916" s="233"/>
      <c r="P916" s="65"/>
      <c r="AH916" s="65"/>
    </row>
    <row r="917">
      <c r="N917" s="233"/>
      <c r="P917" s="65"/>
      <c r="AH917" s="65"/>
    </row>
    <row r="918">
      <c r="N918" s="233"/>
      <c r="P918" s="65"/>
      <c r="AH918" s="65"/>
    </row>
    <row r="919">
      <c r="N919" s="233"/>
      <c r="P919" s="65"/>
      <c r="AH919" s="65"/>
    </row>
    <row r="920">
      <c r="N920" s="233"/>
      <c r="P920" s="65"/>
      <c r="AH920" s="65"/>
    </row>
    <row r="921">
      <c r="N921" s="233"/>
      <c r="P921" s="65"/>
      <c r="AH921" s="65"/>
    </row>
    <row r="922">
      <c r="N922" s="233"/>
      <c r="P922" s="65"/>
      <c r="AH922" s="65"/>
    </row>
    <row r="923">
      <c r="N923" s="233"/>
      <c r="P923" s="65"/>
      <c r="AH923" s="65"/>
    </row>
    <row r="924">
      <c r="N924" s="233"/>
      <c r="P924" s="65"/>
      <c r="AH924" s="65"/>
    </row>
    <row r="925">
      <c r="N925" s="233"/>
      <c r="P925" s="65"/>
      <c r="AH925" s="65"/>
    </row>
    <row r="926">
      <c r="N926" s="233"/>
      <c r="P926" s="65"/>
      <c r="AH926" s="65"/>
    </row>
    <row r="927">
      <c r="N927" s="233"/>
      <c r="P927" s="65"/>
      <c r="AH927" s="65"/>
    </row>
    <row r="928">
      <c r="N928" s="233"/>
      <c r="P928" s="65"/>
      <c r="AH928" s="65"/>
    </row>
    <row r="929">
      <c r="N929" s="233"/>
      <c r="P929" s="65"/>
      <c r="AH929" s="65"/>
    </row>
    <row r="930">
      <c r="N930" s="233"/>
      <c r="P930" s="65"/>
      <c r="AH930" s="65"/>
    </row>
    <row r="931">
      <c r="N931" s="233"/>
      <c r="P931" s="65"/>
      <c r="AH931" s="65"/>
    </row>
    <row r="932">
      <c r="N932" s="233"/>
      <c r="P932" s="65"/>
      <c r="AH932" s="65"/>
    </row>
    <row r="933">
      <c r="N933" s="233"/>
      <c r="P933" s="65"/>
      <c r="AH933" s="65"/>
    </row>
    <row r="934">
      <c r="N934" s="233"/>
      <c r="P934" s="65"/>
      <c r="AH934" s="65"/>
    </row>
    <row r="935">
      <c r="N935" s="233"/>
      <c r="P935" s="65"/>
      <c r="AH935" s="65"/>
    </row>
    <row r="936">
      <c r="N936" s="233"/>
      <c r="P936" s="65"/>
      <c r="AH936" s="65"/>
    </row>
    <row r="937">
      <c r="N937" s="233"/>
      <c r="P937" s="65"/>
      <c r="AH937" s="65"/>
    </row>
    <row r="938">
      <c r="N938" s="233"/>
      <c r="P938" s="65"/>
      <c r="AH938" s="65"/>
    </row>
    <row r="939">
      <c r="N939" s="233"/>
      <c r="P939" s="65"/>
      <c r="AH939" s="65"/>
    </row>
    <row r="940">
      <c r="N940" s="233"/>
      <c r="P940" s="65"/>
      <c r="AH940" s="65"/>
    </row>
    <row r="941">
      <c r="N941" s="233"/>
      <c r="P941" s="65"/>
      <c r="AH941" s="65"/>
    </row>
    <row r="942">
      <c r="N942" s="233"/>
      <c r="P942" s="65"/>
      <c r="AH942" s="65"/>
    </row>
    <row r="943">
      <c r="N943" s="233"/>
      <c r="P943" s="65"/>
      <c r="AH943" s="65"/>
    </row>
    <row r="944">
      <c r="N944" s="233"/>
      <c r="P944" s="65"/>
      <c r="AH944" s="65"/>
    </row>
    <row r="945">
      <c r="N945" s="233"/>
      <c r="P945" s="65"/>
      <c r="AH945" s="65"/>
    </row>
    <row r="946">
      <c r="N946" s="233"/>
      <c r="P946" s="65"/>
      <c r="AH946" s="65"/>
    </row>
    <row r="947">
      <c r="N947" s="233"/>
      <c r="P947" s="65"/>
      <c r="AH947" s="65"/>
    </row>
    <row r="948">
      <c r="N948" s="233"/>
      <c r="P948" s="65"/>
      <c r="AH948" s="65"/>
    </row>
    <row r="949">
      <c r="N949" s="233"/>
      <c r="P949" s="65"/>
      <c r="AH949" s="65"/>
    </row>
    <row r="950">
      <c r="N950" s="233"/>
      <c r="P950" s="65"/>
      <c r="AH950" s="65"/>
    </row>
    <row r="951">
      <c r="N951" s="233"/>
      <c r="P951" s="65"/>
      <c r="AH951" s="65"/>
    </row>
    <row r="952">
      <c r="N952" s="233"/>
      <c r="P952" s="65"/>
      <c r="AH952" s="65"/>
    </row>
    <row r="953">
      <c r="N953" s="233"/>
      <c r="P953" s="65"/>
      <c r="AH953" s="65"/>
    </row>
    <row r="954">
      <c r="N954" s="233"/>
      <c r="P954" s="65"/>
      <c r="AH954" s="65"/>
    </row>
    <row r="955">
      <c r="N955" s="233"/>
      <c r="P955" s="65"/>
      <c r="AH955" s="65"/>
    </row>
    <row r="956">
      <c r="N956" s="233"/>
      <c r="P956" s="65"/>
      <c r="AH956" s="65"/>
    </row>
    <row r="957">
      <c r="N957" s="233"/>
      <c r="P957" s="65"/>
      <c r="AH957" s="65"/>
    </row>
    <row r="958">
      <c r="N958" s="233"/>
      <c r="P958" s="65"/>
      <c r="AH958" s="65"/>
    </row>
    <row r="959">
      <c r="N959" s="233"/>
      <c r="P959" s="65"/>
      <c r="AH959" s="65"/>
    </row>
    <row r="960">
      <c r="N960" s="233"/>
      <c r="P960" s="65"/>
      <c r="AH960" s="65"/>
    </row>
    <row r="961">
      <c r="N961" s="233"/>
      <c r="P961" s="65"/>
      <c r="AH961" s="65"/>
    </row>
    <row r="962">
      <c r="N962" s="233"/>
      <c r="P962" s="65"/>
      <c r="AH962" s="65"/>
    </row>
    <row r="963">
      <c r="N963" s="233"/>
      <c r="P963" s="65"/>
      <c r="AH963" s="65"/>
    </row>
    <row r="964">
      <c r="N964" s="233"/>
      <c r="P964" s="65"/>
      <c r="AH964" s="65"/>
    </row>
    <row r="965">
      <c r="N965" s="233"/>
      <c r="P965" s="65"/>
      <c r="AH965" s="65"/>
    </row>
    <row r="966">
      <c r="N966" s="233"/>
      <c r="P966" s="65"/>
      <c r="AH966" s="65"/>
    </row>
    <row r="967">
      <c r="N967" s="233"/>
      <c r="P967" s="65"/>
      <c r="AH967" s="65"/>
    </row>
    <row r="968">
      <c r="N968" s="233"/>
      <c r="P968" s="65"/>
      <c r="AH968" s="65"/>
    </row>
    <row r="969">
      <c r="N969" s="233"/>
      <c r="P969" s="65"/>
      <c r="AH969" s="65"/>
    </row>
    <row r="970">
      <c r="N970" s="233"/>
      <c r="P970" s="65"/>
      <c r="AH970" s="65"/>
    </row>
    <row r="971">
      <c r="N971" s="233"/>
      <c r="P971" s="65"/>
      <c r="AH971" s="65"/>
    </row>
    <row r="972">
      <c r="N972" s="233"/>
      <c r="P972" s="65"/>
      <c r="AH972" s="65"/>
    </row>
    <row r="973">
      <c r="N973" s="233"/>
      <c r="P973" s="65"/>
      <c r="AH973" s="65"/>
    </row>
    <row r="974">
      <c r="N974" s="233"/>
      <c r="P974" s="65"/>
      <c r="AH974" s="65"/>
    </row>
    <row r="975">
      <c r="N975" s="233"/>
      <c r="P975" s="65"/>
      <c r="AH975" s="65"/>
    </row>
    <row r="976">
      <c r="N976" s="233"/>
      <c r="P976" s="65"/>
      <c r="AH976" s="65"/>
    </row>
    <row r="977">
      <c r="N977" s="233"/>
      <c r="P977" s="65"/>
      <c r="AH977" s="65"/>
    </row>
    <row r="978">
      <c r="N978" s="233"/>
      <c r="P978" s="65"/>
      <c r="AH978" s="65"/>
    </row>
    <row r="979">
      <c r="N979" s="233"/>
      <c r="P979" s="65"/>
      <c r="AH979" s="65"/>
    </row>
    <row r="980">
      <c r="N980" s="233"/>
      <c r="P980" s="65"/>
      <c r="AH980" s="65"/>
    </row>
    <row r="981">
      <c r="N981" s="233"/>
      <c r="P981" s="65"/>
      <c r="AH981" s="65"/>
    </row>
    <row r="982">
      <c r="N982" s="233"/>
      <c r="P982" s="65"/>
      <c r="AH982" s="65"/>
    </row>
    <row r="983">
      <c r="N983" s="233"/>
      <c r="P983" s="65"/>
      <c r="AH983" s="65"/>
    </row>
    <row r="984">
      <c r="N984" s="233"/>
      <c r="P984" s="65"/>
      <c r="AH984" s="65"/>
    </row>
    <row r="985">
      <c r="N985" s="233"/>
      <c r="P985" s="65"/>
      <c r="AH985" s="65"/>
    </row>
    <row r="986">
      <c r="N986" s="233"/>
      <c r="P986" s="65"/>
      <c r="AH986" s="65"/>
    </row>
    <row r="987">
      <c r="N987" s="233"/>
      <c r="P987" s="65"/>
      <c r="AH987" s="65"/>
    </row>
    <row r="988">
      <c r="N988" s="233"/>
      <c r="P988" s="65"/>
      <c r="AH988" s="65"/>
    </row>
    <row r="989">
      <c r="N989" s="233"/>
      <c r="P989" s="65"/>
      <c r="AH989" s="65"/>
    </row>
    <row r="990">
      <c r="N990" s="233"/>
      <c r="P990" s="65"/>
      <c r="AH990" s="65"/>
    </row>
    <row r="991">
      <c r="N991" s="233"/>
      <c r="P991" s="65"/>
      <c r="AH991" s="65"/>
    </row>
    <row r="992">
      <c r="N992" s="233"/>
      <c r="P992" s="65"/>
      <c r="AH992" s="65"/>
    </row>
    <row r="993">
      <c r="N993" s="233"/>
      <c r="P993" s="65"/>
      <c r="AH993" s="65"/>
    </row>
    <row r="994">
      <c r="N994" s="233"/>
      <c r="P994" s="65"/>
      <c r="AH994" s="65"/>
    </row>
    <row r="995">
      <c r="N995" s="233"/>
      <c r="P995" s="65"/>
      <c r="AH995" s="65"/>
    </row>
    <row r="996">
      <c r="N996" s="233"/>
      <c r="P996" s="65"/>
      <c r="AH996" s="65"/>
    </row>
    <row r="997">
      <c r="N997" s="233"/>
      <c r="P997" s="65"/>
      <c r="AH997" s="65"/>
    </row>
    <row r="998">
      <c r="N998" s="233"/>
      <c r="P998" s="65"/>
      <c r="AH998" s="65"/>
    </row>
    <row r="999">
      <c r="N999" s="233"/>
      <c r="P999" s="65"/>
      <c r="AH999" s="65"/>
    </row>
    <row r="1000">
      <c r="N1000" s="233"/>
      <c r="P1000" s="65"/>
      <c r="AH1000" s="65"/>
    </row>
    <row r="1001">
      <c r="N1001" s="233"/>
      <c r="P1001" s="65"/>
      <c r="AH1001" s="65"/>
    </row>
    <row r="1002">
      <c r="N1002" s="233"/>
      <c r="P1002" s="65"/>
      <c r="AH1002" s="65"/>
    </row>
    <row r="1003">
      <c r="N1003" s="233"/>
      <c r="P1003" s="65"/>
      <c r="AH1003" s="65"/>
    </row>
    <row r="1004">
      <c r="N1004" s="233"/>
      <c r="P1004" s="65"/>
      <c r="AH1004" s="65"/>
    </row>
    <row r="1005">
      <c r="N1005" s="233"/>
      <c r="P1005" s="65"/>
      <c r="AH1005" s="65"/>
    </row>
    <row r="1006">
      <c r="N1006" s="233"/>
      <c r="P1006" s="65"/>
      <c r="AH1006" s="65"/>
    </row>
    <row r="1007">
      <c r="N1007" s="233"/>
      <c r="P1007" s="65"/>
      <c r="AH1007" s="65"/>
    </row>
    <row r="1008">
      <c r="N1008" s="233"/>
      <c r="P1008" s="65"/>
      <c r="AH1008" s="65"/>
    </row>
  </sheetData>
  <mergeCells count="9">
    <mergeCell ref="A46:A65"/>
    <mergeCell ref="A67:A84"/>
    <mergeCell ref="A1:A2"/>
    <mergeCell ref="B1:B2"/>
    <mergeCell ref="C1:C2"/>
    <mergeCell ref="D1:D2"/>
    <mergeCell ref="A3:A4"/>
    <mergeCell ref="A5:A28"/>
    <mergeCell ref="A29:A45"/>
  </mergeCells>
  <conditionalFormatting sqref="D3:D84">
    <cfRule type="cellIs" dxfId="4" priority="1" operator="between">
      <formula>"08:00:00"</formula>
      <formula>"07:00:00"</formula>
    </cfRule>
  </conditionalFormatting>
  <conditionalFormatting sqref="D3:D84">
    <cfRule type="cellIs" dxfId="5" priority="2" operator="between">
      <formula>"07:00:00"</formula>
      <formula>"00:00:01"</formula>
    </cfRule>
  </conditionalFormatting>
  <conditionalFormatting sqref="D3:D84">
    <cfRule type="containsText" dxfId="6" priority="3" operator="containsText" text="Leave">
      <formula>NOT(ISERROR(SEARCH(("Leave"),(D3))))</formula>
    </cfRule>
  </conditionalFormatting>
  <conditionalFormatting sqref="E3:AH84">
    <cfRule type="notContainsText" dxfId="8" priority="4" operator="notContains" text="0">
      <formula>ISERROR(SEARCH(("0"),(E3)))</formula>
    </cfRule>
  </conditionalFormatting>
  <conditionalFormatting sqref="D3:AH84">
    <cfRule type="cellIs" dxfId="2" priority="5" operator="greaterThanOrEqual">
      <formula>"08:45:00"</formula>
    </cfRule>
  </conditionalFormatting>
  <conditionalFormatting sqref="D3:AH84">
    <cfRule type="cellIs" dxfId="3" priority="6" operator="between">
      <formula>"08:44:00"</formula>
      <formula>"08:00:00"</formula>
    </cfRule>
  </conditionalFormatting>
  <conditionalFormatting sqref="E3:AH84">
    <cfRule type="cellIs" dxfId="9" priority="7" operator="between">
      <formula>"07:59:00"</formula>
      <formula>"07:00:00"</formula>
    </cfRule>
  </conditionalFormatting>
  <conditionalFormatting sqref="E3:AH84">
    <cfRule type="cellIs" dxfId="5" priority="8" operator="between">
      <formula>"06:59:00"</formula>
      <formula>"00:00:01"</formula>
    </cfRule>
  </conditionalFormatting>
  <conditionalFormatting sqref="E3:AH84">
    <cfRule type="notContainsBlanks" dxfId="10" priority="9">
      <formula>LEN(TRIM(E3))&gt;0</formula>
    </cfRule>
  </conditionalFormatting>
  <conditionalFormatting sqref="E3:AH84">
    <cfRule type="containsText" dxfId="11" priority="10" operator="containsText" text="Leave">
      <formula>NOT(ISERROR(SEARCH(("Leave"),(E3))))</formula>
    </cfRule>
  </conditionalFormatting>
  <conditionalFormatting sqref="D3:AH84">
    <cfRule type="notContainsBlanks" dxfId="7" priority="11">
      <formula>LEN(TRIM(D3))&gt;0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5"/>
    <col customWidth="1" min="2" max="2" width="23.13"/>
    <col customWidth="1" min="3" max="3" width="17.88"/>
  </cols>
  <sheetData>
    <row r="1">
      <c r="A1" s="67"/>
      <c r="B1" s="68"/>
      <c r="C1" s="69" t="s">
        <v>415</v>
      </c>
      <c r="D1" s="68"/>
      <c r="E1" s="68"/>
      <c r="F1" s="68"/>
      <c r="G1" s="68"/>
      <c r="H1" s="68"/>
      <c r="I1" s="68"/>
      <c r="J1" s="68"/>
      <c r="K1" s="70"/>
    </row>
    <row r="2">
      <c r="A2" s="173" t="s">
        <v>290</v>
      </c>
      <c r="B2" s="173" t="s">
        <v>2</v>
      </c>
      <c r="C2" s="173" t="s">
        <v>291</v>
      </c>
      <c r="D2" s="173" t="s">
        <v>292</v>
      </c>
      <c r="E2" s="175" t="s">
        <v>293</v>
      </c>
      <c r="F2" s="173" t="s">
        <v>294</v>
      </c>
      <c r="G2" s="175" t="s">
        <v>416</v>
      </c>
      <c r="H2" s="175" t="s">
        <v>417</v>
      </c>
      <c r="I2" s="175" t="s">
        <v>418</v>
      </c>
      <c r="J2" s="173" t="s">
        <v>298</v>
      </c>
      <c r="K2" s="175" t="s">
        <v>419</v>
      </c>
    </row>
    <row r="3">
      <c r="A3" s="114">
        <v>1.0</v>
      </c>
      <c r="B3" s="91" t="s">
        <v>222</v>
      </c>
      <c r="C3" s="80" t="s">
        <v>301</v>
      </c>
      <c r="D3" s="80">
        <v>22.0</v>
      </c>
      <c r="E3" s="82">
        <f t="shared" ref="E3:E82" si="1">D3-K3</f>
        <v>22</v>
      </c>
      <c r="F3" s="80">
        <v>8.0</v>
      </c>
      <c r="G3" s="180">
        <v>8.0</v>
      </c>
      <c r="H3" s="235">
        <v>8.25</v>
      </c>
      <c r="I3" s="95">
        <v>9.51527777777778</v>
      </c>
      <c r="J3" s="88">
        <f t="shared" ref="J3:J82" si="2">I3-H3</f>
        <v>1.265277778</v>
      </c>
      <c r="K3" s="82">
        <v>0.0</v>
      </c>
      <c r="N3" s="236"/>
    </row>
    <row r="4">
      <c r="A4" s="114">
        <v>2.0</v>
      </c>
      <c r="B4" s="232" t="s">
        <v>41</v>
      </c>
      <c r="C4" s="80" t="s">
        <v>301</v>
      </c>
      <c r="D4" s="80">
        <v>22.0</v>
      </c>
      <c r="E4" s="82">
        <f t="shared" si="1"/>
        <v>20</v>
      </c>
      <c r="F4" s="114">
        <v>8.0</v>
      </c>
      <c r="G4" s="114">
        <v>7.0</v>
      </c>
      <c r="H4" s="237">
        <v>7.5</v>
      </c>
      <c r="I4" s="238">
        <v>7.488888888888889</v>
      </c>
      <c r="J4" s="88">
        <f t="shared" si="2"/>
        <v>-0.01111111111</v>
      </c>
      <c r="K4" s="82">
        <v>2.0</v>
      </c>
      <c r="N4" s="236"/>
      <c r="O4" s="236"/>
    </row>
    <row r="5">
      <c r="A5" s="114">
        <v>3.0</v>
      </c>
      <c r="B5" s="232" t="s">
        <v>234</v>
      </c>
      <c r="C5" s="80" t="s">
        <v>301</v>
      </c>
      <c r="D5" s="80">
        <v>22.0</v>
      </c>
      <c r="E5" s="82">
        <f t="shared" si="1"/>
        <v>21</v>
      </c>
      <c r="F5" s="114">
        <v>8.0</v>
      </c>
      <c r="G5" s="114">
        <v>7.0</v>
      </c>
      <c r="H5" s="237">
        <v>7.875</v>
      </c>
      <c r="I5" s="238">
        <v>7.457638888888889</v>
      </c>
      <c r="J5" s="88">
        <f t="shared" si="2"/>
        <v>-0.4173611111</v>
      </c>
      <c r="K5" s="82">
        <v>1.0</v>
      </c>
      <c r="N5" s="236"/>
    </row>
    <row r="6">
      <c r="A6" s="114">
        <v>4.0</v>
      </c>
      <c r="B6" s="232" t="s">
        <v>201</v>
      </c>
      <c r="C6" s="80" t="s">
        <v>300</v>
      </c>
      <c r="D6" s="80">
        <v>22.0</v>
      </c>
      <c r="E6" s="82">
        <f t="shared" si="1"/>
        <v>21</v>
      </c>
      <c r="F6" s="114">
        <v>4.0</v>
      </c>
      <c r="G6" s="114">
        <v>3.0</v>
      </c>
      <c r="H6" s="237">
        <v>7.875</v>
      </c>
      <c r="I6" s="238">
        <v>8.13125</v>
      </c>
      <c r="J6" s="88">
        <f t="shared" si="2"/>
        <v>0.25625</v>
      </c>
      <c r="K6" s="82">
        <v>1.0</v>
      </c>
      <c r="N6" s="236"/>
    </row>
    <row r="7">
      <c r="A7" s="114">
        <v>5.0</v>
      </c>
      <c r="B7" s="232" t="s">
        <v>246</v>
      </c>
      <c r="C7" s="80" t="s">
        <v>300</v>
      </c>
      <c r="D7" s="80">
        <v>22.0</v>
      </c>
      <c r="E7" s="82">
        <f t="shared" si="1"/>
        <v>20</v>
      </c>
      <c r="F7" s="114">
        <v>13.0</v>
      </c>
      <c r="G7" s="114">
        <v>13.0</v>
      </c>
      <c r="H7" s="237">
        <v>7.5</v>
      </c>
      <c r="I7" s="238">
        <v>8.532638888888888</v>
      </c>
      <c r="J7" s="88">
        <f t="shared" si="2"/>
        <v>1.032638889</v>
      </c>
      <c r="K7" s="82">
        <v>2.0</v>
      </c>
      <c r="N7" s="236"/>
      <c r="O7" s="236"/>
    </row>
    <row r="8">
      <c r="A8" s="114">
        <v>6.0</v>
      </c>
      <c r="B8" s="232" t="s">
        <v>231</v>
      </c>
      <c r="C8" s="80" t="s">
        <v>303</v>
      </c>
      <c r="D8" s="80">
        <v>22.0</v>
      </c>
      <c r="E8" s="82">
        <f t="shared" si="1"/>
        <v>20.5</v>
      </c>
      <c r="F8" s="114">
        <v>9.0</v>
      </c>
      <c r="G8" s="114">
        <v>9.0</v>
      </c>
      <c r="H8" s="237">
        <v>7.6875</v>
      </c>
      <c r="I8" s="238">
        <v>7.752777777777778</v>
      </c>
      <c r="J8" s="88">
        <f t="shared" si="2"/>
        <v>0.06527777778</v>
      </c>
      <c r="K8" s="82">
        <v>1.5</v>
      </c>
      <c r="N8" s="236"/>
    </row>
    <row r="9">
      <c r="A9" s="114">
        <v>7.0</v>
      </c>
      <c r="B9" s="232" t="s">
        <v>147</v>
      </c>
      <c r="C9" s="80" t="s">
        <v>303</v>
      </c>
      <c r="D9" s="80">
        <v>22.0</v>
      </c>
      <c r="E9" s="82">
        <f t="shared" si="1"/>
        <v>18</v>
      </c>
      <c r="F9" s="114">
        <v>0.0</v>
      </c>
      <c r="G9" s="114">
        <v>0.0</v>
      </c>
      <c r="H9" s="237">
        <v>6.75</v>
      </c>
      <c r="I9" s="238">
        <v>7.281944444444443</v>
      </c>
      <c r="J9" s="88">
        <f t="shared" si="2"/>
        <v>0.5319444444</v>
      </c>
      <c r="K9" s="82">
        <v>4.0</v>
      </c>
      <c r="N9" s="236"/>
    </row>
    <row r="10">
      <c r="A10" s="114">
        <v>8.0</v>
      </c>
      <c r="B10" s="232" t="s">
        <v>177</v>
      </c>
      <c r="C10" s="80" t="s">
        <v>303</v>
      </c>
      <c r="D10" s="80">
        <v>22.0</v>
      </c>
      <c r="E10" s="82">
        <f t="shared" si="1"/>
        <v>20</v>
      </c>
      <c r="F10" s="114">
        <v>4.0</v>
      </c>
      <c r="G10" s="114">
        <v>4.0</v>
      </c>
      <c r="H10" s="237">
        <v>7.5</v>
      </c>
      <c r="I10" s="237">
        <v>7.479166666666667</v>
      </c>
      <c r="J10" s="88">
        <f t="shared" si="2"/>
        <v>-0.02083333333</v>
      </c>
      <c r="K10" s="82">
        <v>2.0</v>
      </c>
      <c r="N10" s="236"/>
    </row>
    <row r="11">
      <c r="A11" s="114">
        <v>9.0</v>
      </c>
      <c r="B11" s="232" t="s">
        <v>216</v>
      </c>
      <c r="C11" s="80" t="s">
        <v>300</v>
      </c>
      <c r="D11" s="80">
        <v>22.0</v>
      </c>
      <c r="E11" s="82">
        <f t="shared" si="1"/>
        <v>19</v>
      </c>
      <c r="F11" s="114">
        <v>17.0</v>
      </c>
      <c r="G11" s="114">
        <v>17.0</v>
      </c>
      <c r="H11" s="237">
        <v>7.125</v>
      </c>
      <c r="I11" s="238">
        <v>7.372916666666667</v>
      </c>
      <c r="J11" s="88">
        <f t="shared" si="2"/>
        <v>0.2479166667</v>
      </c>
      <c r="K11" s="82">
        <v>3.0</v>
      </c>
      <c r="N11" s="236"/>
    </row>
    <row r="12">
      <c r="A12" s="114">
        <v>10.0</v>
      </c>
      <c r="B12" s="232" t="s">
        <v>385</v>
      </c>
      <c r="C12" s="80" t="s">
        <v>303</v>
      </c>
      <c r="D12" s="80">
        <v>22.0</v>
      </c>
      <c r="E12" s="82">
        <f t="shared" si="1"/>
        <v>19</v>
      </c>
      <c r="F12" s="114">
        <v>4.0</v>
      </c>
      <c r="G12" s="114">
        <v>6.0</v>
      </c>
      <c r="H12" s="237">
        <v>7.125</v>
      </c>
      <c r="I12" s="238">
        <v>7.363888888888889</v>
      </c>
      <c r="J12" s="88">
        <f t="shared" si="2"/>
        <v>0.2388888889</v>
      </c>
      <c r="K12" s="82">
        <v>3.0</v>
      </c>
      <c r="N12" s="236"/>
    </row>
    <row r="13">
      <c r="A13" s="114">
        <v>11.0</v>
      </c>
      <c r="B13" s="232" t="s">
        <v>386</v>
      </c>
      <c r="C13" s="80" t="s">
        <v>303</v>
      </c>
      <c r="D13" s="80">
        <v>22.0</v>
      </c>
      <c r="E13" s="82">
        <f t="shared" si="1"/>
        <v>19</v>
      </c>
      <c r="F13" s="114">
        <v>4.0</v>
      </c>
      <c r="G13" s="114">
        <v>5.0</v>
      </c>
      <c r="H13" s="237">
        <v>7.125</v>
      </c>
      <c r="I13" s="238">
        <v>7.865277777777777</v>
      </c>
      <c r="J13" s="88">
        <f t="shared" si="2"/>
        <v>0.7402777778</v>
      </c>
      <c r="K13" s="82">
        <v>3.0</v>
      </c>
      <c r="N13" s="236"/>
    </row>
    <row r="14">
      <c r="A14" s="114">
        <v>12.0</v>
      </c>
      <c r="B14" s="232" t="s">
        <v>387</v>
      </c>
      <c r="C14" s="80" t="s">
        <v>304</v>
      </c>
      <c r="D14" s="80">
        <v>22.0</v>
      </c>
      <c r="E14" s="82">
        <f t="shared" si="1"/>
        <v>21</v>
      </c>
      <c r="F14" s="114">
        <v>4.0</v>
      </c>
      <c r="G14" s="114">
        <v>3.0</v>
      </c>
      <c r="H14" s="237">
        <v>7.875</v>
      </c>
      <c r="I14" s="238">
        <v>8.850000000000001</v>
      </c>
      <c r="J14" s="88">
        <f t="shared" si="2"/>
        <v>0.975</v>
      </c>
      <c r="K14" s="82">
        <v>1.0</v>
      </c>
      <c r="N14" s="236"/>
    </row>
    <row r="15">
      <c r="A15" s="114">
        <v>13.0</v>
      </c>
      <c r="B15" s="239" t="s">
        <v>400</v>
      </c>
      <c r="C15" s="80" t="s">
        <v>303</v>
      </c>
      <c r="D15" s="80">
        <v>22.0</v>
      </c>
      <c r="E15" s="82">
        <f t="shared" si="1"/>
        <v>19</v>
      </c>
      <c r="F15" s="114">
        <v>4.0</v>
      </c>
      <c r="G15" s="114">
        <v>4.0</v>
      </c>
      <c r="H15" s="237">
        <v>7.125</v>
      </c>
      <c r="I15" s="238">
        <v>8.436111111111112</v>
      </c>
      <c r="J15" s="88">
        <f t="shared" si="2"/>
        <v>1.311111111</v>
      </c>
      <c r="K15" s="82">
        <v>3.0</v>
      </c>
    </row>
    <row r="16">
      <c r="A16" s="114">
        <v>14.0</v>
      </c>
      <c r="B16" s="232" t="s">
        <v>389</v>
      </c>
      <c r="C16" s="80" t="s">
        <v>305</v>
      </c>
      <c r="D16" s="80">
        <v>22.0</v>
      </c>
      <c r="E16" s="82">
        <f t="shared" si="1"/>
        <v>19.5</v>
      </c>
      <c r="F16" s="114">
        <v>4.0</v>
      </c>
      <c r="G16" s="114">
        <v>3.0</v>
      </c>
      <c r="H16" s="237">
        <v>7.3125</v>
      </c>
      <c r="I16" s="238">
        <v>8.589583333333334</v>
      </c>
      <c r="J16" s="88">
        <f t="shared" si="2"/>
        <v>1.277083333</v>
      </c>
      <c r="K16" s="82">
        <v>2.5</v>
      </c>
      <c r="N16" s="240"/>
    </row>
    <row r="17">
      <c r="A17" s="114">
        <v>15.0</v>
      </c>
      <c r="B17" s="232" t="s">
        <v>390</v>
      </c>
      <c r="C17" s="80" t="s">
        <v>303</v>
      </c>
      <c r="D17" s="80">
        <v>22.0</v>
      </c>
      <c r="E17" s="82">
        <f t="shared" si="1"/>
        <v>20</v>
      </c>
      <c r="F17" s="114">
        <v>0.0</v>
      </c>
      <c r="G17" s="114">
        <v>1.0</v>
      </c>
      <c r="H17" s="237">
        <v>7.5</v>
      </c>
      <c r="I17" s="238">
        <v>7.281944444444443</v>
      </c>
      <c r="J17" s="88">
        <f t="shared" si="2"/>
        <v>-0.2180555556</v>
      </c>
      <c r="K17" s="82">
        <v>2.0</v>
      </c>
      <c r="N17" s="241"/>
      <c r="O17" s="242"/>
    </row>
    <row r="18">
      <c r="A18" s="114">
        <v>16.0</v>
      </c>
      <c r="B18" s="232" t="s">
        <v>391</v>
      </c>
      <c r="C18" s="80" t="s">
        <v>303</v>
      </c>
      <c r="D18" s="80">
        <v>22.0</v>
      </c>
      <c r="E18" s="82">
        <f t="shared" si="1"/>
        <v>22</v>
      </c>
      <c r="F18" s="114">
        <v>0.0</v>
      </c>
      <c r="G18" s="114">
        <v>0.0</v>
      </c>
      <c r="H18" s="237">
        <v>8.25</v>
      </c>
      <c r="I18" s="238">
        <v>9.585416666666667</v>
      </c>
      <c r="J18" s="88">
        <f t="shared" si="2"/>
        <v>1.335416667</v>
      </c>
      <c r="K18" s="82">
        <v>0.0</v>
      </c>
      <c r="N18" s="241"/>
    </row>
    <row r="19">
      <c r="A19" s="114">
        <v>17.0</v>
      </c>
      <c r="B19" s="232" t="s">
        <v>392</v>
      </c>
      <c r="C19" s="80" t="s">
        <v>303</v>
      </c>
      <c r="D19" s="80">
        <v>22.0</v>
      </c>
      <c r="E19" s="82">
        <f t="shared" si="1"/>
        <v>19</v>
      </c>
      <c r="F19" s="114">
        <v>0.0</v>
      </c>
      <c r="G19" s="114">
        <v>0.0</v>
      </c>
      <c r="H19" s="237">
        <v>7.125</v>
      </c>
      <c r="I19" s="238">
        <v>6.116666666666666</v>
      </c>
      <c r="J19" s="88">
        <f t="shared" si="2"/>
        <v>-1.008333333</v>
      </c>
      <c r="K19" s="82">
        <v>3.0</v>
      </c>
      <c r="N19" s="241"/>
    </row>
    <row r="20">
      <c r="A20" s="114">
        <v>18.0</v>
      </c>
      <c r="B20" s="232" t="s">
        <v>150</v>
      </c>
      <c r="C20" s="80" t="s">
        <v>300</v>
      </c>
      <c r="D20" s="80">
        <v>22.0</v>
      </c>
      <c r="E20" s="82">
        <f t="shared" si="1"/>
        <v>20</v>
      </c>
      <c r="F20" s="114">
        <v>12.0</v>
      </c>
      <c r="G20" s="114">
        <v>4.0</v>
      </c>
      <c r="H20" s="237">
        <v>7.5</v>
      </c>
      <c r="I20" s="238">
        <v>7.536111111111111</v>
      </c>
      <c r="J20" s="88">
        <f t="shared" si="2"/>
        <v>0.03611111111</v>
      </c>
      <c r="K20" s="82">
        <v>2.0</v>
      </c>
      <c r="N20" s="241"/>
    </row>
    <row r="21">
      <c r="A21" s="114">
        <v>19.0</v>
      </c>
      <c r="B21" s="239" t="s">
        <v>403</v>
      </c>
      <c r="C21" s="80" t="s">
        <v>303</v>
      </c>
      <c r="D21" s="80">
        <v>22.0</v>
      </c>
      <c r="E21" s="82">
        <f t="shared" si="1"/>
        <v>21</v>
      </c>
      <c r="F21" s="114">
        <v>0.0</v>
      </c>
      <c r="G21" s="114">
        <v>2.0</v>
      </c>
      <c r="H21" s="237">
        <v>7.875</v>
      </c>
      <c r="I21" s="238">
        <v>7.697916666666669</v>
      </c>
      <c r="J21" s="88">
        <f t="shared" si="2"/>
        <v>-0.1770833333</v>
      </c>
      <c r="K21" s="82">
        <v>1.0</v>
      </c>
      <c r="N21" s="241"/>
    </row>
    <row r="22">
      <c r="A22" s="114">
        <v>20.0</v>
      </c>
      <c r="B22" s="239" t="s">
        <v>404</v>
      </c>
      <c r="C22" s="80" t="s">
        <v>301</v>
      </c>
      <c r="D22" s="80">
        <v>7.0</v>
      </c>
      <c r="E22" s="82">
        <f t="shared" si="1"/>
        <v>7</v>
      </c>
      <c r="F22" s="114">
        <v>0.0</v>
      </c>
      <c r="G22" s="114">
        <v>0.0</v>
      </c>
      <c r="H22" s="237">
        <v>2.625</v>
      </c>
      <c r="I22" s="238">
        <v>2.46875</v>
      </c>
      <c r="J22" s="88">
        <f t="shared" si="2"/>
        <v>-0.15625</v>
      </c>
      <c r="K22" s="82">
        <v>0.0</v>
      </c>
      <c r="N22" s="241"/>
    </row>
    <row r="23">
      <c r="A23" s="114">
        <v>21.0</v>
      </c>
      <c r="B23" s="239" t="s">
        <v>405</v>
      </c>
      <c r="C23" s="80" t="s">
        <v>303</v>
      </c>
      <c r="D23" s="80">
        <v>7.0</v>
      </c>
      <c r="E23" s="82">
        <f t="shared" si="1"/>
        <v>7</v>
      </c>
      <c r="F23" s="114">
        <v>0.0</v>
      </c>
      <c r="G23" s="114">
        <v>1.0</v>
      </c>
      <c r="H23" s="237">
        <v>2.625</v>
      </c>
      <c r="I23" s="238">
        <v>2.920138888888889</v>
      </c>
      <c r="J23" s="88">
        <f t="shared" si="2"/>
        <v>0.2951388889</v>
      </c>
      <c r="K23" s="82">
        <v>0.0</v>
      </c>
      <c r="N23" s="241"/>
    </row>
    <row r="24">
      <c r="A24" s="114">
        <v>22.0</v>
      </c>
      <c r="B24" s="239" t="s">
        <v>406</v>
      </c>
      <c r="C24" s="80" t="s">
        <v>304</v>
      </c>
      <c r="D24" s="80">
        <v>7.0</v>
      </c>
      <c r="E24" s="82">
        <f t="shared" si="1"/>
        <v>7</v>
      </c>
      <c r="F24" s="114">
        <v>1.0</v>
      </c>
      <c r="G24" s="114">
        <v>1.0</v>
      </c>
      <c r="H24" s="237">
        <v>2.625</v>
      </c>
      <c r="I24" s="238">
        <v>3.138888888888889</v>
      </c>
      <c r="J24" s="88">
        <f t="shared" si="2"/>
        <v>0.5138888889</v>
      </c>
      <c r="K24" s="82">
        <v>0.0</v>
      </c>
      <c r="N24" s="241"/>
    </row>
    <row r="25">
      <c r="A25" s="114">
        <v>23.0</v>
      </c>
      <c r="B25" s="239" t="s">
        <v>407</v>
      </c>
      <c r="C25" s="80" t="s">
        <v>303</v>
      </c>
      <c r="D25" s="80">
        <v>12.0</v>
      </c>
      <c r="E25" s="82">
        <f t="shared" si="1"/>
        <v>12</v>
      </c>
      <c r="F25" s="114">
        <v>0.0</v>
      </c>
      <c r="G25" s="114">
        <v>0.0</v>
      </c>
      <c r="H25" s="237">
        <v>4.5</v>
      </c>
      <c r="I25" s="238">
        <v>4.704166666666667</v>
      </c>
      <c r="J25" s="88">
        <f t="shared" si="2"/>
        <v>0.2041666667</v>
      </c>
      <c r="K25" s="82">
        <v>0.0</v>
      </c>
      <c r="N25" s="241"/>
    </row>
    <row r="26">
      <c r="A26" s="114">
        <v>24.0</v>
      </c>
      <c r="B26" s="239" t="s">
        <v>408</v>
      </c>
      <c r="C26" s="80" t="s">
        <v>300</v>
      </c>
      <c r="D26" s="80">
        <v>14.0</v>
      </c>
      <c r="E26" s="82">
        <f t="shared" si="1"/>
        <v>14</v>
      </c>
      <c r="F26" s="114">
        <v>0.0</v>
      </c>
      <c r="G26" s="114">
        <v>0.0</v>
      </c>
      <c r="H26" s="237">
        <v>5.25</v>
      </c>
      <c r="I26" s="238">
        <v>5.268055555555555</v>
      </c>
      <c r="J26" s="88">
        <f t="shared" si="2"/>
        <v>0.01805555556</v>
      </c>
      <c r="K26" s="82">
        <v>0.0</v>
      </c>
      <c r="N26" s="241"/>
    </row>
    <row r="27">
      <c r="A27" s="114">
        <v>25.0</v>
      </c>
      <c r="B27" s="232" t="s">
        <v>393</v>
      </c>
      <c r="C27" s="80" t="s">
        <v>303</v>
      </c>
      <c r="D27" s="80">
        <v>22.0</v>
      </c>
      <c r="E27" s="82">
        <f t="shared" si="1"/>
        <v>20</v>
      </c>
      <c r="F27" s="114">
        <v>4.0</v>
      </c>
      <c r="G27" s="114">
        <v>1.0</v>
      </c>
      <c r="H27" s="237">
        <v>7.5</v>
      </c>
      <c r="I27" s="238">
        <v>8.118055555555557</v>
      </c>
      <c r="J27" s="88">
        <f t="shared" si="2"/>
        <v>0.6180555556</v>
      </c>
      <c r="K27" s="82">
        <v>2.0</v>
      </c>
      <c r="N27" s="241"/>
    </row>
    <row r="28">
      <c r="A28" s="114">
        <v>26.0</v>
      </c>
      <c r="B28" s="232" t="s">
        <v>213</v>
      </c>
      <c r="C28" s="80" t="s">
        <v>302</v>
      </c>
      <c r="D28" s="80">
        <v>22.0</v>
      </c>
      <c r="E28" s="82">
        <f t="shared" si="1"/>
        <v>20</v>
      </c>
      <c r="F28" s="114">
        <v>13.0</v>
      </c>
      <c r="G28" s="114">
        <v>9.0</v>
      </c>
      <c r="H28" s="237">
        <v>7.5</v>
      </c>
      <c r="I28" s="238">
        <v>8.01736111111111</v>
      </c>
      <c r="J28" s="88">
        <f t="shared" si="2"/>
        <v>0.5173611111</v>
      </c>
      <c r="K28" s="82">
        <v>2.0</v>
      </c>
      <c r="N28" s="241"/>
    </row>
    <row r="29">
      <c r="A29" s="114">
        <v>27.0</v>
      </c>
      <c r="B29" s="232" t="s">
        <v>54</v>
      </c>
      <c r="C29" s="80" t="s">
        <v>305</v>
      </c>
      <c r="D29" s="80">
        <v>22.0</v>
      </c>
      <c r="E29" s="82">
        <f t="shared" si="1"/>
        <v>13</v>
      </c>
      <c r="F29" s="114">
        <v>13.0</v>
      </c>
      <c r="G29" s="114">
        <v>6.0</v>
      </c>
      <c r="H29" s="237">
        <v>4.875</v>
      </c>
      <c r="I29" s="238">
        <v>4.785416666666666</v>
      </c>
      <c r="J29" s="88">
        <f t="shared" si="2"/>
        <v>-0.08958333333</v>
      </c>
      <c r="K29" s="82">
        <v>9.0</v>
      </c>
      <c r="N29" s="241"/>
    </row>
    <row r="30">
      <c r="A30" s="114">
        <v>28.0</v>
      </c>
      <c r="B30" s="232" t="s">
        <v>159</v>
      </c>
      <c r="C30" s="80" t="s">
        <v>302</v>
      </c>
      <c r="D30" s="80">
        <v>22.0</v>
      </c>
      <c r="E30" s="82">
        <f t="shared" si="1"/>
        <v>21</v>
      </c>
      <c r="F30" s="114">
        <v>13.0</v>
      </c>
      <c r="G30" s="114">
        <v>10.0</v>
      </c>
      <c r="H30" s="237">
        <v>7.875</v>
      </c>
      <c r="I30" s="238">
        <v>7.790972222222222</v>
      </c>
      <c r="J30" s="88">
        <f t="shared" si="2"/>
        <v>-0.08402777778</v>
      </c>
      <c r="K30" s="82">
        <v>1.0</v>
      </c>
      <c r="N30" s="241"/>
    </row>
    <row r="31">
      <c r="A31" s="114">
        <v>29.0</v>
      </c>
      <c r="B31" s="232" t="s">
        <v>156</v>
      </c>
      <c r="C31" s="80" t="s">
        <v>302</v>
      </c>
      <c r="D31" s="80">
        <v>22.0</v>
      </c>
      <c r="E31" s="82">
        <f t="shared" si="1"/>
        <v>19.5</v>
      </c>
      <c r="F31" s="114">
        <v>13.0</v>
      </c>
      <c r="G31" s="114">
        <v>9.0</v>
      </c>
      <c r="H31" s="237">
        <v>7.3125</v>
      </c>
      <c r="I31" s="238">
        <v>7.209722222222222</v>
      </c>
      <c r="J31" s="88">
        <f t="shared" si="2"/>
        <v>-0.1027777778</v>
      </c>
      <c r="K31" s="82">
        <v>2.5</v>
      </c>
      <c r="N31" s="241"/>
    </row>
    <row r="32">
      <c r="A32" s="114">
        <v>30.0</v>
      </c>
      <c r="B32" s="232" t="s">
        <v>57</v>
      </c>
      <c r="C32" s="80" t="s">
        <v>302</v>
      </c>
      <c r="D32" s="80">
        <v>22.0</v>
      </c>
      <c r="E32" s="82">
        <f t="shared" si="1"/>
        <v>19.5</v>
      </c>
      <c r="F32" s="114">
        <v>13.0</v>
      </c>
      <c r="G32" s="114">
        <v>11.0</v>
      </c>
      <c r="H32" s="237">
        <v>7.3125</v>
      </c>
      <c r="I32" s="238">
        <v>7.697222222222222</v>
      </c>
      <c r="J32" s="88">
        <f t="shared" si="2"/>
        <v>0.3847222222</v>
      </c>
      <c r="K32" s="82">
        <v>2.5</v>
      </c>
      <c r="N32" s="241"/>
    </row>
    <row r="33">
      <c r="A33" s="114">
        <v>31.0</v>
      </c>
      <c r="B33" s="232" t="s">
        <v>263</v>
      </c>
      <c r="C33" s="80" t="s">
        <v>303</v>
      </c>
      <c r="D33" s="80">
        <v>22.0</v>
      </c>
      <c r="E33" s="82">
        <f t="shared" si="1"/>
        <v>17.5</v>
      </c>
      <c r="F33" s="114">
        <v>4.0</v>
      </c>
      <c r="G33" s="114">
        <v>4.0</v>
      </c>
      <c r="H33" s="237">
        <v>6.5625</v>
      </c>
      <c r="I33" s="238">
        <v>6.997222222222223</v>
      </c>
      <c r="J33" s="88">
        <f t="shared" si="2"/>
        <v>0.4347222222</v>
      </c>
      <c r="K33" s="82">
        <v>4.5</v>
      </c>
    </row>
    <row r="34">
      <c r="A34" s="114">
        <v>32.0</v>
      </c>
      <c r="B34" s="239" t="s">
        <v>339</v>
      </c>
      <c r="C34" s="80" t="s">
        <v>303</v>
      </c>
      <c r="D34" s="80">
        <v>22.0</v>
      </c>
      <c r="E34" s="82">
        <f t="shared" si="1"/>
        <v>19.5</v>
      </c>
      <c r="F34" s="114">
        <v>4.0</v>
      </c>
      <c r="G34" s="114">
        <v>4.0</v>
      </c>
      <c r="H34" s="237">
        <v>7.3125</v>
      </c>
      <c r="I34" s="238">
        <v>7.419444444444443</v>
      </c>
      <c r="J34" s="88">
        <f t="shared" si="2"/>
        <v>0.1069444444</v>
      </c>
      <c r="K34" s="82">
        <v>2.5</v>
      </c>
      <c r="N34" s="236"/>
    </row>
    <row r="35">
      <c r="A35" s="114">
        <v>33.0</v>
      </c>
      <c r="B35" s="232" t="s">
        <v>257</v>
      </c>
      <c r="C35" s="80" t="s">
        <v>300</v>
      </c>
      <c r="D35" s="80">
        <v>22.0</v>
      </c>
      <c r="E35" s="82">
        <f t="shared" si="1"/>
        <v>21</v>
      </c>
      <c r="F35" s="114">
        <v>4.0</v>
      </c>
      <c r="G35" s="114">
        <v>13.0</v>
      </c>
      <c r="H35" s="237">
        <v>7.875</v>
      </c>
      <c r="I35" s="238">
        <v>9.082638888888889</v>
      </c>
      <c r="J35" s="88">
        <f t="shared" si="2"/>
        <v>1.207638889</v>
      </c>
      <c r="K35" s="82">
        <v>1.0</v>
      </c>
    </row>
    <row r="36">
      <c r="A36" s="114">
        <v>34.0</v>
      </c>
      <c r="B36" s="232" t="s">
        <v>132</v>
      </c>
      <c r="C36" s="80" t="s">
        <v>303</v>
      </c>
      <c r="D36" s="80">
        <v>22.0</v>
      </c>
      <c r="E36" s="82">
        <f t="shared" si="1"/>
        <v>18</v>
      </c>
      <c r="F36" s="114">
        <v>4.0</v>
      </c>
      <c r="G36" s="114">
        <v>6.0</v>
      </c>
      <c r="H36" s="237">
        <v>6.75</v>
      </c>
      <c r="I36" s="238">
        <v>6.466666666666667</v>
      </c>
      <c r="J36" s="88">
        <f t="shared" si="2"/>
        <v>-0.2833333333</v>
      </c>
      <c r="K36" s="82">
        <v>4.0</v>
      </c>
    </row>
    <row r="37">
      <c r="A37" s="114">
        <v>35.0</v>
      </c>
      <c r="B37" s="232" t="s">
        <v>99</v>
      </c>
      <c r="C37" s="80" t="s">
        <v>305</v>
      </c>
      <c r="D37" s="80">
        <v>22.0</v>
      </c>
      <c r="E37" s="82">
        <f t="shared" si="1"/>
        <v>18.5</v>
      </c>
      <c r="F37" s="114">
        <v>4.0</v>
      </c>
      <c r="G37" s="114">
        <v>7.0</v>
      </c>
      <c r="H37" s="237">
        <v>6.9375</v>
      </c>
      <c r="I37" s="238">
        <v>7.274305555555555</v>
      </c>
      <c r="J37" s="88">
        <f t="shared" si="2"/>
        <v>0.3368055556</v>
      </c>
      <c r="K37" s="82">
        <v>3.5</v>
      </c>
    </row>
    <row r="38">
      <c r="A38" s="114">
        <v>36.0</v>
      </c>
      <c r="B38" s="232" t="s">
        <v>93</v>
      </c>
      <c r="C38" s="80" t="s">
        <v>303</v>
      </c>
      <c r="D38" s="80">
        <v>22.0</v>
      </c>
      <c r="E38" s="82">
        <f t="shared" si="1"/>
        <v>16</v>
      </c>
      <c r="F38" s="114">
        <v>4.0</v>
      </c>
      <c r="G38" s="114">
        <v>3.0</v>
      </c>
      <c r="H38" s="237">
        <v>6.0</v>
      </c>
      <c r="I38" s="238">
        <v>6.855555555555556</v>
      </c>
      <c r="J38" s="88">
        <f t="shared" si="2"/>
        <v>0.8555555556</v>
      </c>
      <c r="K38" s="82">
        <v>6.0</v>
      </c>
    </row>
    <row r="39">
      <c r="A39" s="114">
        <v>37.0</v>
      </c>
      <c r="B39" s="232" t="s">
        <v>135</v>
      </c>
      <c r="C39" s="80" t="s">
        <v>303</v>
      </c>
      <c r="D39" s="80">
        <v>22.0</v>
      </c>
      <c r="E39" s="82">
        <f t="shared" si="1"/>
        <v>13</v>
      </c>
      <c r="F39" s="114">
        <v>4.0</v>
      </c>
      <c r="G39" s="114">
        <v>3.0</v>
      </c>
      <c r="H39" s="237">
        <v>4.875</v>
      </c>
      <c r="I39" s="238">
        <v>5.920833333333333</v>
      </c>
      <c r="J39" s="88">
        <f t="shared" si="2"/>
        <v>1.045833333</v>
      </c>
      <c r="K39" s="82">
        <v>9.0</v>
      </c>
    </row>
    <row r="40">
      <c r="A40" s="114">
        <v>38.0</v>
      </c>
      <c r="B40" s="232" t="s">
        <v>183</v>
      </c>
      <c r="C40" s="80" t="s">
        <v>303</v>
      </c>
      <c r="D40" s="80">
        <v>22.0</v>
      </c>
      <c r="E40" s="82">
        <f t="shared" si="1"/>
        <v>21</v>
      </c>
      <c r="F40" s="114">
        <v>4.0</v>
      </c>
      <c r="G40" s="114">
        <v>4.0</v>
      </c>
      <c r="H40" s="237">
        <v>7.875</v>
      </c>
      <c r="I40" s="238">
        <v>8.545833333333334</v>
      </c>
      <c r="J40" s="88">
        <f t="shared" si="2"/>
        <v>0.6708333333</v>
      </c>
      <c r="K40" s="82">
        <v>1.0</v>
      </c>
    </row>
    <row r="41">
      <c r="A41" s="114">
        <v>39.0</v>
      </c>
      <c r="B41" s="232" t="s">
        <v>186</v>
      </c>
      <c r="C41" s="80" t="s">
        <v>303</v>
      </c>
      <c r="D41" s="80">
        <v>22.0</v>
      </c>
      <c r="E41" s="82">
        <f t="shared" si="1"/>
        <v>19</v>
      </c>
      <c r="F41" s="114">
        <v>4.0</v>
      </c>
      <c r="G41" s="114">
        <v>5.0</v>
      </c>
      <c r="H41" s="237">
        <v>7.125</v>
      </c>
      <c r="I41" s="238">
        <v>7.8388888888888895</v>
      </c>
      <c r="J41" s="88">
        <f t="shared" si="2"/>
        <v>0.7138888889</v>
      </c>
      <c r="K41" s="82">
        <v>3.0</v>
      </c>
    </row>
    <row r="42">
      <c r="A42" s="114">
        <v>40.0</v>
      </c>
      <c r="B42" s="232" t="s">
        <v>141</v>
      </c>
      <c r="C42" s="80" t="s">
        <v>300</v>
      </c>
      <c r="D42" s="80">
        <v>22.0</v>
      </c>
      <c r="E42" s="82">
        <f t="shared" si="1"/>
        <v>21</v>
      </c>
      <c r="F42" s="114">
        <v>4.0</v>
      </c>
      <c r="G42" s="114">
        <v>5.0</v>
      </c>
      <c r="H42" s="237">
        <v>7.875</v>
      </c>
      <c r="I42" s="238">
        <v>7.7</v>
      </c>
      <c r="J42" s="88">
        <f t="shared" si="2"/>
        <v>-0.175</v>
      </c>
      <c r="K42" s="82">
        <v>1.0</v>
      </c>
    </row>
    <row r="43">
      <c r="A43" s="114">
        <v>41.0</v>
      </c>
      <c r="B43" s="232" t="s">
        <v>207</v>
      </c>
      <c r="C43" s="80" t="s">
        <v>303</v>
      </c>
      <c r="D43" s="80">
        <v>22.0</v>
      </c>
      <c r="E43" s="82">
        <f t="shared" si="1"/>
        <v>21</v>
      </c>
      <c r="F43" s="114">
        <v>4.0</v>
      </c>
      <c r="G43" s="114">
        <v>8.0</v>
      </c>
      <c r="H43" s="237">
        <v>7.875</v>
      </c>
      <c r="I43" s="238">
        <v>7.259027777777778</v>
      </c>
      <c r="J43" s="88">
        <f t="shared" si="2"/>
        <v>-0.6159722222</v>
      </c>
      <c r="K43" s="82">
        <v>1.0</v>
      </c>
    </row>
    <row r="44">
      <c r="A44" s="114">
        <v>42.0</v>
      </c>
      <c r="B44" s="232" t="s">
        <v>78</v>
      </c>
      <c r="C44" s="80" t="s">
        <v>303</v>
      </c>
      <c r="D44" s="80">
        <v>22.0</v>
      </c>
      <c r="E44" s="82">
        <f t="shared" si="1"/>
        <v>21</v>
      </c>
      <c r="F44" s="114">
        <v>4.0</v>
      </c>
      <c r="G44" s="114">
        <v>1.0</v>
      </c>
      <c r="H44" s="237">
        <v>7.875</v>
      </c>
      <c r="I44" s="238">
        <v>8.0625</v>
      </c>
      <c r="J44" s="88">
        <f t="shared" si="2"/>
        <v>0.1875</v>
      </c>
      <c r="K44" s="82">
        <v>1.0</v>
      </c>
    </row>
    <row r="45">
      <c r="A45" s="114">
        <v>43.0</v>
      </c>
      <c r="B45" s="232" t="s">
        <v>14</v>
      </c>
      <c r="C45" s="80" t="s">
        <v>300</v>
      </c>
      <c r="D45" s="80">
        <v>22.0</v>
      </c>
      <c r="E45" s="82">
        <f t="shared" si="1"/>
        <v>17.5</v>
      </c>
      <c r="F45" s="114">
        <v>4.0</v>
      </c>
      <c r="G45" s="114">
        <v>4.0</v>
      </c>
      <c r="H45" s="237">
        <v>6.5625</v>
      </c>
      <c r="I45" s="238">
        <v>8.709722222222222</v>
      </c>
      <c r="J45" s="88">
        <f t="shared" si="2"/>
        <v>2.147222222</v>
      </c>
      <c r="K45" s="82">
        <v>4.5</v>
      </c>
    </row>
    <row r="46">
      <c r="A46" s="114">
        <v>44.0</v>
      </c>
      <c r="B46" s="232" t="s">
        <v>105</v>
      </c>
      <c r="C46" s="80" t="s">
        <v>300</v>
      </c>
      <c r="D46" s="80">
        <v>22.0</v>
      </c>
      <c r="E46" s="82">
        <f t="shared" si="1"/>
        <v>21.5</v>
      </c>
      <c r="F46" s="114">
        <v>13.0</v>
      </c>
      <c r="G46" s="114">
        <v>5.0</v>
      </c>
      <c r="H46" s="237">
        <v>7.895833333333333</v>
      </c>
      <c r="I46" s="238">
        <v>7.863194444444445</v>
      </c>
      <c r="J46" s="88">
        <f t="shared" si="2"/>
        <v>-0.03263888889</v>
      </c>
      <c r="K46" s="82">
        <v>0.5</v>
      </c>
    </row>
    <row r="47">
      <c r="A47" s="114">
        <v>45.0</v>
      </c>
      <c r="B47" s="232" t="s">
        <v>29</v>
      </c>
      <c r="C47" s="80" t="s">
        <v>300</v>
      </c>
      <c r="D47" s="80">
        <v>22.0</v>
      </c>
      <c r="E47" s="82">
        <f t="shared" si="1"/>
        <v>21.5</v>
      </c>
      <c r="F47" s="114">
        <v>19.0</v>
      </c>
      <c r="G47" s="114">
        <v>19.0</v>
      </c>
      <c r="H47" s="237">
        <v>7.895833333333333</v>
      </c>
      <c r="I47" s="238">
        <v>7.9944444444444445</v>
      </c>
      <c r="J47" s="88">
        <f t="shared" si="2"/>
        <v>0.09861111111</v>
      </c>
      <c r="K47" s="82">
        <v>0.5</v>
      </c>
    </row>
    <row r="48">
      <c r="A48" s="114">
        <v>46.0</v>
      </c>
      <c r="B48" s="232" t="s">
        <v>17</v>
      </c>
      <c r="C48" s="80" t="s">
        <v>300</v>
      </c>
      <c r="D48" s="80">
        <v>22.0</v>
      </c>
      <c r="E48" s="82">
        <f t="shared" si="1"/>
        <v>19</v>
      </c>
      <c r="F48" s="114">
        <v>13.0</v>
      </c>
      <c r="G48" s="114">
        <v>10.0</v>
      </c>
      <c r="H48" s="237">
        <v>7.125</v>
      </c>
      <c r="I48" s="238">
        <v>7.854166666666667</v>
      </c>
      <c r="J48" s="88">
        <f t="shared" si="2"/>
        <v>0.7291666667</v>
      </c>
      <c r="K48" s="82">
        <v>3.0</v>
      </c>
    </row>
    <row r="49">
      <c r="A49" s="114">
        <v>47.0</v>
      </c>
      <c r="B49" s="232" t="s">
        <v>249</v>
      </c>
      <c r="C49" s="80" t="s">
        <v>303</v>
      </c>
      <c r="D49" s="80">
        <v>22.0</v>
      </c>
      <c r="E49" s="82">
        <f t="shared" si="1"/>
        <v>19</v>
      </c>
      <c r="F49" s="114">
        <v>4.0</v>
      </c>
      <c r="G49" s="114">
        <v>4.0</v>
      </c>
      <c r="H49" s="237">
        <v>7.125</v>
      </c>
      <c r="I49" s="238">
        <v>8.920833333333334</v>
      </c>
      <c r="J49" s="88">
        <f t="shared" si="2"/>
        <v>1.795833333</v>
      </c>
      <c r="K49" s="82">
        <v>3.0</v>
      </c>
    </row>
    <row r="50">
      <c r="A50" s="114">
        <v>48.0</v>
      </c>
      <c r="B50" s="232" t="s">
        <v>394</v>
      </c>
      <c r="C50" s="80" t="s">
        <v>305</v>
      </c>
      <c r="D50" s="80">
        <v>22.0</v>
      </c>
      <c r="E50" s="82">
        <f t="shared" si="1"/>
        <v>20.5</v>
      </c>
      <c r="F50" s="114">
        <v>4.0</v>
      </c>
      <c r="G50" s="114">
        <v>4.0</v>
      </c>
      <c r="H50" s="237">
        <v>7.6875</v>
      </c>
      <c r="I50" s="238">
        <v>7.814583333333334</v>
      </c>
      <c r="J50" s="88">
        <f t="shared" si="2"/>
        <v>0.1270833333</v>
      </c>
      <c r="K50" s="82">
        <v>1.5</v>
      </c>
    </row>
    <row r="51">
      <c r="A51" s="114">
        <v>49.0</v>
      </c>
      <c r="B51" s="232" t="s">
        <v>72</v>
      </c>
      <c r="C51" s="80" t="s">
        <v>300</v>
      </c>
      <c r="D51" s="80">
        <v>22.0</v>
      </c>
      <c r="E51" s="82">
        <f t="shared" si="1"/>
        <v>15</v>
      </c>
      <c r="F51" s="114">
        <v>4.0</v>
      </c>
      <c r="G51" s="114">
        <v>3.0</v>
      </c>
      <c r="H51" s="237">
        <v>5.625</v>
      </c>
      <c r="I51" s="238">
        <v>6.316666666666666</v>
      </c>
      <c r="J51" s="88">
        <f t="shared" si="2"/>
        <v>0.6916666667</v>
      </c>
      <c r="K51" s="82">
        <v>7.0</v>
      </c>
    </row>
    <row r="52">
      <c r="A52" s="114">
        <v>50.0</v>
      </c>
      <c r="B52" s="232" t="s">
        <v>204</v>
      </c>
      <c r="C52" s="80" t="s">
        <v>300</v>
      </c>
      <c r="D52" s="80">
        <v>22.0</v>
      </c>
      <c r="E52" s="82">
        <f t="shared" si="1"/>
        <v>22</v>
      </c>
      <c r="F52" s="114">
        <v>16.0</v>
      </c>
      <c r="G52" s="114">
        <v>16.0</v>
      </c>
      <c r="H52" s="235">
        <v>8.25</v>
      </c>
      <c r="I52" s="238">
        <v>8.125</v>
      </c>
      <c r="J52" s="88">
        <f t="shared" si="2"/>
        <v>-0.125</v>
      </c>
      <c r="K52" s="82">
        <v>0.0</v>
      </c>
    </row>
    <row r="53">
      <c r="A53" s="114">
        <v>51.0</v>
      </c>
      <c r="B53" s="239" t="s">
        <v>410</v>
      </c>
      <c r="C53" s="80" t="s">
        <v>303</v>
      </c>
      <c r="D53" s="80">
        <v>22.0</v>
      </c>
      <c r="E53" s="82">
        <f t="shared" si="1"/>
        <v>21</v>
      </c>
      <c r="F53" s="114">
        <v>0.0</v>
      </c>
      <c r="G53" s="114">
        <v>8.0</v>
      </c>
      <c r="H53" s="237">
        <v>7.875</v>
      </c>
      <c r="I53" s="238">
        <v>8.433333333333332</v>
      </c>
      <c r="J53" s="88">
        <f t="shared" si="2"/>
        <v>0.5583333333</v>
      </c>
      <c r="K53" s="82">
        <v>1.0</v>
      </c>
    </row>
    <row r="54">
      <c r="A54" s="114">
        <v>52.0</v>
      </c>
      <c r="B54" s="239" t="s">
        <v>420</v>
      </c>
      <c r="C54" s="80" t="s">
        <v>303</v>
      </c>
      <c r="D54" s="80">
        <v>22.0</v>
      </c>
      <c r="E54" s="82">
        <f t="shared" si="1"/>
        <v>18</v>
      </c>
      <c r="F54" s="114">
        <v>4.0</v>
      </c>
      <c r="G54" s="114">
        <v>3.0</v>
      </c>
      <c r="H54" s="237">
        <v>6.75</v>
      </c>
      <c r="I54" s="238">
        <v>7.876388888888888</v>
      </c>
      <c r="J54" s="88">
        <f t="shared" si="2"/>
        <v>1.126388889</v>
      </c>
      <c r="K54" s="82">
        <v>4.0</v>
      </c>
    </row>
    <row r="55">
      <c r="A55" s="114">
        <v>53.0</v>
      </c>
      <c r="B55" s="232" t="s">
        <v>153</v>
      </c>
      <c r="C55" s="80" t="s">
        <v>303</v>
      </c>
      <c r="D55" s="80">
        <v>22.0</v>
      </c>
      <c r="E55" s="82">
        <f t="shared" si="1"/>
        <v>10</v>
      </c>
      <c r="F55" s="114">
        <v>4.0</v>
      </c>
      <c r="G55" s="114">
        <v>2.0</v>
      </c>
      <c r="H55" s="237">
        <v>3.75</v>
      </c>
      <c r="I55" s="238">
        <v>4.313194444444444</v>
      </c>
      <c r="J55" s="88">
        <f t="shared" si="2"/>
        <v>0.5631944444</v>
      </c>
      <c r="K55" s="82">
        <v>12.0</v>
      </c>
    </row>
    <row r="56">
      <c r="A56" s="114">
        <v>54.0</v>
      </c>
      <c r="B56" s="232" t="s">
        <v>198</v>
      </c>
      <c r="C56" s="80" t="s">
        <v>303</v>
      </c>
      <c r="D56" s="80">
        <v>22.0</v>
      </c>
      <c r="E56" s="82">
        <f t="shared" si="1"/>
        <v>20.5</v>
      </c>
      <c r="F56" s="114">
        <v>4.0</v>
      </c>
      <c r="G56" s="114">
        <v>5.0</v>
      </c>
      <c r="H56" s="237">
        <v>7.6875</v>
      </c>
      <c r="I56" s="238">
        <v>8.054861111111112</v>
      </c>
      <c r="J56" s="88">
        <f t="shared" si="2"/>
        <v>0.3673611111</v>
      </c>
      <c r="K56" s="82">
        <v>1.5</v>
      </c>
    </row>
    <row r="57">
      <c r="A57" s="114">
        <v>55.0</v>
      </c>
      <c r="B57" s="239" t="s">
        <v>411</v>
      </c>
      <c r="C57" s="80" t="s">
        <v>302</v>
      </c>
      <c r="D57" s="80">
        <v>17.0</v>
      </c>
      <c r="E57" s="82">
        <f t="shared" si="1"/>
        <v>17</v>
      </c>
      <c r="F57" s="114">
        <v>0.0</v>
      </c>
      <c r="G57" s="114">
        <v>0.0</v>
      </c>
      <c r="H57" s="237">
        <v>6.375</v>
      </c>
      <c r="I57" s="238">
        <v>6.750694444444444</v>
      </c>
      <c r="J57" s="88">
        <f t="shared" si="2"/>
        <v>0.3756944444</v>
      </c>
      <c r="K57" s="82">
        <v>0.0</v>
      </c>
    </row>
    <row r="58">
      <c r="A58" s="114">
        <v>56.0</v>
      </c>
      <c r="B58" s="239" t="s">
        <v>412</v>
      </c>
      <c r="C58" s="80" t="s">
        <v>303</v>
      </c>
      <c r="D58" s="80">
        <v>22.0</v>
      </c>
      <c r="E58" s="82">
        <f t="shared" si="1"/>
        <v>21</v>
      </c>
      <c r="F58" s="114">
        <v>0.0</v>
      </c>
      <c r="G58" s="114">
        <v>0.0</v>
      </c>
      <c r="H58" s="237">
        <v>7.875</v>
      </c>
      <c r="I58" s="238">
        <v>7.431944444444444</v>
      </c>
      <c r="J58" s="88">
        <f t="shared" si="2"/>
        <v>-0.4430555556</v>
      </c>
      <c r="K58" s="82">
        <v>1.0</v>
      </c>
    </row>
    <row r="59">
      <c r="A59" s="114">
        <v>57.0</v>
      </c>
      <c r="B59" s="232" t="s">
        <v>260</v>
      </c>
      <c r="C59" s="80" t="s">
        <v>303</v>
      </c>
      <c r="D59" s="80">
        <v>22.0</v>
      </c>
      <c r="E59" s="82">
        <f t="shared" si="1"/>
        <v>20.5</v>
      </c>
      <c r="F59" s="114">
        <v>4.0</v>
      </c>
      <c r="G59" s="114">
        <v>4.0</v>
      </c>
      <c r="H59" s="237">
        <v>7.6875</v>
      </c>
      <c r="I59" s="238">
        <v>8.356250000000001</v>
      </c>
      <c r="J59" s="88">
        <f t="shared" si="2"/>
        <v>0.66875</v>
      </c>
      <c r="K59" s="82">
        <v>1.5</v>
      </c>
    </row>
    <row r="60">
      <c r="A60" s="114">
        <v>58.0</v>
      </c>
      <c r="B60" s="232" t="s">
        <v>26</v>
      </c>
      <c r="C60" s="80" t="s">
        <v>305</v>
      </c>
      <c r="D60" s="80">
        <v>22.0</v>
      </c>
      <c r="E60" s="82">
        <f t="shared" si="1"/>
        <v>20.5</v>
      </c>
      <c r="F60" s="114">
        <v>4.0</v>
      </c>
      <c r="G60" s="114">
        <v>11.0</v>
      </c>
      <c r="H60" s="237">
        <v>7.6875</v>
      </c>
      <c r="I60" s="238">
        <v>8.484722222222222</v>
      </c>
      <c r="J60" s="88">
        <f t="shared" si="2"/>
        <v>0.7972222222</v>
      </c>
      <c r="K60" s="82">
        <v>1.5</v>
      </c>
    </row>
    <row r="61">
      <c r="A61" s="114">
        <v>59.0</v>
      </c>
      <c r="B61" s="232" t="s">
        <v>51</v>
      </c>
      <c r="C61" s="80" t="s">
        <v>303</v>
      </c>
      <c r="D61" s="80">
        <v>22.0</v>
      </c>
      <c r="E61" s="82">
        <f t="shared" si="1"/>
        <v>22</v>
      </c>
      <c r="F61" s="114">
        <v>4.0</v>
      </c>
      <c r="G61" s="114">
        <v>15.0</v>
      </c>
      <c r="H61" s="235">
        <v>8.25</v>
      </c>
      <c r="I61" s="238">
        <v>8.317361111111111</v>
      </c>
      <c r="J61" s="88">
        <f t="shared" si="2"/>
        <v>0.06736111111</v>
      </c>
      <c r="K61" s="82">
        <v>0.0</v>
      </c>
    </row>
    <row r="62">
      <c r="A62" s="114">
        <v>60.0</v>
      </c>
      <c r="B62" s="239" t="s">
        <v>413</v>
      </c>
      <c r="C62" s="80" t="s">
        <v>305</v>
      </c>
      <c r="D62" s="80">
        <v>22.0</v>
      </c>
      <c r="E62" s="82">
        <f t="shared" si="1"/>
        <v>22</v>
      </c>
      <c r="F62" s="114">
        <v>4.0</v>
      </c>
      <c r="G62" s="114">
        <v>5.0</v>
      </c>
      <c r="H62" s="235">
        <v>8.25</v>
      </c>
      <c r="I62" s="238">
        <v>8.252083333333333</v>
      </c>
      <c r="J62" s="88">
        <f t="shared" si="2"/>
        <v>0.002083333333</v>
      </c>
      <c r="K62" s="82">
        <v>0.0</v>
      </c>
    </row>
    <row r="63">
      <c r="A63" s="114">
        <v>61.0</v>
      </c>
      <c r="B63" s="232" t="s">
        <v>397</v>
      </c>
      <c r="C63" s="80" t="s">
        <v>305</v>
      </c>
      <c r="D63" s="80">
        <v>22.0</v>
      </c>
      <c r="E63" s="82">
        <f t="shared" si="1"/>
        <v>22</v>
      </c>
      <c r="F63" s="114">
        <v>4.0</v>
      </c>
      <c r="G63" s="114">
        <v>4.0</v>
      </c>
      <c r="H63" s="235">
        <v>8.25</v>
      </c>
      <c r="I63" s="238">
        <v>9.283333333333335</v>
      </c>
      <c r="J63" s="88">
        <f t="shared" si="2"/>
        <v>1.033333333</v>
      </c>
      <c r="K63" s="82">
        <v>0.0</v>
      </c>
    </row>
    <row r="64">
      <c r="A64" s="114">
        <v>62.0</v>
      </c>
      <c r="B64" s="232" t="s">
        <v>32</v>
      </c>
      <c r="C64" s="80" t="s">
        <v>302</v>
      </c>
      <c r="D64" s="80">
        <v>22.0</v>
      </c>
      <c r="E64" s="82">
        <f t="shared" si="1"/>
        <v>20</v>
      </c>
      <c r="F64" s="114">
        <v>13.0</v>
      </c>
      <c r="G64" s="114">
        <v>9.0</v>
      </c>
      <c r="H64" s="237">
        <v>7.5</v>
      </c>
      <c r="I64" s="238">
        <v>8.45347222222222</v>
      </c>
      <c r="J64" s="88">
        <f t="shared" si="2"/>
        <v>0.9534722222</v>
      </c>
      <c r="K64" s="82">
        <v>2.0</v>
      </c>
    </row>
    <row r="65">
      <c r="A65" s="114">
        <v>63.0</v>
      </c>
      <c r="B65" s="232" t="s">
        <v>23</v>
      </c>
      <c r="C65" s="80" t="s">
        <v>300</v>
      </c>
      <c r="D65" s="80">
        <v>22.0</v>
      </c>
      <c r="E65" s="82">
        <f t="shared" si="1"/>
        <v>21</v>
      </c>
      <c r="F65" s="114">
        <v>13.0</v>
      </c>
      <c r="G65" s="114">
        <v>3.0</v>
      </c>
      <c r="H65" s="237">
        <v>7.875</v>
      </c>
      <c r="I65" s="238">
        <v>7.876388888888887</v>
      </c>
      <c r="J65" s="88">
        <f t="shared" si="2"/>
        <v>0.001388888889</v>
      </c>
      <c r="K65" s="82">
        <v>1.0</v>
      </c>
    </row>
    <row r="66">
      <c r="A66" s="114">
        <v>64.0</v>
      </c>
      <c r="B66" s="232" t="s">
        <v>138</v>
      </c>
      <c r="C66" s="80" t="s">
        <v>303</v>
      </c>
      <c r="D66" s="80">
        <v>22.0</v>
      </c>
      <c r="E66" s="82">
        <f t="shared" si="1"/>
        <v>20</v>
      </c>
      <c r="F66" s="114">
        <v>4.0</v>
      </c>
      <c r="G66" s="114">
        <v>8.0</v>
      </c>
      <c r="H66" s="237">
        <v>7.5</v>
      </c>
      <c r="I66" s="238">
        <v>7.511805555555556</v>
      </c>
      <c r="J66" s="88">
        <f t="shared" si="2"/>
        <v>0.01180555556</v>
      </c>
      <c r="K66" s="82">
        <v>2.0</v>
      </c>
    </row>
    <row r="67">
      <c r="A67" s="114">
        <v>65.0</v>
      </c>
      <c r="B67" s="232" t="s">
        <v>228</v>
      </c>
      <c r="C67" s="80" t="s">
        <v>303</v>
      </c>
      <c r="D67" s="80">
        <v>22.0</v>
      </c>
      <c r="E67" s="82">
        <f t="shared" si="1"/>
        <v>20</v>
      </c>
      <c r="F67" s="114">
        <v>4.0</v>
      </c>
      <c r="G67" s="114">
        <v>4.0</v>
      </c>
      <c r="H67" s="237">
        <v>7.5</v>
      </c>
      <c r="I67" s="238">
        <v>7.425</v>
      </c>
      <c r="J67" s="88">
        <f t="shared" si="2"/>
        <v>-0.075</v>
      </c>
      <c r="K67" s="82">
        <v>2.0</v>
      </c>
    </row>
    <row r="68">
      <c r="A68" s="114">
        <v>66.0</v>
      </c>
      <c r="B68" s="232" t="s">
        <v>273</v>
      </c>
      <c r="C68" s="80" t="s">
        <v>303</v>
      </c>
      <c r="D68" s="80">
        <v>22.0</v>
      </c>
      <c r="E68" s="82">
        <f t="shared" si="1"/>
        <v>22</v>
      </c>
      <c r="F68" s="114">
        <v>4.0</v>
      </c>
      <c r="G68" s="114">
        <v>10.0</v>
      </c>
      <c r="H68" s="235">
        <v>8.25</v>
      </c>
      <c r="I68" s="238">
        <v>8.059722222222222</v>
      </c>
      <c r="J68" s="88">
        <f t="shared" si="2"/>
        <v>-0.1902777778</v>
      </c>
      <c r="K68" s="82">
        <v>0.0</v>
      </c>
    </row>
    <row r="69">
      <c r="A69" s="114">
        <v>67.0</v>
      </c>
      <c r="B69" s="232" t="s">
        <v>10</v>
      </c>
      <c r="C69" s="80" t="s">
        <v>303</v>
      </c>
      <c r="D69" s="80">
        <v>22.0</v>
      </c>
      <c r="E69" s="82">
        <f t="shared" si="1"/>
        <v>22</v>
      </c>
      <c r="F69" s="114">
        <v>4.0</v>
      </c>
      <c r="G69" s="114">
        <v>4.0</v>
      </c>
      <c r="H69" s="235">
        <v>8.25</v>
      </c>
      <c r="I69" s="238">
        <v>9.694444444444445</v>
      </c>
      <c r="J69" s="88">
        <f t="shared" si="2"/>
        <v>1.444444444</v>
      </c>
      <c r="K69" s="82">
        <v>0.0</v>
      </c>
    </row>
    <row r="70">
      <c r="A70" s="114">
        <v>68.0</v>
      </c>
      <c r="B70" s="232" t="s">
        <v>6</v>
      </c>
      <c r="C70" s="80" t="s">
        <v>301</v>
      </c>
      <c r="D70" s="80">
        <v>22.0</v>
      </c>
      <c r="E70" s="82">
        <f t="shared" si="1"/>
        <v>22</v>
      </c>
      <c r="F70" s="114">
        <v>4.0</v>
      </c>
      <c r="G70" s="114">
        <v>0.0</v>
      </c>
      <c r="H70" s="235">
        <v>8.25</v>
      </c>
      <c r="I70" s="238">
        <v>10.563888888888888</v>
      </c>
      <c r="J70" s="88">
        <f t="shared" si="2"/>
        <v>2.313888889</v>
      </c>
      <c r="K70" s="82">
        <v>0.0</v>
      </c>
    </row>
    <row r="71">
      <c r="A71" s="114">
        <v>69.0</v>
      </c>
      <c r="B71" s="232" t="s">
        <v>75</v>
      </c>
      <c r="C71" s="80" t="s">
        <v>303</v>
      </c>
      <c r="D71" s="80">
        <v>22.0</v>
      </c>
      <c r="E71" s="82">
        <f t="shared" si="1"/>
        <v>22</v>
      </c>
      <c r="F71" s="114">
        <v>4.0</v>
      </c>
      <c r="G71" s="114">
        <v>10.0</v>
      </c>
      <c r="H71" s="235">
        <v>8.25</v>
      </c>
      <c r="I71" s="238">
        <v>7.119444444444444</v>
      </c>
      <c r="J71" s="88">
        <f t="shared" si="2"/>
        <v>-1.130555556</v>
      </c>
      <c r="K71" s="82">
        <v>0.0</v>
      </c>
    </row>
    <row r="72">
      <c r="A72" s="114">
        <v>70.0</v>
      </c>
      <c r="B72" s="232" t="s">
        <v>120</v>
      </c>
      <c r="C72" s="80" t="s">
        <v>303</v>
      </c>
      <c r="D72" s="80">
        <v>26.0</v>
      </c>
      <c r="E72" s="82">
        <f t="shared" si="1"/>
        <v>26</v>
      </c>
      <c r="F72" s="114">
        <v>0.0</v>
      </c>
      <c r="G72" s="114">
        <v>0.0</v>
      </c>
      <c r="H72" s="237">
        <v>9.75</v>
      </c>
      <c r="I72" s="243">
        <v>8.67986111111111</v>
      </c>
      <c r="J72" s="88">
        <f t="shared" si="2"/>
        <v>-1.070138889</v>
      </c>
      <c r="K72" s="82">
        <v>0.0</v>
      </c>
    </row>
    <row r="73">
      <c r="A73" s="114">
        <v>71.0</v>
      </c>
      <c r="B73" s="232" t="s">
        <v>123</v>
      </c>
      <c r="C73" s="80" t="s">
        <v>303</v>
      </c>
      <c r="D73" s="80">
        <v>26.0</v>
      </c>
      <c r="E73" s="82">
        <f t="shared" si="1"/>
        <v>26</v>
      </c>
      <c r="F73" s="114">
        <v>0.0</v>
      </c>
      <c r="G73" s="114">
        <v>0.0</v>
      </c>
      <c r="H73" s="237">
        <v>9.75</v>
      </c>
      <c r="I73" s="238">
        <v>7.511805555555556</v>
      </c>
      <c r="J73" s="88">
        <f t="shared" si="2"/>
        <v>-2.238194444</v>
      </c>
      <c r="K73" s="82">
        <v>0.0</v>
      </c>
    </row>
    <row r="74">
      <c r="A74" s="114">
        <v>72.0</v>
      </c>
      <c r="B74" s="232" t="s">
        <v>111</v>
      </c>
      <c r="C74" s="80" t="s">
        <v>303</v>
      </c>
      <c r="D74" s="80">
        <v>26.0</v>
      </c>
      <c r="E74" s="82">
        <f t="shared" si="1"/>
        <v>26</v>
      </c>
      <c r="F74" s="114">
        <v>0.0</v>
      </c>
      <c r="G74" s="114">
        <v>0.0</v>
      </c>
      <c r="H74" s="237">
        <v>9.75</v>
      </c>
      <c r="I74" s="243">
        <v>9.486805555555556</v>
      </c>
      <c r="J74" s="88">
        <f t="shared" si="2"/>
        <v>-0.2631944444</v>
      </c>
      <c r="K74" s="82">
        <v>0.0</v>
      </c>
    </row>
    <row r="75">
      <c r="A75" s="114">
        <v>73.0</v>
      </c>
      <c r="B75" s="232" t="s">
        <v>114</v>
      </c>
      <c r="C75" s="80" t="s">
        <v>303</v>
      </c>
      <c r="D75" s="80">
        <v>26.0</v>
      </c>
      <c r="E75" s="82">
        <f t="shared" si="1"/>
        <v>26</v>
      </c>
      <c r="F75" s="114">
        <v>0.0</v>
      </c>
      <c r="G75" s="114">
        <v>0.0</v>
      </c>
      <c r="H75" s="237">
        <v>9.75</v>
      </c>
      <c r="I75" s="243">
        <v>9.075</v>
      </c>
      <c r="J75" s="88">
        <f t="shared" si="2"/>
        <v>-0.675</v>
      </c>
      <c r="K75" s="82">
        <v>0.0</v>
      </c>
    </row>
    <row r="76">
      <c r="A76" s="114">
        <v>74.0</v>
      </c>
      <c r="B76" s="232" t="s">
        <v>129</v>
      </c>
      <c r="C76" s="80" t="s">
        <v>303</v>
      </c>
      <c r="D76" s="80">
        <v>26.0</v>
      </c>
      <c r="E76" s="82">
        <f t="shared" si="1"/>
        <v>18</v>
      </c>
      <c r="F76" s="114">
        <v>0.0</v>
      </c>
      <c r="G76" s="114">
        <v>0.0</v>
      </c>
      <c r="H76" s="237">
        <v>6.75</v>
      </c>
      <c r="I76" s="243">
        <v>5.825694444444444</v>
      </c>
      <c r="J76" s="88">
        <f t="shared" si="2"/>
        <v>-0.9243055556</v>
      </c>
      <c r="K76" s="82">
        <v>8.0</v>
      </c>
    </row>
    <row r="77">
      <c r="A77" s="114">
        <v>75.0</v>
      </c>
      <c r="B77" s="232" t="s">
        <v>126</v>
      </c>
      <c r="C77" s="80" t="s">
        <v>303</v>
      </c>
      <c r="D77" s="80">
        <v>26.0</v>
      </c>
      <c r="E77" s="82">
        <f t="shared" si="1"/>
        <v>24</v>
      </c>
      <c r="F77" s="114">
        <v>0.0</v>
      </c>
      <c r="G77" s="114">
        <v>0.0</v>
      </c>
      <c r="H77" s="237">
        <v>9.0</v>
      </c>
      <c r="I77" s="238">
        <v>9.313194444444445</v>
      </c>
      <c r="J77" s="88">
        <f t="shared" si="2"/>
        <v>0.3131944444</v>
      </c>
      <c r="K77" s="82">
        <v>2.0</v>
      </c>
    </row>
    <row r="78">
      <c r="A78" s="114">
        <v>76.0</v>
      </c>
      <c r="B78" s="232" t="s">
        <v>287</v>
      </c>
      <c r="C78" s="80" t="s">
        <v>303</v>
      </c>
      <c r="D78" s="80">
        <v>26.0</v>
      </c>
      <c r="E78" s="82">
        <f t="shared" si="1"/>
        <v>26</v>
      </c>
      <c r="F78" s="114">
        <v>0.0</v>
      </c>
      <c r="G78" s="114">
        <v>0.0</v>
      </c>
      <c r="H78" s="237">
        <v>9.75</v>
      </c>
      <c r="I78" s="243">
        <v>10.183333333333334</v>
      </c>
      <c r="J78" s="88">
        <f t="shared" si="2"/>
        <v>0.4333333333</v>
      </c>
      <c r="K78" s="82">
        <v>0.0</v>
      </c>
    </row>
    <row r="79">
      <c r="A79" s="114">
        <v>77.0</v>
      </c>
      <c r="B79" s="232" t="s">
        <v>162</v>
      </c>
      <c r="C79" s="80" t="s">
        <v>303</v>
      </c>
      <c r="D79" s="80">
        <v>26.0</v>
      </c>
      <c r="E79" s="82">
        <f t="shared" si="1"/>
        <v>26</v>
      </c>
      <c r="F79" s="114">
        <v>0.0</v>
      </c>
      <c r="G79" s="114">
        <v>0.0</v>
      </c>
      <c r="H79" s="237">
        <v>9.75</v>
      </c>
      <c r="I79" s="238">
        <v>10.172916666666666</v>
      </c>
      <c r="J79" s="88">
        <f t="shared" si="2"/>
        <v>0.4229166667</v>
      </c>
      <c r="K79" s="82">
        <v>0.0</v>
      </c>
    </row>
    <row r="80">
      <c r="A80" s="114">
        <v>78.0</v>
      </c>
      <c r="B80" s="232" t="s">
        <v>117</v>
      </c>
      <c r="C80" s="80" t="s">
        <v>303</v>
      </c>
      <c r="D80" s="80">
        <v>22.0</v>
      </c>
      <c r="E80" s="82">
        <f t="shared" si="1"/>
        <v>22</v>
      </c>
      <c r="F80" s="114">
        <v>0.0</v>
      </c>
      <c r="G80" s="114">
        <v>0.0</v>
      </c>
      <c r="H80" s="235">
        <v>8.25</v>
      </c>
      <c r="I80" s="238">
        <v>8.97638888888889</v>
      </c>
      <c r="J80" s="88">
        <f t="shared" si="2"/>
        <v>0.7263888889</v>
      </c>
      <c r="K80" s="82">
        <v>0.0</v>
      </c>
    </row>
    <row r="81">
      <c r="A81" s="114">
        <v>79.0</v>
      </c>
      <c r="B81" s="232" t="s">
        <v>237</v>
      </c>
      <c r="C81" s="80" t="s">
        <v>303</v>
      </c>
      <c r="D81" s="80">
        <v>26.0</v>
      </c>
      <c r="E81" s="82">
        <f t="shared" si="1"/>
        <v>26</v>
      </c>
      <c r="F81" s="114">
        <v>0.0</v>
      </c>
      <c r="G81" s="114">
        <v>0.0</v>
      </c>
      <c r="H81" s="237">
        <v>9.75</v>
      </c>
      <c r="I81" s="243">
        <v>8.844444444444445</v>
      </c>
      <c r="J81" s="88">
        <f t="shared" si="2"/>
        <v>-0.9055555556</v>
      </c>
      <c r="K81" s="82">
        <v>0.0</v>
      </c>
    </row>
    <row r="82">
      <c r="A82" s="114">
        <v>80.0</v>
      </c>
      <c r="B82" s="232" t="s">
        <v>288</v>
      </c>
      <c r="C82" s="80" t="s">
        <v>303</v>
      </c>
      <c r="D82" s="80">
        <v>26.0</v>
      </c>
      <c r="E82" s="82">
        <f t="shared" si="1"/>
        <v>26</v>
      </c>
      <c r="F82" s="114">
        <v>0.0</v>
      </c>
      <c r="G82" s="114">
        <v>0.0</v>
      </c>
      <c r="H82" s="237">
        <v>9.75</v>
      </c>
      <c r="I82" s="238">
        <v>13.166666666666666</v>
      </c>
      <c r="J82" s="88">
        <f t="shared" si="2"/>
        <v>3.416666667</v>
      </c>
      <c r="K82" s="82">
        <v>0.0</v>
      </c>
    </row>
    <row r="83">
      <c r="C83" s="65"/>
      <c r="D83" s="65"/>
      <c r="E83" s="65"/>
      <c r="F83" s="65"/>
      <c r="G83" s="65"/>
      <c r="H83" s="65"/>
      <c r="I83" s="65"/>
      <c r="J83" s="65"/>
      <c r="K83" s="65"/>
    </row>
    <row r="84">
      <c r="C84" s="65"/>
      <c r="D84" s="65"/>
      <c r="E84" s="65"/>
      <c r="F84" s="65"/>
      <c r="G84" s="65"/>
      <c r="H84" s="65"/>
      <c r="I84" s="65"/>
      <c r="J84" s="65"/>
      <c r="K84" s="65"/>
    </row>
    <row r="85">
      <c r="C85" s="65"/>
      <c r="D85" s="65"/>
      <c r="E85" s="65"/>
      <c r="F85" s="65"/>
      <c r="G85" s="65"/>
      <c r="H85" s="65"/>
      <c r="I85" s="65"/>
      <c r="J85" s="65"/>
      <c r="K85" s="65"/>
    </row>
    <row r="86">
      <c r="C86" s="65"/>
      <c r="D86" s="65"/>
      <c r="E86" s="65"/>
      <c r="F86" s="65"/>
      <c r="G86" s="65"/>
      <c r="H86" s="65"/>
      <c r="I86" s="65"/>
      <c r="J86" s="65"/>
      <c r="K86" s="65"/>
    </row>
    <row r="87">
      <c r="C87" s="65"/>
      <c r="D87" s="65"/>
      <c r="E87" s="65"/>
      <c r="F87" s="65"/>
      <c r="G87" s="65"/>
      <c r="H87" s="65"/>
      <c r="I87" s="65"/>
      <c r="J87" s="65"/>
      <c r="K87" s="65"/>
    </row>
    <row r="88">
      <c r="C88" s="65"/>
      <c r="D88" s="65"/>
      <c r="E88" s="65"/>
      <c r="F88" s="65"/>
      <c r="G88" s="65"/>
      <c r="H88" s="65"/>
      <c r="I88" s="65"/>
      <c r="J88" s="65"/>
      <c r="K88" s="65"/>
    </row>
    <row r="89">
      <c r="C89" s="65"/>
      <c r="D89" s="65"/>
      <c r="E89" s="65"/>
      <c r="F89" s="65"/>
      <c r="G89" s="65"/>
      <c r="H89" s="65"/>
      <c r="I89" s="65"/>
      <c r="J89" s="65"/>
      <c r="K89" s="65"/>
    </row>
    <row r="90">
      <c r="C90" s="65"/>
      <c r="D90" s="65"/>
      <c r="E90" s="65"/>
      <c r="F90" s="65"/>
      <c r="G90" s="65"/>
      <c r="H90" s="65"/>
      <c r="I90" s="65"/>
      <c r="J90" s="65"/>
      <c r="K90" s="65"/>
    </row>
    <row r="91">
      <c r="C91" s="65"/>
      <c r="D91" s="65"/>
      <c r="E91" s="65"/>
      <c r="F91" s="65"/>
      <c r="G91" s="65"/>
      <c r="H91" s="65"/>
      <c r="I91" s="65"/>
      <c r="J91" s="65"/>
      <c r="K91" s="65"/>
    </row>
    <row r="92">
      <c r="C92" s="65"/>
      <c r="D92" s="65"/>
      <c r="E92" s="65"/>
      <c r="F92" s="65"/>
      <c r="G92" s="65"/>
      <c r="H92" s="65"/>
      <c r="I92" s="65"/>
      <c r="J92" s="65"/>
      <c r="K92" s="65"/>
    </row>
    <row r="93">
      <c r="C93" s="65"/>
      <c r="D93" s="65"/>
      <c r="E93" s="65"/>
      <c r="F93" s="65"/>
      <c r="G93" s="65"/>
      <c r="H93" s="65"/>
      <c r="I93" s="65"/>
      <c r="J93" s="65"/>
      <c r="K93" s="65"/>
    </row>
    <row r="94">
      <c r="C94" s="65"/>
      <c r="D94" s="65"/>
      <c r="E94" s="65"/>
      <c r="F94" s="65"/>
      <c r="G94" s="65"/>
      <c r="H94" s="65"/>
      <c r="I94" s="65"/>
      <c r="J94" s="65"/>
      <c r="K94" s="65"/>
    </row>
    <row r="95">
      <c r="C95" s="65"/>
      <c r="D95" s="65"/>
      <c r="E95" s="65"/>
      <c r="F95" s="65"/>
      <c r="G95" s="65"/>
      <c r="H95" s="65"/>
      <c r="I95" s="65"/>
      <c r="J95" s="65"/>
      <c r="K95" s="65"/>
    </row>
    <row r="96">
      <c r="C96" s="65"/>
      <c r="D96" s="65"/>
      <c r="E96" s="65"/>
      <c r="F96" s="65"/>
      <c r="G96" s="65"/>
      <c r="H96" s="65"/>
      <c r="I96" s="65"/>
      <c r="J96" s="65"/>
      <c r="K96" s="65"/>
    </row>
    <row r="97">
      <c r="C97" s="65"/>
      <c r="D97" s="65"/>
      <c r="E97" s="65"/>
      <c r="F97" s="65"/>
      <c r="G97" s="65"/>
      <c r="H97" s="65"/>
      <c r="I97" s="65"/>
      <c r="J97" s="65"/>
      <c r="K97" s="65"/>
    </row>
    <row r="98">
      <c r="C98" s="65"/>
      <c r="D98" s="65"/>
      <c r="E98" s="65"/>
      <c r="F98" s="65"/>
      <c r="G98" s="65"/>
      <c r="H98" s="65"/>
      <c r="I98" s="65"/>
      <c r="J98" s="65"/>
      <c r="K98" s="65"/>
    </row>
    <row r="99">
      <c r="C99" s="65"/>
      <c r="D99" s="65"/>
      <c r="E99" s="65"/>
      <c r="F99" s="65"/>
      <c r="G99" s="65"/>
      <c r="H99" s="65"/>
      <c r="I99" s="65"/>
      <c r="J99" s="65"/>
      <c r="K99" s="65"/>
    </row>
    <row r="100">
      <c r="C100" s="65"/>
      <c r="D100" s="65"/>
      <c r="E100" s="65"/>
      <c r="F100" s="65"/>
      <c r="G100" s="65"/>
      <c r="H100" s="65"/>
      <c r="I100" s="65"/>
      <c r="J100" s="65"/>
      <c r="K100" s="65"/>
    </row>
    <row r="101">
      <c r="C101" s="65"/>
      <c r="D101" s="65"/>
      <c r="E101" s="65"/>
      <c r="F101" s="65"/>
      <c r="G101" s="65"/>
      <c r="H101" s="65"/>
      <c r="I101" s="65"/>
      <c r="J101" s="65"/>
      <c r="K101" s="65"/>
    </row>
    <row r="102">
      <c r="C102" s="65"/>
      <c r="D102" s="65"/>
      <c r="E102" s="65"/>
      <c r="F102" s="65"/>
      <c r="G102" s="65"/>
      <c r="H102" s="65"/>
      <c r="I102" s="65"/>
      <c r="J102" s="65"/>
      <c r="K102" s="65"/>
    </row>
    <row r="103">
      <c r="C103" s="65"/>
      <c r="D103" s="65"/>
      <c r="E103" s="65"/>
      <c r="F103" s="65"/>
      <c r="G103" s="65"/>
      <c r="H103" s="65"/>
      <c r="I103" s="65"/>
      <c r="J103" s="65"/>
      <c r="K103" s="65"/>
    </row>
    <row r="104">
      <c r="C104" s="65"/>
      <c r="D104" s="65"/>
      <c r="E104" s="65"/>
      <c r="F104" s="65"/>
      <c r="G104" s="65"/>
      <c r="H104" s="65"/>
      <c r="I104" s="65"/>
      <c r="J104" s="65"/>
      <c r="K104" s="65"/>
    </row>
    <row r="105">
      <c r="C105" s="65"/>
      <c r="D105" s="65"/>
      <c r="E105" s="65"/>
      <c r="F105" s="65"/>
      <c r="G105" s="65"/>
      <c r="H105" s="65"/>
      <c r="I105" s="65"/>
      <c r="J105" s="65"/>
      <c r="K105" s="65"/>
    </row>
    <row r="106">
      <c r="C106" s="65"/>
      <c r="D106" s="65"/>
      <c r="E106" s="65"/>
      <c r="F106" s="65"/>
      <c r="G106" s="65"/>
      <c r="H106" s="65"/>
      <c r="I106" s="65"/>
      <c r="J106" s="65"/>
      <c r="K106" s="65"/>
    </row>
    <row r="107">
      <c r="C107" s="65"/>
      <c r="D107" s="65"/>
      <c r="E107" s="65"/>
      <c r="F107" s="65"/>
      <c r="G107" s="65"/>
      <c r="H107" s="65"/>
      <c r="I107" s="65"/>
      <c r="J107" s="65"/>
      <c r="K107" s="65"/>
    </row>
    <row r="108">
      <c r="C108" s="65"/>
      <c r="D108" s="65"/>
      <c r="E108" s="65"/>
      <c r="F108" s="65"/>
      <c r="G108" s="65"/>
      <c r="H108" s="65"/>
      <c r="I108" s="65"/>
      <c r="J108" s="65"/>
      <c r="K108" s="65"/>
    </row>
    <row r="109">
      <c r="C109" s="65"/>
      <c r="D109" s="65"/>
      <c r="E109" s="65"/>
      <c r="F109" s="65"/>
      <c r="G109" s="65"/>
      <c r="H109" s="65"/>
      <c r="I109" s="65"/>
      <c r="J109" s="65"/>
      <c r="K109" s="65"/>
    </row>
    <row r="110">
      <c r="C110" s="65"/>
      <c r="D110" s="65"/>
      <c r="E110" s="65"/>
      <c r="F110" s="65"/>
      <c r="G110" s="65"/>
      <c r="H110" s="65"/>
      <c r="I110" s="65"/>
      <c r="J110" s="65"/>
      <c r="K110" s="65"/>
    </row>
    <row r="111">
      <c r="C111" s="65"/>
      <c r="D111" s="65"/>
      <c r="E111" s="65"/>
      <c r="F111" s="65"/>
      <c r="G111" s="65"/>
      <c r="H111" s="65"/>
      <c r="I111" s="65"/>
      <c r="J111" s="65"/>
      <c r="K111" s="65"/>
    </row>
    <row r="112">
      <c r="C112" s="65"/>
      <c r="D112" s="65"/>
      <c r="E112" s="65"/>
      <c r="F112" s="65"/>
      <c r="G112" s="65"/>
      <c r="H112" s="65"/>
      <c r="I112" s="65"/>
      <c r="J112" s="65"/>
      <c r="K112" s="65"/>
    </row>
    <row r="113">
      <c r="C113" s="65"/>
      <c r="D113" s="65"/>
      <c r="E113" s="65"/>
      <c r="F113" s="65"/>
      <c r="G113" s="65"/>
      <c r="H113" s="65"/>
      <c r="I113" s="65"/>
      <c r="J113" s="65"/>
      <c r="K113" s="65"/>
    </row>
    <row r="114">
      <c r="C114" s="65"/>
      <c r="D114" s="65"/>
      <c r="E114" s="65"/>
      <c r="F114" s="65"/>
      <c r="G114" s="65"/>
      <c r="H114" s="65"/>
      <c r="I114" s="65"/>
      <c r="J114" s="65"/>
      <c r="K114" s="65"/>
    </row>
    <row r="115">
      <c r="C115" s="65"/>
      <c r="D115" s="65"/>
      <c r="E115" s="65"/>
      <c r="F115" s="65"/>
      <c r="G115" s="65"/>
      <c r="H115" s="65"/>
      <c r="I115" s="65"/>
      <c r="J115" s="65"/>
      <c r="K115" s="65"/>
    </row>
    <row r="116">
      <c r="C116" s="65"/>
      <c r="D116" s="65"/>
      <c r="E116" s="65"/>
      <c r="F116" s="65"/>
      <c r="G116" s="65"/>
      <c r="H116" s="65"/>
      <c r="I116" s="65"/>
      <c r="J116" s="65"/>
      <c r="K116" s="65"/>
    </row>
    <row r="117">
      <c r="C117" s="65"/>
      <c r="D117" s="65"/>
      <c r="E117" s="65"/>
      <c r="F117" s="65"/>
      <c r="G117" s="65"/>
      <c r="H117" s="65"/>
      <c r="I117" s="65"/>
      <c r="J117" s="65"/>
      <c r="K117" s="65"/>
    </row>
    <row r="118">
      <c r="C118" s="65"/>
      <c r="D118" s="65"/>
      <c r="E118" s="65"/>
      <c r="F118" s="65"/>
      <c r="G118" s="65"/>
      <c r="H118" s="65"/>
      <c r="I118" s="65"/>
      <c r="J118" s="65"/>
      <c r="K118" s="65"/>
    </row>
    <row r="119">
      <c r="C119" s="65"/>
      <c r="D119" s="65"/>
      <c r="E119" s="65"/>
      <c r="F119" s="65"/>
      <c r="G119" s="65"/>
      <c r="H119" s="65"/>
      <c r="I119" s="65"/>
      <c r="J119" s="65"/>
      <c r="K119" s="65"/>
    </row>
    <row r="120">
      <c r="C120" s="65"/>
      <c r="D120" s="65"/>
      <c r="E120" s="65"/>
      <c r="F120" s="65"/>
      <c r="G120" s="65"/>
      <c r="H120" s="65"/>
      <c r="I120" s="65"/>
      <c r="J120" s="65"/>
      <c r="K120" s="65"/>
    </row>
    <row r="121">
      <c r="C121" s="65"/>
      <c r="D121" s="65"/>
      <c r="E121" s="65"/>
      <c r="F121" s="65"/>
      <c r="G121" s="65"/>
      <c r="H121" s="65"/>
      <c r="I121" s="65"/>
      <c r="J121" s="65"/>
      <c r="K121" s="65"/>
    </row>
    <row r="122">
      <c r="C122" s="65"/>
      <c r="D122" s="65"/>
      <c r="E122" s="65"/>
      <c r="F122" s="65"/>
      <c r="G122" s="65"/>
      <c r="H122" s="65"/>
      <c r="I122" s="65"/>
      <c r="J122" s="65"/>
      <c r="K122" s="65"/>
    </row>
    <row r="123">
      <c r="C123" s="65"/>
      <c r="D123" s="65"/>
      <c r="E123" s="65"/>
      <c r="F123" s="65"/>
      <c r="G123" s="65"/>
      <c r="H123" s="65"/>
      <c r="I123" s="65"/>
      <c r="J123" s="65"/>
      <c r="K123" s="65"/>
    </row>
    <row r="124">
      <c r="C124" s="65"/>
      <c r="D124" s="65"/>
      <c r="E124" s="65"/>
      <c r="F124" s="65"/>
      <c r="G124" s="65"/>
      <c r="H124" s="65"/>
      <c r="I124" s="65"/>
      <c r="J124" s="65"/>
      <c r="K124" s="65"/>
    </row>
    <row r="125">
      <c r="C125" s="65"/>
      <c r="D125" s="65"/>
      <c r="E125" s="65"/>
      <c r="F125" s="65"/>
      <c r="G125" s="65"/>
      <c r="H125" s="65"/>
      <c r="I125" s="65"/>
      <c r="J125" s="65"/>
      <c r="K125" s="65"/>
    </row>
    <row r="126">
      <c r="C126" s="65"/>
      <c r="D126" s="65"/>
      <c r="E126" s="65"/>
      <c r="F126" s="65"/>
      <c r="G126" s="65"/>
      <c r="H126" s="65"/>
      <c r="I126" s="65"/>
      <c r="J126" s="65"/>
      <c r="K126" s="65"/>
    </row>
    <row r="127">
      <c r="C127" s="65"/>
      <c r="D127" s="65"/>
      <c r="E127" s="65"/>
      <c r="F127" s="65"/>
      <c r="G127" s="65"/>
      <c r="H127" s="65"/>
      <c r="I127" s="65"/>
      <c r="J127" s="65"/>
      <c r="K127" s="65"/>
    </row>
    <row r="128">
      <c r="C128" s="65"/>
      <c r="D128" s="65"/>
      <c r="E128" s="65"/>
      <c r="F128" s="65"/>
      <c r="G128" s="65"/>
      <c r="H128" s="65"/>
      <c r="I128" s="65"/>
      <c r="J128" s="65"/>
      <c r="K128" s="65"/>
    </row>
    <row r="129">
      <c r="C129" s="65"/>
      <c r="D129" s="65"/>
      <c r="E129" s="65"/>
      <c r="F129" s="65"/>
      <c r="G129" s="65"/>
      <c r="H129" s="65"/>
      <c r="I129" s="65"/>
      <c r="J129" s="65"/>
      <c r="K129" s="65"/>
    </row>
    <row r="130">
      <c r="C130" s="65"/>
      <c r="D130" s="65"/>
      <c r="E130" s="65"/>
      <c r="F130" s="65"/>
      <c r="G130" s="65"/>
      <c r="H130" s="65"/>
      <c r="I130" s="65"/>
      <c r="J130" s="65"/>
      <c r="K130" s="65"/>
    </row>
    <row r="131">
      <c r="C131" s="65"/>
      <c r="D131" s="65"/>
      <c r="E131" s="65"/>
      <c r="F131" s="65"/>
      <c r="G131" s="65"/>
      <c r="H131" s="65"/>
      <c r="I131" s="65"/>
      <c r="J131" s="65"/>
      <c r="K131" s="65"/>
    </row>
    <row r="132">
      <c r="C132" s="65"/>
      <c r="D132" s="65"/>
      <c r="E132" s="65"/>
      <c r="F132" s="65"/>
      <c r="G132" s="65"/>
      <c r="H132" s="65"/>
      <c r="I132" s="65"/>
      <c r="J132" s="65"/>
      <c r="K132" s="65"/>
    </row>
    <row r="133">
      <c r="C133" s="65"/>
      <c r="D133" s="65"/>
      <c r="E133" s="65"/>
      <c r="F133" s="65"/>
      <c r="G133" s="65"/>
      <c r="H133" s="65"/>
      <c r="I133" s="65"/>
      <c r="J133" s="65"/>
      <c r="K133" s="65"/>
    </row>
    <row r="134">
      <c r="C134" s="65"/>
      <c r="D134" s="65"/>
      <c r="E134" s="65"/>
      <c r="F134" s="65"/>
      <c r="G134" s="65"/>
      <c r="H134" s="65"/>
      <c r="I134" s="65"/>
      <c r="J134" s="65"/>
      <c r="K134" s="65"/>
    </row>
    <row r="135">
      <c r="C135" s="65"/>
      <c r="D135" s="65"/>
      <c r="E135" s="65"/>
      <c r="F135" s="65"/>
      <c r="G135" s="65"/>
      <c r="H135" s="65"/>
      <c r="I135" s="65"/>
      <c r="J135" s="65"/>
      <c r="K135" s="65"/>
    </row>
    <row r="136">
      <c r="C136" s="65"/>
      <c r="D136" s="65"/>
      <c r="E136" s="65"/>
      <c r="F136" s="65"/>
      <c r="G136" s="65"/>
      <c r="H136" s="65"/>
      <c r="I136" s="65"/>
      <c r="J136" s="65"/>
      <c r="K136" s="65"/>
    </row>
    <row r="137">
      <c r="C137" s="65"/>
      <c r="D137" s="65"/>
      <c r="E137" s="65"/>
      <c r="F137" s="65"/>
      <c r="G137" s="65"/>
      <c r="H137" s="65"/>
      <c r="I137" s="65"/>
      <c r="J137" s="65"/>
      <c r="K137" s="65"/>
    </row>
    <row r="138">
      <c r="C138" s="65"/>
      <c r="D138" s="65"/>
      <c r="E138" s="65"/>
      <c r="F138" s="65"/>
      <c r="G138" s="65"/>
      <c r="H138" s="65"/>
      <c r="I138" s="65"/>
      <c r="J138" s="65"/>
      <c r="K138" s="65"/>
    </row>
    <row r="139">
      <c r="C139" s="65"/>
      <c r="D139" s="65"/>
      <c r="E139" s="65"/>
      <c r="F139" s="65"/>
      <c r="G139" s="65"/>
      <c r="H139" s="65"/>
      <c r="I139" s="65"/>
      <c r="J139" s="65"/>
      <c r="K139" s="65"/>
    </row>
    <row r="140">
      <c r="C140" s="65"/>
      <c r="D140" s="65"/>
      <c r="E140" s="65"/>
      <c r="F140" s="65"/>
      <c r="G140" s="65"/>
      <c r="H140" s="65"/>
      <c r="I140" s="65"/>
      <c r="J140" s="65"/>
      <c r="K140" s="65"/>
    </row>
    <row r="141">
      <c r="C141" s="65"/>
      <c r="D141" s="65"/>
      <c r="E141" s="65"/>
      <c r="F141" s="65"/>
      <c r="G141" s="65"/>
      <c r="H141" s="65"/>
      <c r="I141" s="65"/>
      <c r="J141" s="65"/>
      <c r="K141" s="65"/>
    </row>
    <row r="142">
      <c r="C142" s="65"/>
      <c r="D142" s="65"/>
      <c r="E142" s="65"/>
      <c r="F142" s="65"/>
      <c r="G142" s="65"/>
      <c r="H142" s="65"/>
      <c r="I142" s="65"/>
      <c r="J142" s="65"/>
      <c r="K142" s="65"/>
    </row>
    <row r="143">
      <c r="C143" s="65"/>
      <c r="D143" s="65"/>
      <c r="E143" s="65"/>
      <c r="F143" s="65"/>
      <c r="G143" s="65"/>
      <c r="H143" s="65"/>
      <c r="I143" s="65"/>
      <c r="J143" s="65"/>
      <c r="K143" s="65"/>
    </row>
    <row r="144">
      <c r="C144" s="65"/>
      <c r="D144" s="65"/>
      <c r="E144" s="65"/>
      <c r="F144" s="65"/>
      <c r="G144" s="65"/>
      <c r="H144" s="65"/>
      <c r="I144" s="65"/>
      <c r="J144" s="65"/>
      <c r="K144" s="65"/>
    </row>
    <row r="145">
      <c r="C145" s="65"/>
      <c r="D145" s="65"/>
      <c r="E145" s="65"/>
      <c r="F145" s="65"/>
      <c r="G145" s="65"/>
      <c r="H145" s="65"/>
      <c r="I145" s="65"/>
      <c r="J145" s="65"/>
      <c r="K145" s="65"/>
    </row>
    <row r="146">
      <c r="C146" s="65"/>
      <c r="D146" s="65"/>
      <c r="E146" s="65"/>
      <c r="F146" s="65"/>
      <c r="G146" s="65"/>
      <c r="H146" s="65"/>
      <c r="I146" s="65"/>
      <c r="J146" s="65"/>
      <c r="K146" s="65"/>
    </row>
    <row r="147">
      <c r="C147" s="65"/>
      <c r="D147" s="65"/>
      <c r="E147" s="65"/>
      <c r="F147" s="65"/>
      <c r="G147" s="65"/>
      <c r="H147" s="65"/>
      <c r="I147" s="65"/>
      <c r="J147" s="65"/>
      <c r="K147" s="65"/>
    </row>
    <row r="148">
      <c r="C148" s="65"/>
      <c r="D148" s="65"/>
      <c r="E148" s="65"/>
      <c r="F148" s="65"/>
      <c r="G148" s="65"/>
      <c r="H148" s="65"/>
      <c r="I148" s="65"/>
      <c r="J148" s="65"/>
      <c r="K148" s="65"/>
    </row>
    <row r="149">
      <c r="C149" s="65"/>
      <c r="D149" s="65"/>
      <c r="E149" s="65"/>
      <c r="F149" s="65"/>
      <c r="G149" s="65"/>
      <c r="H149" s="65"/>
      <c r="I149" s="65"/>
      <c r="J149" s="65"/>
      <c r="K149" s="65"/>
    </row>
    <row r="150">
      <c r="C150" s="65"/>
      <c r="D150" s="65"/>
      <c r="E150" s="65"/>
      <c r="F150" s="65"/>
      <c r="G150" s="65"/>
      <c r="H150" s="65"/>
      <c r="I150" s="65"/>
      <c r="J150" s="65"/>
      <c r="K150" s="65"/>
    </row>
    <row r="151">
      <c r="C151" s="65"/>
      <c r="D151" s="65"/>
      <c r="E151" s="65"/>
      <c r="F151" s="65"/>
      <c r="G151" s="65"/>
      <c r="H151" s="65"/>
      <c r="I151" s="65"/>
      <c r="J151" s="65"/>
      <c r="K151" s="65"/>
    </row>
    <row r="152">
      <c r="C152" s="65"/>
      <c r="D152" s="65"/>
      <c r="E152" s="65"/>
      <c r="F152" s="65"/>
      <c r="G152" s="65"/>
      <c r="H152" s="65"/>
      <c r="I152" s="65"/>
      <c r="J152" s="65"/>
      <c r="K152" s="65"/>
    </row>
    <row r="153">
      <c r="C153" s="65"/>
      <c r="D153" s="65"/>
      <c r="E153" s="65"/>
      <c r="F153" s="65"/>
      <c r="G153" s="65"/>
      <c r="H153" s="65"/>
      <c r="I153" s="65"/>
      <c r="J153" s="65"/>
      <c r="K153" s="65"/>
    </row>
    <row r="154">
      <c r="C154" s="65"/>
      <c r="D154" s="65"/>
      <c r="E154" s="65"/>
      <c r="F154" s="65"/>
      <c r="G154" s="65"/>
      <c r="H154" s="65"/>
      <c r="I154" s="65"/>
      <c r="J154" s="65"/>
      <c r="K154" s="65"/>
    </row>
    <row r="155">
      <c r="C155" s="65"/>
      <c r="D155" s="65"/>
      <c r="E155" s="65"/>
      <c r="F155" s="65"/>
      <c r="G155" s="65"/>
      <c r="H155" s="65"/>
      <c r="I155" s="65"/>
      <c r="J155" s="65"/>
      <c r="K155" s="65"/>
    </row>
    <row r="156">
      <c r="C156" s="65"/>
      <c r="D156" s="65"/>
      <c r="E156" s="65"/>
      <c r="F156" s="65"/>
      <c r="G156" s="65"/>
      <c r="H156" s="65"/>
      <c r="I156" s="65"/>
      <c r="J156" s="65"/>
      <c r="K156" s="65"/>
    </row>
    <row r="157">
      <c r="C157" s="65"/>
      <c r="D157" s="65"/>
      <c r="E157" s="65"/>
      <c r="F157" s="65"/>
      <c r="G157" s="65"/>
      <c r="H157" s="65"/>
      <c r="I157" s="65"/>
      <c r="J157" s="65"/>
      <c r="K157" s="65"/>
    </row>
    <row r="158">
      <c r="C158" s="65"/>
      <c r="D158" s="65"/>
      <c r="E158" s="65"/>
      <c r="F158" s="65"/>
      <c r="G158" s="65"/>
      <c r="H158" s="65"/>
      <c r="I158" s="65"/>
      <c r="J158" s="65"/>
      <c r="K158" s="65"/>
    </row>
    <row r="159">
      <c r="C159" s="65"/>
      <c r="D159" s="65"/>
      <c r="E159" s="65"/>
      <c r="F159" s="65"/>
      <c r="G159" s="65"/>
      <c r="H159" s="65"/>
      <c r="I159" s="65"/>
      <c r="J159" s="65"/>
      <c r="K159" s="65"/>
    </row>
    <row r="160">
      <c r="C160" s="65"/>
      <c r="D160" s="65"/>
      <c r="E160" s="65"/>
      <c r="F160" s="65"/>
      <c r="G160" s="65"/>
      <c r="H160" s="65"/>
      <c r="I160" s="65"/>
      <c r="J160" s="65"/>
      <c r="K160" s="65"/>
    </row>
    <row r="161">
      <c r="C161" s="65"/>
      <c r="D161" s="65"/>
      <c r="E161" s="65"/>
      <c r="F161" s="65"/>
      <c r="G161" s="65"/>
      <c r="H161" s="65"/>
      <c r="I161" s="65"/>
      <c r="J161" s="65"/>
      <c r="K161" s="65"/>
    </row>
    <row r="162">
      <c r="C162" s="65"/>
      <c r="D162" s="65"/>
      <c r="E162" s="65"/>
      <c r="F162" s="65"/>
      <c r="G162" s="65"/>
      <c r="H162" s="65"/>
      <c r="I162" s="65"/>
      <c r="J162" s="65"/>
      <c r="K162" s="65"/>
    </row>
    <row r="163">
      <c r="C163" s="65"/>
      <c r="D163" s="65"/>
      <c r="E163" s="65"/>
      <c r="F163" s="65"/>
      <c r="G163" s="65"/>
      <c r="H163" s="65"/>
      <c r="I163" s="65"/>
      <c r="J163" s="65"/>
      <c r="K163" s="65"/>
    </row>
    <row r="164">
      <c r="C164" s="65"/>
      <c r="D164" s="65"/>
      <c r="E164" s="65"/>
      <c r="F164" s="65"/>
      <c r="G164" s="65"/>
      <c r="H164" s="65"/>
      <c r="I164" s="65"/>
      <c r="J164" s="65"/>
      <c r="K164" s="65"/>
    </row>
    <row r="165">
      <c r="C165" s="65"/>
      <c r="D165" s="65"/>
      <c r="E165" s="65"/>
      <c r="F165" s="65"/>
      <c r="G165" s="65"/>
      <c r="H165" s="65"/>
      <c r="I165" s="65"/>
      <c r="J165" s="65"/>
      <c r="K165" s="65"/>
    </row>
    <row r="166">
      <c r="C166" s="65"/>
      <c r="D166" s="65"/>
      <c r="E166" s="65"/>
      <c r="F166" s="65"/>
      <c r="G166" s="65"/>
      <c r="H166" s="65"/>
      <c r="I166" s="65"/>
      <c r="J166" s="65"/>
      <c r="K166" s="65"/>
    </row>
    <row r="167">
      <c r="C167" s="65"/>
      <c r="D167" s="65"/>
      <c r="E167" s="65"/>
      <c r="F167" s="65"/>
      <c r="G167" s="65"/>
      <c r="H167" s="65"/>
      <c r="I167" s="65"/>
      <c r="J167" s="65"/>
      <c r="K167" s="65"/>
    </row>
    <row r="168">
      <c r="C168" s="65"/>
      <c r="D168" s="65"/>
      <c r="E168" s="65"/>
      <c r="F168" s="65"/>
      <c r="G168" s="65"/>
      <c r="H168" s="65"/>
      <c r="I168" s="65"/>
      <c r="J168" s="65"/>
      <c r="K168" s="65"/>
    </row>
    <row r="169">
      <c r="C169" s="65"/>
      <c r="D169" s="65"/>
      <c r="E169" s="65"/>
      <c r="F169" s="65"/>
      <c r="G169" s="65"/>
      <c r="H169" s="65"/>
      <c r="I169" s="65"/>
      <c r="J169" s="65"/>
      <c r="K169" s="65"/>
    </row>
    <row r="170">
      <c r="C170" s="65"/>
      <c r="D170" s="65"/>
      <c r="E170" s="65"/>
      <c r="F170" s="65"/>
      <c r="G170" s="65"/>
      <c r="H170" s="65"/>
      <c r="I170" s="65"/>
      <c r="J170" s="65"/>
      <c r="K170" s="65"/>
    </row>
    <row r="171">
      <c r="C171" s="65"/>
      <c r="D171" s="65"/>
      <c r="E171" s="65"/>
      <c r="F171" s="65"/>
      <c r="G171" s="65"/>
      <c r="H171" s="65"/>
      <c r="I171" s="65"/>
      <c r="J171" s="65"/>
      <c r="K171" s="65"/>
    </row>
    <row r="172">
      <c r="C172" s="65"/>
      <c r="D172" s="65"/>
      <c r="E172" s="65"/>
      <c r="F172" s="65"/>
      <c r="G172" s="65"/>
      <c r="H172" s="65"/>
      <c r="I172" s="65"/>
      <c r="J172" s="65"/>
      <c r="K172" s="65"/>
    </row>
    <row r="173">
      <c r="C173" s="65"/>
      <c r="D173" s="65"/>
      <c r="E173" s="65"/>
      <c r="F173" s="65"/>
      <c r="G173" s="65"/>
      <c r="H173" s="65"/>
      <c r="I173" s="65"/>
      <c r="J173" s="65"/>
      <c r="K173" s="65"/>
    </row>
    <row r="174">
      <c r="C174" s="65"/>
      <c r="D174" s="65"/>
      <c r="E174" s="65"/>
      <c r="F174" s="65"/>
      <c r="G174" s="65"/>
      <c r="H174" s="65"/>
      <c r="I174" s="65"/>
      <c r="J174" s="65"/>
      <c r="K174" s="65"/>
    </row>
    <row r="175">
      <c r="C175" s="65"/>
      <c r="D175" s="65"/>
      <c r="E175" s="65"/>
      <c r="F175" s="65"/>
      <c r="G175" s="65"/>
      <c r="H175" s="65"/>
      <c r="I175" s="65"/>
      <c r="J175" s="65"/>
      <c r="K175" s="65"/>
    </row>
    <row r="176">
      <c r="C176" s="65"/>
      <c r="D176" s="65"/>
      <c r="E176" s="65"/>
      <c r="F176" s="65"/>
      <c r="G176" s="65"/>
      <c r="H176" s="65"/>
      <c r="I176" s="65"/>
      <c r="J176" s="65"/>
      <c r="K176" s="65"/>
    </row>
    <row r="177">
      <c r="C177" s="65"/>
      <c r="D177" s="65"/>
      <c r="E177" s="65"/>
      <c r="F177" s="65"/>
      <c r="G177" s="65"/>
      <c r="H177" s="65"/>
      <c r="I177" s="65"/>
      <c r="J177" s="65"/>
      <c r="K177" s="65"/>
    </row>
    <row r="178">
      <c r="C178" s="65"/>
      <c r="D178" s="65"/>
      <c r="E178" s="65"/>
      <c r="F178" s="65"/>
      <c r="G178" s="65"/>
      <c r="H178" s="65"/>
      <c r="I178" s="65"/>
      <c r="J178" s="65"/>
      <c r="K178" s="65"/>
    </row>
    <row r="179">
      <c r="C179" s="65"/>
      <c r="D179" s="65"/>
      <c r="E179" s="65"/>
      <c r="F179" s="65"/>
      <c r="G179" s="65"/>
      <c r="H179" s="65"/>
      <c r="I179" s="65"/>
      <c r="J179" s="65"/>
      <c r="K179" s="65"/>
    </row>
    <row r="180">
      <c r="C180" s="65"/>
      <c r="D180" s="65"/>
      <c r="E180" s="65"/>
      <c r="F180" s="65"/>
      <c r="G180" s="65"/>
      <c r="H180" s="65"/>
      <c r="I180" s="65"/>
      <c r="J180" s="65"/>
      <c r="K180" s="65"/>
    </row>
    <row r="181">
      <c r="C181" s="65"/>
      <c r="D181" s="65"/>
      <c r="E181" s="65"/>
      <c r="F181" s="65"/>
      <c r="G181" s="65"/>
      <c r="H181" s="65"/>
      <c r="I181" s="65"/>
      <c r="J181" s="65"/>
      <c r="K181" s="65"/>
    </row>
    <row r="182">
      <c r="C182" s="65"/>
      <c r="D182" s="65"/>
      <c r="E182" s="65"/>
      <c r="F182" s="65"/>
      <c r="G182" s="65"/>
      <c r="H182" s="65"/>
      <c r="I182" s="65"/>
      <c r="J182" s="65"/>
      <c r="K182" s="65"/>
    </row>
    <row r="183">
      <c r="C183" s="65"/>
      <c r="D183" s="65"/>
      <c r="E183" s="65"/>
      <c r="F183" s="65"/>
      <c r="G183" s="65"/>
      <c r="H183" s="65"/>
      <c r="I183" s="65"/>
      <c r="J183" s="65"/>
      <c r="K183" s="65"/>
    </row>
    <row r="184">
      <c r="C184" s="65"/>
      <c r="D184" s="65"/>
      <c r="E184" s="65"/>
      <c r="F184" s="65"/>
      <c r="G184" s="65"/>
      <c r="H184" s="65"/>
      <c r="I184" s="65"/>
      <c r="J184" s="65"/>
      <c r="K184" s="65"/>
    </row>
    <row r="185">
      <c r="C185" s="65"/>
      <c r="D185" s="65"/>
      <c r="E185" s="65"/>
      <c r="F185" s="65"/>
      <c r="G185" s="65"/>
      <c r="H185" s="65"/>
      <c r="I185" s="65"/>
      <c r="J185" s="65"/>
      <c r="K185" s="65"/>
    </row>
    <row r="186">
      <c r="C186" s="65"/>
      <c r="D186" s="65"/>
      <c r="E186" s="65"/>
      <c r="F186" s="65"/>
      <c r="G186" s="65"/>
      <c r="H186" s="65"/>
      <c r="I186" s="65"/>
      <c r="J186" s="65"/>
      <c r="K186" s="65"/>
    </row>
    <row r="187">
      <c r="C187" s="65"/>
      <c r="D187" s="65"/>
      <c r="E187" s="65"/>
      <c r="F187" s="65"/>
      <c r="G187" s="65"/>
      <c r="H187" s="65"/>
      <c r="I187" s="65"/>
      <c r="J187" s="65"/>
      <c r="K187" s="65"/>
    </row>
    <row r="188">
      <c r="C188" s="65"/>
      <c r="D188" s="65"/>
      <c r="E188" s="65"/>
      <c r="F188" s="65"/>
      <c r="G188" s="65"/>
      <c r="H188" s="65"/>
      <c r="I188" s="65"/>
      <c r="J188" s="65"/>
      <c r="K188" s="65"/>
    </row>
    <row r="189">
      <c r="C189" s="65"/>
      <c r="D189" s="65"/>
      <c r="E189" s="65"/>
      <c r="F189" s="65"/>
      <c r="G189" s="65"/>
      <c r="H189" s="65"/>
      <c r="I189" s="65"/>
      <c r="J189" s="65"/>
      <c r="K189" s="65"/>
    </row>
    <row r="190">
      <c r="C190" s="65"/>
      <c r="D190" s="65"/>
      <c r="E190" s="65"/>
      <c r="F190" s="65"/>
      <c r="G190" s="65"/>
      <c r="H190" s="65"/>
      <c r="I190" s="65"/>
      <c r="J190" s="65"/>
      <c r="K190" s="65"/>
    </row>
    <row r="191">
      <c r="C191" s="65"/>
      <c r="D191" s="65"/>
      <c r="E191" s="65"/>
      <c r="F191" s="65"/>
      <c r="G191" s="65"/>
      <c r="H191" s="65"/>
      <c r="I191" s="65"/>
      <c r="J191" s="65"/>
      <c r="K191" s="65"/>
    </row>
    <row r="192">
      <c r="C192" s="65"/>
      <c r="D192" s="65"/>
      <c r="E192" s="65"/>
      <c r="F192" s="65"/>
      <c r="G192" s="65"/>
      <c r="H192" s="65"/>
      <c r="I192" s="65"/>
      <c r="J192" s="65"/>
      <c r="K192" s="65"/>
    </row>
    <row r="193">
      <c r="C193" s="65"/>
      <c r="D193" s="65"/>
      <c r="E193" s="65"/>
      <c r="F193" s="65"/>
      <c r="G193" s="65"/>
      <c r="H193" s="65"/>
      <c r="I193" s="65"/>
      <c r="J193" s="65"/>
      <c r="K193" s="65"/>
    </row>
    <row r="194">
      <c r="C194" s="65"/>
      <c r="D194" s="65"/>
      <c r="E194" s="65"/>
      <c r="F194" s="65"/>
      <c r="G194" s="65"/>
      <c r="H194" s="65"/>
      <c r="I194" s="65"/>
      <c r="J194" s="65"/>
      <c r="K194" s="65"/>
    </row>
    <row r="195">
      <c r="C195" s="65"/>
      <c r="D195" s="65"/>
      <c r="E195" s="65"/>
      <c r="F195" s="65"/>
      <c r="G195" s="65"/>
      <c r="H195" s="65"/>
      <c r="I195" s="65"/>
      <c r="J195" s="65"/>
      <c r="K195" s="65"/>
    </row>
    <row r="196">
      <c r="C196" s="65"/>
      <c r="D196" s="65"/>
      <c r="E196" s="65"/>
      <c r="F196" s="65"/>
      <c r="G196" s="65"/>
      <c r="H196" s="65"/>
      <c r="I196" s="65"/>
      <c r="J196" s="65"/>
      <c r="K196" s="65"/>
    </row>
    <row r="197">
      <c r="C197" s="65"/>
      <c r="D197" s="65"/>
      <c r="E197" s="65"/>
      <c r="F197" s="65"/>
      <c r="G197" s="65"/>
      <c r="H197" s="65"/>
      <c r="I197" s="65"/>
      <c r="J197" s="65"/>
      <c r="K197" s="65"/>
    </row>
    <row r="198">
      <c r="C198" s="65"/>
      <c r="D198" s="65"/>
      <c r="E198" s="65"/>
      <c r="F198" s="65"/>
      <c r="G198" s="65"/>
      <c r="H198" s="65"/>
      <c r="I198" s="65"/>
      <c r="J198" s="65"/>
      <c r="K198" s="65"/>
    </row>
    <row r="199">
      <c r="C199" s="65"/>
      <c r="D199" s="65"/>
      <c r="E199" s="65"/>
      <c r="F199" s="65"/>
      <c r="G199" s="65"/>
      <c r="H199" s="65"/>
      <c r="I199" s="65"/>
      <c r="J199" s="65"/>
      <c r="K199" s="65"/>
    </row>
    <row r="200">
      <c r="C200" s="65"/>
      <c r="D200" s="65"/>
      <c r="E200" s="65"/>
      <c r="F200" s="65"/>
      <c r="G200" s="65"/>
      <c r="H200" s="65"/>
      <c r="I200" s="65"/>
      <c r="J200" s="65"/>
      <c r="K200" s="65"/>
    </row>
    <row r="201">
      <c r="C201" s="65"/>
      <c r="D201" s="65"/>
      <c r="E201" s="65"/>
      <c r="F201" s="65"/>
      <c r="G201" s="65"/>
      <c r="H201" s="65"/>
      <c r="I201" s="65"/>
      <c r="J201" s="65"/>
      <c r="K201" s="65"/>
    </row>
    <row r="202">
      <c r="C202" s="65"/>
      <c r="D202" s="65"/>
      <c r="E202" s="65"/>
      <c r="F202" s="65"/>
      <c r="G202" s="65"/>
      <c r="H202" s="65"/>
      <c r="I202" s="65"/>
      <c r="J202" s="65"/>
      <c r="K202" s="65"/>
    </row>
    <row r="203">
      <c r="C203" s="65"/>
      <c r="D203" s="65"/>
      <c r="E203" s="65"/>
      <c r="F203" s="65"/>
      <c r="G203" s="65"/>
      <c r="H203" s="65"/>
      <c r="I203" s="65"/>
      <c r="J203" s="65"/>
      <c r="K203" s="65"/>
    </row>
    <row r="204">
      <c r="C204" s="65"/>
      <c r="D204" s="65"/>
      <c r="E204" s="65"/>
      <c r="F204" s="65"/>
      <c r="G204" s="65"/>
      <c r="H204" s="65"/>
      <c r="I204" s="65"/>
      <c r="J204" s="65"/>
      <c r="K204" s="65"/>
    </row>
    <row r="205">
      <c r="C205" s="65"/>
      <c r="D205" s="65"/>
      <c r="E205" s="65"/>
      <c r="F205" s="65"/>
      <c r="G205" s="65"/>
      <c r="H205" s="65"/>
      <c r="I205" s="65"/>
      <c r="J205" s="65"/>
      <c r="K205" s="65"/>
    </row>
    <row r="206">
      <c r="C206" s="65"/>
      <c r="D206" s="65"/>
      <c r="E206" s="65"/>
      <c r="F206" s="65"/>
      <c r="G206" s="65"/>
      <c r="H206" s="65"/>
      <c r="I206" s="65"/>
      <c r="J206" s="65"/>
      <c r="K206" s="65"/>
    </row>
    <row r="207">
      <c r="C207" s="65"/>
      <c r="D207" s="65"/>
      <c r="E207" s="65"/>
      <c r="F207" s="65"/>
      <c r="G207" s="65"/>
      <c r="H207" s="65"/>
      <c r="I207" s="65"/>
      <c r="J207" s="65"/>
      <c r="K207" s="65"/>
    </row>
    <row r="208">
      <c r="C208" s="65"/>
      <c r="D208" s="65"/>
      <c r="E208" s="65"/>
      <c r="F208" s="65"/>
      <c r="G208" s="65"/>
      <c r="H208" s="65"/>
      <c r="I208" s="65"/>
      <c r="J208" s="65"/>
      <c r="K208" s="65"/>
    </row>
    <row r="209">
      <c r="C209" s="65"/>
      <c r="D209" s="65"/>
      <c r="E209" s="65"/>
      <c r="F209" s="65"/>
      <c r="G209" s="65"/>
      <c r="H209" s="65"/>
      <c r="I209" s="65"/>
      <c r="J209" s="65"/>
      <c r="K209" s="65"/>
    </row>
    <row r="210">
      <c r="C210" s="65"/>
      <c r="D210" s="65"/>
      <c r="E210" s="65"/>
      <c r="F210" s="65"/>
      <c r="G210" s="65"/>
      <c r="H210" s="65"/>
      <c r="I210" s="65"/>
      <c r="J210" s="65"/>
      <c r="K210" s="65"/>
    </row>
    <row r="211">
      <c r="C211" s="65"/>
      <c r="D211" s="65"/>
      <c r="E211" s="65"/>
      <c r="F211" s="65"/>
      <c r="G211" s="65"/>
      <c r="H211" s="65"/>
      <c r="I211" s="65"/>
      <c r="J211" s="65"/>
      <c r="K211" s="65"/>
    </row>
    <row r="212">
      <c r="C212" s="65"/>
      <c r="D212" s="65"/>
      <c r="E212" s="65"/>
      <c r="F212" s="65"/>
      <c r="G212" s="65"/>
      <c r="H212" s="65"/>
      <c r="I212" s="65"/>
      <c r="J212" s="65"/>
      <c r="K212" s="65"/>
    </row>
    <row r="213">
      <c r="C213" s="65"/>
      <c r="D213" s="65"/>
      <c r="E213" s="65"/>
      <c r="F213" s="65"/>
      <c r="G213" s="65"/>
      <c r="H213" s="65"/>
      <c r="I213" s="65"/>
      <c r="J213" s="65"/>
      <c r="K213" s="65"/>
    </row>
    <row r="214">
      <c r="C214" s="65"/>
      <c r="D214" s="65"/>
      <c r="E214" s="65"/>
      <c r="F214" s="65"/>
      <c r="G214" s="65"/>
      <c r="H214" s="65"/>
      <c r="I214" s="65"/>
      <c r="J214" s="65"/>
      <c r="K214" s="65"/>
    </row>
    <row r="215">
      <c r="C215" s="65"/>
      <c r="D215" s="65"/>
      <c r="E215" s="65"/>
      <c r="F215" s="65"/>
      <c r="G215" s="65"/>
      <c r="H215" s="65"/>
      <c r="I215" s="65"/>
      <c r="J215" s="65"/>
      <c r="K215" s="65"/>
    </row>
    <row r="216">
      <c r="C216" s="65"/>
      <c r="D216" s="65"/>
      <c r="E216" s="65"/>
      <c r="F216" s="65"/>
      <c r="G216" s="65"/>
      <c r="H216" s="65"/>
      <c r="I216" s="65"/>
      <c r="J216" s="65"/>
      <c r="K216" s="65"/>
    </row>
    <row r="217">
      <c r="C217" s="65"/>
      <c r="D217" s="65"/>
      <c r="E217" s="65"/>
      <c r="F217" s="65"/>
      <c r="G217" s="65"/>
      <c r="H217" s="65"/>
      <c r="I217" s="65"/>
      <c r="J217" s="65"/>
      <c r="K217" s="65"/>
    </row>
    <row r="218">
      <c r="C218" s="65"/>
      <c r="D218" s="65"/>
      <c r="E218" s="65"/>
      <c r="F218" s="65"/>
      <c r="G218" s="65"/>
      <c r="H218" s="65"/>
      <c r="I218" s="65"/>
      <c r="J218" s="65"/>
      <c r="K218" s="65"/>
    </row>
    <row r="219">
      <c r="C219" s="65"/>
      <c r="D219" s="65"/>
      <c r="E219" s="65"/>
      <c r="F219" s="65"/>
      <c r="G219" s="65"/>
      <c r="H219" s="65"/>
      <c r="I219" s="65"/>
      <c r="J219" s="65"/>
      <c r="K219" s="65"/>
    </row>
    <row r="220">
      <c r="C220" s="65"/>
      <c r="D220" s="65"/>
      <c r="E220" s="65"/>
      <c r="F220" s="65"/>
      <c r="G220" s="65"/>
      <c r="H220" s="65"/>
      <c r="I220" s="65"/>
      <c r="J220" s="65"/>
      <c r="K220" s="65"/>
    </row>
    <row r="221">
      <c r="C221" s="65"/>
      <c r="D221" s="65"/>
      <c r="E221" s="65"/>
      <c r="F221" s="65"/>
      <c r="G221" s="65"/>
      <c r="H221" s="65"/>
      <c r="I221" s="65"/>
      <c r="J221" s="65"/>
      <c r="K221" s="65"/>
    </row>
    <row r="222">
      <c r="C222" s="65"/>
      <c r="D222" s="65"/>
      <c r="E222" s="65"/>
      <c r="F222" s="65"/>
      <c r="G222" s="65"/>
      <c r="H222" s="65"/>
      <c r="I222" s="65"/>
      <c r="J222" s="65"/>
      <c r="K222" s="65"/>
    </row>
    <row r="223">
      <c r="C223" s="65"/>
      <c r="D223" s="65"/>
      <c r="E223" s="65"/>
      <c r="F223" s="65"/>
      <c r="G223" s="65"/>
      <c r="H223" s="65"/>
      <c r="I223" s="65"/>
      <c r="J223" s="65"/>
      <c r="K223" s="65"/>
    </row>
    <row r="224">
      <c r="C224" s="65"/>
      <c r="D224" s="65"/>
      <c r="E224" s="65"/>
      <c r="F224" s="65"/>
      <c r="G224" s="65"/>
      <c r="H224" s="65"/>
      <c r="I224" s="65"/>
      <c r="J224" s="65"/>
      <c r="K224" s="65"/>
    </row>
    <row r="225">
      <c r="C225" s="65"/>
      <c r="D225" s="65"/>
      <c r="E225" s="65"/>
      <c r="F225" s="65"/>
      <c r="G225" s="65"/>
      <c r="H225" s="65"/>
      <c r="I225" s="65"/>
      <c r="J225" s="65"/>
      <c r="K225" s="65"/>
    </row>
    <row r="226">
      <c r="C226" s="65"/>
      <c r="D226" s="65"/>
      <c r="E226" s="65"/>
      <c r="F226" s="65"/>
      <c r="G226" s="65"/>
      <c r="H226" s="65"/>
      <c r="I226" s="65"/>
      <c r="J226" s="65"/>
      <c r="K226" s="65"/>
    </row>
    <row r="227">
      <c r="C227" s="65"/>
      <c r="D227" s="65"/>
      <c r="E227" s="65"/>
      <c r="F227" s="65"/>
      <c r="G227" s="65"/>
      <c r="H227" s="65"/>
      <c r="I227" s="65"/>
      <c r="J227" s="65"/>
      <c r="K227" s="65"/>
    </row>
    <row r="228">
      <c r="C228" s="65"/>
      <c r="D228" s="65"/>
      <c r="E228" s="65"/>
      <c r="F228" s="65"/>
      <c r="G228" s="65"/>
      <c r="H228" s="65"/>
      <c r="I228" s="65"/>
      <c r="J228" s="65"/>
      <c r="K228" s="65"/>
    </row>
    <row r="229">
      <c r="C229" s="65"/>
      <c r="D229" s="65"/>
      <c r="E229" s="65"/>
      <c r="F229" s="65"/>
      <c r="G229" s="65"/>
      <c r="H229" s="65"/>
      <c r="I229" s="65"/>
      <c r="J229" s="65"/>
      <c r="K229" s="65"/>
    </row>
    <row r="230">
      <c r="C230" s="65"/>
      <c r="D230" s="65"/>
      <c r="E230" s="65"/>
      <c r="F230" s="65"/>
      <c r="G230" s="65"/>
      <c r="H230" s="65"/>
      <c r="I230" s="65"/>
      <c r="J230" s="65"/>
      <c r="K230" s="65"/>
    </row>
    <row r="231">
      <c r="C231" s="65"/>
      <c r="D231" s="65"/>
      <c r="E231" s="65"/>
      <c r="F231" s="65"/>
      <c r="G231" s="65"/>
      <c r="H231" s="65"/>
      <c r="I231" s="65"/>
      <c r="J231" s="65"/>
      <c r="K231" s="65"/>
    </row>
    <row r="232">
      <c r="C232" s="65"/>
      <c r="D232" s="65"/>
      <c r="E232" s="65"/>
      <c r="F232" s="65"/>
      <c r="G232" s="65"/>
      <c r="H232" s="65"/>
      <c r="I232" s="65"/>
      <c r="J232" s="65"/>
      <c r="K232" s="65"/>
    </row>
    <row r="233">
      <c r="C233" s="65"/>
      <c r="D233" s="65"/>
      <c r="E233" s="65"/>
      <c r="F233" s="65"/>
      <c r="G233" s="65"/>
      <c r="H233" s="65"/>
      <c r="I233" s="65"/>
      <c r="J233" s="65"/>
      <c r="K233" s="65"/>
    </row>
    <row r="234">
      <c r="C234" s="65"/>
      <c r="D234" s="65"/>
      <c r="E234" s="65"/>
      <c r="F234" s="65"/>
      <c r="G234" s="65"/>
      <c r="H234" s="65"/>
      <c r="I234" s="65"/>
      <c r="J234" s="65"/>
      <c r="K234" s="65"/>
    </row>
    <row r="235">
      <c r="C235" s="65"/>
      <c r="D235" s="65"/>
      <c r="E235" s="65"/>
      <c r="F235" s="65"/>
      <c r="G235" s="65"/>
      <c r="H235" s="65"/>
      <c r="I235" s="65"/>
      <c r="J235" s="65"/>
      <c r="K235" s="65"/>
    </row>
    <row r="236">
      <c r="C236" s="65"/>
      <c r="D236" s="65"/>
      <c r="E236" s="65"/>
      <c r="F236" s="65"/>
      <c r="G236" s="65"/>
      <c r="H236" s="65"/>
      <c r="I236" s="65"/>
      <c r="J236" s="65"/>
      <c r="K236" s="65"/>
    </row>
    <row r="237">
      <c r="C237" s="65"/>
      <c r="D237" s="65"/>
      <c r="E237" s="65"/>
      <c r="F237" s="65"/>
      <c r="G237" s="65"/>
      <c r="H237" s="65"/>
      <c r="I237" s="65"/>
      <c r="J237" s="65"/>
      <c r="K237" s="65"/>
    </row>
    <row r="238">
      <c r="C238" s="65"/>
      <c r="D238" s="65"/>
      <c r="E238" s="65"/>
      <c r="F238" s="65"/>
      <c r="G238" s="65"/>
      <c r="H238" s="65"/>
      <c r="I238" s="65"/>
      <c r="J238" s="65"/>
      <c r="K238" s="65"/>
    </row>
    <row r="239">
      <c r="C239" s="65"/>
      <c r="D239" s="65"/>
      <c r="E239" s="65"/>
      <c r="F239" s="65"/>
      <c r="G239" s="65"/>
      <c r="H239" s="65"/>
      <c r="I239" s="65"/>
      <c r="J239" s="65"/>
      <c r="K239" s="65"/>
    </row>
    <row r="240">
      <c r="C240" s="65"/>
      <c r="D240" s="65"/>
      <c r="E240" s="65"/>
      <c r="F240" s="65"/>
      <c r="G240" s="65"/>
      <c r="H240" s="65"/>
      <c r="I240" s="65"/>
      <c r="J240" s="65"/>
      <c r="K240" s="65"/>
    </row>
    <row r="241">
      <c r="C241" s="65"/>
      <c r="D241" s="65"/>
      <c r="E241" s="65"/>
      <c r="F241" s="65"/>
      <c r="G241" s="65"/>
      <c r="H241" s="65"/>
      <c r="I241" s="65"/>
      <c r="J241" s="65"/>
      <c r="K241" s="65"/>
    </row>
    <row r="242">
      <c r="C242" s="65"/>
      <c r="D242" s="65"/>
      <c r="E242" s="65"/>
      <c r="F242" s="65"/>
      <c r="G242" s="65"/>
      <c r="H242" s="65"/>
      <c r="I242" s="65"/>
      <c r="J242" s="65"/>
      <c r="K242" s="65"/>
    </row>
    <row r="243">
      <c r="C243" s="65"/>
      <c r="D243" s="65"/>
      <c r="E243" s="65"/>
      <c r="F243" s="65"/>
      <c r="G243" s="65"/>
      <c r="H243" s="65"/>
      <c r="I243" s="65"/>
      <c r="J243" s="65"/>
      <c r="K243" s="65"/>
    </row>
    <row r="244">
      <c r="C244" s="65"/>
      <c r="D244" s="65"/>
      <c r="E244" s="65"/>
      <c r="F244" s="65"/>
      <c r="G244" s="65"/>
      <c r="H244" s="65"/>
      <c r="I244" s="65"/>
      <c r="J244" s="65"/>
      <c r="K244" s="65"/>
    </row>
    <row r="245">
      <c r="C245" s="65"/>
      <c r="D245" s="65"/>
      <c r="E245" s="65"/>
      <c r="F245" s="65"/>
      <c r="G245" s="65"/>
      <c r="H245" s="65"/>
      <c r="I245" s="65"/>
      <c r="J245" s="65"/>
      <c r="K245" s="65"/>
    </row>
    <row r="246">
      <c r="C246" s="65"/>
      <c r="D246" s="65"/>
      <c r="E246" s="65"/>
      <c r="F246" s="65"/>
      <c r="G246" s="65"/>
      <c r="H246" s="65"/>
      <c r="I246" s="65"/>
      <c r="J246" s="65"/>
      <c r="K246" s="65"/>
    </row>
    <row r="247">
      <c r="C247" s="65"/>
      <c r="D247" s="65"/>
      <c r="E247" s="65"/>
      <c r="F247" s="65"/>
      <c r="G247" s="65"/>
      <c r="H247" s="65"/>
      <c r="I247" s="65"/>
      <c r="J247" s="65"/>
      <c r="K247" s="65"/>
    </row>
    <row r="248">
      <c r="C248" s="65"/>
      <c r="D248" s="65"/>
      <c r="E248" s="65"/>
      <c r="F248" s="65"/>
      <c r="G248" s="65"/>
      <c r="H248" s="65"/>
      <c r="I248" s="65"/>
      <c r="J248" s="65"/>
      <c r="K248" s="65"/>
    </row>
    <row r="249">
      <c r="C249" s="65"/>
      <c r="D249" s="65"/>
      <c r="E249" s="65"/>
      <c r="F249" s="65"/>
      <c r="G249" s="65"/>
      <c r="H249" s="65"/>
      <c r="I249" s="65"/>
      <c r="J249" s="65"/>
      <c r="K249" s="65"/>
    </row>
    <row r="250">
      <c r="C250" s="65"/>
      <c r="D250" s="65"/>
      <c r="E250" s="65"/>
      <c r="F250" s="65"/>
      <c r="G250" s="65"/>
      <c r="H250" s="65"/>
      <c r="I250" s="65"/>
      <c r="J250" s="65"/>
      <c r="K250" s="65"/>
    </row>
    <row r="251">
      <c r="C251" s="65"/>
      <c r="D251" s="65"/>
      <c r="E251" s="65"/>
      <c r="F251" s="65"/>
      <c r="G251" s="65"/>
      <c r="H251" s="65"/>
      <c r="I251" s="65"/>
      <c r="J251" s="65"/>
      <c r="K251" s="65"/>
    </row>
    <row r="252">
      <c r="C252" s="65"/>
      <c r="D252" s="65"/>
      <c r="E252" s="65"/>
      <c r="F252" s="65"/>
      <c r="G252" s="65"/>
      <c r="H252" s="65"/>
      <c r="I252" s="65"/>
      <c r="J252" s="65"/>
      <c r="K252" s="65"/>
    </row>
    <row r="253">
      <c r="C253" s="65"/>
      <c r="D253" s="65"/>
      <c r="E253" s="65"/>
      <c r="F253" s="65"/>
      <c r="G253" s="65"/>
      <c r="H253" s="65"/>
      <c r="I253" s="65"/>
      <c r="J253" s="65"/>
      <c r="K253" s="65"/>
    </row>
    <row r="254">
      <c r="C254" s="65"/>
      <c r="D254" s="65"/>
      <c r="E254" s="65"/>
      <c r="F254" s="65"/>
      <c r="G254" s="65"/>
      <c r="H254" s="65"/>
      <c r="I254" s="65"/>
      <c r="J254" s="65"/>
      <c r="K254" s="65"/>
    </row>
    <row r="255">
      <c r="C255" s="65"/>
      <c r="D255" s="65"/>
      <c r="E255" s="65"/>
      <c r="F255" s="65"/>
      <c r="G255" s="65"/>
      <c r="H255" s="65"/>
      <c r="I255" s="65"/>
      <c r="J255" s="65"/>
      <c r="K255" s="65"/>
    </row>
    <row r="256">
      <c r="C256" s="65"/>
      <c r="D256" s="65"/>
      <c r="E256" s="65"/>
      <c r="F256" s="65"/>
      <c r="G256" s="65"/>
      <c r="H256" s="65"/>
      <c r="I256" s="65"/>
      <c r="J256" s="65"/>
      <c r="K256" s="65"/>
    </row>
    <row r="257">
      <c r="C257" s="65"/>
      <c r="D257" s="65"/>
      <c r="E257" s="65"/>
      <c r="F257" s="65"/>
      <c r="G257" s="65"/>
      <c r="H257" s="65"/>
      <c r="I257" s="65"/>
      <c r="J257" s="65"/>
      <c r="K257" s="65"/>
    </row>
    <row r="258">
      <c r="C258" s="65"/>
      <c r="D258" s="65"/>
      <c r="E258" s="65"/>
      <c r="F258" s="65"/>
      <c r="G258" s="65"/>
      <c r="H258" s="65"/>
      <c r="I258" s="65"/>
      <c r="J258" s="65"/>
      <c r="K258" s="65"/>
    </row>
    <row r="259">
      <c r="C259" s="65"/>
      <c r="D259" s="65"/>
      <c r="E259" s="65"/>
      <c r="F259" s="65"/>
      <c r="G259" s="65"/>
      <c r="H259" s="65"/>
      <c r="I259" s="65"/>
      <c r="J259" s="65"/>
      <c r="K259" s="65"/>
    </row>
    <row r="260">
      <c r="C260" s="65"/>
      <c r="D260" s="65"/>
      <c r="E260" s="65"/>
      <c r="F260" s="65"/>
      <c r="G260" s="65"/>
      <c r="H260" s="65"/>
      <c r="I260" s="65"/>
      <c r="J260" s="65"/>
      <c r="K260" s="65"/>
    </row>
    <row r="261">
      <c r="C261" s="65"/>
      <c r="D261" s="65"/>
      <c r="E261" s="65"/>
      <c r="F261" s="65"/>
      <c r="G261" s="65"/>
      <c r="H261" s="65"/>
      <c r="I261" s="65"/>
      <c r="J261" s="65"/>
      <c r="K261" s="65"/>
    </row>
    <row r="262">
      <c r="C262" s="65"/>
      <c r="D262" s="65"/>
      <c r="E262" s="65"/>
      <c r="F262" s="65"/>
      <c r="G262" s="65"/>
      <c r="H262" s="65"/>
      <c r="I262" s="65"/>
      <c r="J262" s="65"/>
      <c r="K262" s="65"/>
    </row>
    <row r="263">
      <c r="C263" s="65"/>
      <c r="D263" s="65"/>
      <c r="E263" s="65"/>
      <c r="F263" s="65"/>
      <c r="G263" s="65"/>
      <c r="H263" s="65"/>
      <c r="I263" s="65"/>
      <c r="J263" s="65"/>
      <c r="K263" s="65"/>
    </row>
    <row r="264">
      <c r="C264" s="65"/>
      <c r="D264" s="65"/>
      <c r="E264" s="65"/>
      <c r="F264" s="65"/>
      <c r="G264" s="65"/>
      <c r="H264" s="65"/>
      <c r="I264" s="65"/>
      <c r="J264" s="65"/>
      <c r="K264" s="65"/>
    </row>
    <row r="265">
      <c r="C265" s="65"/>
      <c r="D265" s="65"/>
      <c r="E265" s="65"/>
      <c r="F265" s="65"/>
      <c r="G265" s="65"/>
      <c r="H265" s="65"/>
      <c r="I265" s="65"/>
      <c r="J265" s="65"/>
      <c r="K265" s="65"/>
    </row>
    <row r="266">
      <c r="C266" s="65"/>
      <c r="D266" s="65"/>
      <c r="E266" s="65"/>
      <c r="F266" s="65"/>
      <c r="G266" s="65"/>
      <c r="H266" s="65"/>
      <c r="I266" s="65"/>
      <c r="J266" s="65"/>
      <c r="K266" s="65"/>
    </row>
    <row r="267">
      <c r="C267" s="65"/>
      <c r="D267" s="65"/>
      <c r="E267" s="65"/>
      <c r="F267" s="65"/>
      <c r="G267" s="65"/>
      <c r="H267" s="65"/>
      <c r="I267" s="65"/>
      <c r="J267" s="65"/>
      <c r="K267" s="65"/>
    </row>
    <row r="268">
      <c r="C268" s="65"/>
      <c r="D268" s="65"/>
      <c r="E268" s="65"/>
      <c r="F268" s="65"/>
      <c r="G268" s="65"/>
      <c r="H268" s="65"/>
      <c r="I268" s="65"/>
      <c r="J268" s="65"/>
      <c r="K268" s="65"/>
    </row>
    <row r="269">
      <c r="C269" s="65"/>
      <c r="D269" s="65"/>
      <c r="E269" s="65"/>
      <c r="F269" s="65"/>
      <c r="G269" s="65"/>
      <c r="H269" s="65"/>
      <c r="I269" s="65"/>
      <c r="J269" s="65"/>
      <c r="K269" s="65"/>
    </row>
    <row r="270">
      <c r="C270" s="65"/>
      <c r="D270" s="65"/>
      <c r="E270" s="65"/>
      <c r="F270" s="65"/>
      <c r="G270" s="65"/>
      <c r="H270" s="65"/>
      <c r="I270" s="65"/>
      <c r="J270" s="65"/>
      <c r="K270" s="65"/>
    </row>
    <row r="271">
      <c r="C271" s="65"/>
      <c r="D271" s="65"/>
      <c r="E271" s="65"/>
      <c r="F271" s="65"/>
      <c r="G271" s="65"/>
      <c r="H271" s="65"/>
      <c r="I271" s="65"/>
      <c r="J271" s="65"/>
      <c r="K271" s="65"/>
    </row>
    <row r="272">
      <c r="C272" s="65"/>
      <c r="D272" s="65"/>
      <c r="E272" s="65"/>
      <c r="F272" s="65"/>
      <c r="G272" s="65"/>
      <c r="H272" s="65"/>
      <c r="I272" s="65"/>
      <c r="J272" s="65"/>
      <c r="K272" s="65"/>
    </row>
    <row r="273">
      <c r="C273" s="65"/>
      <c r="D273" s="65"/>
      <c r="E273" s="65"/>
      <c r="F273" s="65"/>
      <c r="G273" s="65"/>
      <c r="H273" s="65"/>
      <c r="I273" s="65"/>
      <c r="J273" s="65"/>
      <c r="K273" s="65"/>
    </row>
    <row r="274">
      <c r="C274" s="65"/>
      <c r="D274" s="65"/>
      <c r="E274" s="65"/>
      <c r="F274" s="65"/>
      <c r="G274" s="65"/>
      <c r="H274" s="65"/>
      <c r="I274" s="65"/>
      <c r="J274" s="65"/>
      <c r="K274" s="65"/>
    </row>
    <row r="275">
      <c r="C275" s="65"/>
      <c r="D275" s="65"/>
      <c r="E275" s="65"/>
      <c r="F275" s="65"/>
      <c r="G275" s="65"/>
      <c r="H275" s="65"/>
      <c r="I275" s="65"/>
      <c r="J275" s="65"/>
      <c r="K275" s="65"/>
    </row>
    <row r="276">
      <c r="C276" s="65"/>
      <c r="D276" s="65"/>
      <c r="E276" s="65"/>
      <c r="F276" s="65"/>
      <c r="G276" s="65"/>
      <c r="H276" s="65"/>
      <c r="I276" s="65"/>
      <c r="J276" s="65"/>
      <c r="K276" s="65"/>
    </row>
    <row r="277">
      <c r="C277" s="65"/>
      <c r="D277" s="65"/>
      <c r="E277" s="65"/>
      <c r="F277" s="65"/>
      <c r="G277" s="65"/>
      <c r="H277" s="65"/>
      <c r="I277" s="65"/>
      <c r="J277" s="65"/>
      <c r="K277" s="65"/>
    </row>
    <row r="278">
      <c r="C278" s="65"/>
      <c r="D278" s="65"/>
      <c r="E278" s="65"/>
      <c r="F278" s="65"/>
      <c r="G278" s="65"/>
      <c r="H278" s="65"/>
      <c r="I278" s="65"/>
      <c r="J278" s="65"/>
      <c r="K278" s="65"/>
    </row>
    <row r="279">
      <c r="C279" s="65"/>
      <c r="D279" s="65"/>
      <c r="E279" s="65"/>
      <c r="F279" s="65"/>
      <c r="G279" s="65"/>
      <c r="H279" s="65"/>
      <c r="I279" s="65"/>
      <c r="J279" s="65"/>
      <c r="K279" s="65"/>
    </row>
    <row r="280">
      <c r="C280" s="65"/>
      <c r="D280" s="65"/>
      <c r="E280" s="65"/>
      <c r="F280" s="65"/>
      <c r="G280" s="65"/>
      <c r="H280" s="65"/>
      <c r="I280" s="65"/>
      <c r="J280" s="65"/>
      <c r="K280" s="65"/>
    </row>
    <row r="281">
      <c r="C281" s="65"/>
      <c r="D281" s="65"/>
      <c r="E281" s="65"/>
      <c r="F281" s="65"/>
      <c r="G281" s="65"/>
      <c r="H281" s="65"/>
      <c r="I281" s="65"/>
      <c r="J281" s="65"/>
      <c r="K281" s="65"/>
    </row>
    <row r="282">
      <c r="C282" s="65"/>
      <c r="D282" s="65"/>
      <c r="E282" s="65"/>
      <c r="F282" s="65"/>
      <c r="G282" s="65"/>
      <c r="H282" s="65"/>
      <c r="I282" s="65"/>
      <c r="J282" s="65"/>
      <c r="K282" s="65"/>
    </row>
    <row r="283">
      <c r="C283" s="65"/>
      <c r="D283" s="65"/>
      <c r="E283" s="65"/>
      <c r="F283" s="65"/>
      <c r="G283" s="65"/>
      <c r="H283" s="65"/>
      <c r="I283" s="65"/>
      <c r="J283" s="65"/>
      <c r="K283" s="65"/>
    </row>
    <row r="284">
      <c r="C284" s="65"/>
      <c r="D284" s="65"/>
      <c r="E284" s="65"/>
      <c r="F284" s="65"/>
      <c r="G284" s="65"/>
      <c r="H284" s="65"/>
      <c r="I284" s="65"/>
      <c r="J284" s="65"/>
      <c r="K284" s="65"/>
    </row>
    <row r="285">
      <c r="C285" s="65"/>
      <c r="D285" s="65"/>
      <c r="E285" s="65"/>
      <c r="F285" s="65"/>
      <c r="G285" s="65"/>
      <c r="H285" s="65"/>
      <c r="I285" s="65"/>
      <c r="J285" s="65"/>
      <c r="K285" s="65"/>
    </row>
    <row r="286">
      <c r="C286" s="65"/>
      <c r="D286" s="65"/>
      <c r="E286" s="65"/>
      <c r="F286" s="65"/>
      <c r="G286" s="65"/>
      <c r="H286" s="65"/>
      <c r="I286" s="65"/>
      <c r="J286" s="65"/>
      <c r="K286" s="65"/>
    </row>
    <row r="287">
      <c r="C287" s="65"/>
      <c r="D287" s="65"/>
      <c r="E287" s="65"/>
      <c r="F287" s="65"/>
      <c r="G287" s="65"/>
      <c r="H287" s="65"/>
      <c r="I287" s="65"/>
      <c r="J287" s="65"/>
      <c r="K287" s="65"/>
    </row>
    <row r="288">
      <c r="C288" s="65"/>
      <c r="D288" s="65"/>
      <c r="E288" s="65"/>
      <c r="F288" s="65"/>
      <c r="G288" s="65"/>
      <c r="H288" s="65"/>
      <c r="I288" s="65"/>
      <c r="J288" s="65"/>
      <c r="K288" s="65"/>
    </row>
    <row r="289">
      <c r="C289" s="65"/>
      <c r="D289" s="65"/>
      <c r="E289" s="65"/>
      <c r="F289" s="65"/>
      <c r="G289" s="65"/>
      <c r="H289" s="65"/>
      <c r="I289" s="65"/>
      <c r="J289" s="65"/>
      <c r="K289" s="65"/>
    </row>
    <row r="290">
      <c r="C290" s="65"/>
      <c r="D290" s="65"/>
      <c r="E290" s="65"/>
      <c r="F290" s="65"/>
      <c r="G290" s="65"/>
      <c r="H290" s="65"/>
      <c r="I290" s="65"/>
      <c r="J290" s="65"/>
      <c r="K290" s="65"/>
    </row>
    <row r="291">
      <c r="C291" s="65"/>
      <c r="D291" s="65"/>
      <c r="E291" s="65"/>
      <c r="F291" s="65"/>
      <c r="G291" s="65"/>
      <c r="H291" s="65"/>
      <c r="I291" s="65"/>
      <c r="J291" s="65"/>
      <c r="K291" s="65"/>
    </row>
    <row r="292">
      <c r="C292" s="65"/>
      <c r="D292" s="65"/>
      <c r="E292" s="65"/>
      <c r="F292" s="65"/>
      <c r="G292" s="65"/>
      <c r="H292" s="65"/>
      <c r="I292" s="65"/>
      <c r="J292" s="65"/>
      <c r="K292" s="65"/>
    </row>
    <row r="293">
      <c r="C293" s="65"/>
      <c r="D293" s="65"/>
      <c r="E293" s="65"/>
      <c r="F293" s="65"/>
      <c r="G293" s="65"/>
      <c r="H293" s="65"/>
      <c r="I293" s="65"/>
      <c r="J293" s="65"/>
      <c r="K293" s="65"/>
    </row>
    <row r="294">
      <c r="C294" s="65"/>
      <c r="D294" s="65"/>
      <c r="E294" s="65"/>
      <c r="F294" s="65"/>
      <c r="G294" s="65"/>
      <c r="H294" s="65"/>
      <c r="I294" s="65"/>
      <c r="J294" s="65"/>
      <c r="K294" s="65"/>
    </row>
    <row r="295">
      <c r="C295" s="65"/>
      <c r="D295" s="65"/>
      <c r="E295" s="65"/>
      <c r="F295" s="65"/>
      <c r="G295" s="65"/>
      <c r="H295" s="65"/>
      <c r="I295" s="65"/>
      <c r="J295" s="65"/>
      <c r="K295" s="65"/>
    </row>
    <row r="296">
      <c r="C296" s="65"/>
      <c r="D296" s="65"/>
      <c r="E296" s="65"/>
      <c r="F296" s="65"/>
      <c r="G296" s="65"/>
      <c r="H296" s="65"/>
      <c r="I296" s="65"/>
      <c r="J296" s="65"/>
      <c r="K296" s="65"/>
    </row>
    <row r="297">
      <c r="C297" s="65"/>
      <c r="D297" s="65"/>
      <c r="E297" s="65"/>
      <c r="F297" s="65"/>
      <c r="G297" s="65"/>
      <c r="H297" s="65"/>
      <c r="I297" s="65"/>
      <c r="J297" s="65"/>
      <c r="K297" s="65"/>
    </row>
    <row r="298">
      <c r="C298" s="65"/>
      <c r="D298" s="65"/>
      <c r="E298" s="65"/>
      <c r="F298" s="65"/>
      <c r="G298" s="65"/>
      <c r="H298" s="65"/>
      <c r="I298" s="65"/>
      <c r="J298" s="65"/>
      <c r="K298" s="65"/>
    </row>
    <row r="299">
      <c r="C299" s="65"/>
      <c r="D299" s="65"/>
      <c r="E299" s="65"/>
      <c r="F299" s="65"/>
      <c r="G299" s="65"/>
      <c r="H299" s="65"/>
      <c r="I299" s="65"/>
      <c r="J299" s="65"/>
      <c r="K299" s="65"/>
    </row>
    <row r="300">
      <c r="C300" s="65"/>
      <c r="D300" s="65"/>
      <c r="E300" s="65"/>
      <c r="F300" s="65"/>
      <c r="G300" s="65"/>
      <c r="H300" s="65"/>
      <c r="I300" s="65"/>
      <c r="J300" s="65"/>
      <c r="K300" s="65"/>
    </row>
    <row r="301">
      <c r="C301" s="65"/>
      <c r="D301" s="65"/>
      <c r="E301" s="65"/>
      <c r="F301" s="65"/>
      <c r="G301" s="65"/>
      <c r="H301" s="65"/>
      <c r="I301" s="65"/>
      <c r="J301" s="65"/>
      <c r="K301" s="65"/>
    </row>
    <row r="302">
      <c r="C302" s="65"/>
      <c r="D302" s="65"/>
      <c r="E302" s="65"/>
      <c r="F302" s="65"/>
      <c r="G302" s="65"/>
      <c r="H302" s="65"/>
      <c r="I302" s="65"/>
      <c r="J302" s="65"/>
      <c r="K302" s="65"/>
    </row>
    <row r="303">
      <c r="C303" s="65"/>
      <c r="D303" s="65"/>
      <c r="E303" s="65"/>
      <c r="F303" s="65"/>
      <c r="G303" s="65"/>
      <c r="H303" s="65"/>
      <c r="I303" s="65"/>
      <c r="J303" s="65"/>
      <c r="K303" s="65"/>
    </row>
    <row r="304">
      <c r="C304" s="65"/>
      <c r="D304" s="65"/>
      <c r="E304" s="65"/>
      <c r="F304" s="65"/>
      <c r="G304" s="65"/>
      <c r="H304" s="65"/>
      <c r="I304" s="65"/>
      <c r="J304" s="65"/>
      <c r="K304" s="65"/>
    </row>
    <row r="305">
      <c r="C305" s="65"/>
      <c r="D305" s="65"/>
      <c r="E305" s="65"/>
      <c r="F305" s="65"/>
      <c r="G305" s="65"/>
      <c r="H305" s="65"/>
      <c r="I305" s="65"/>
      <c r="J305" s="65"/>
      <c r="K305" s="65"/>
    </row>
    <row r="306">
      <c r="C306" s="65"/>
      <c r="D306" s="65"/>
      <c r="E306" s="65"/>
      <c r="F306" s="65"/>
      <c r="G306" s="65"/>
      <c r="H306" s="65"/>
      <c r="I306" s="65"/>
      <c r="J306" s="65"/>
      <c r="K306" s="65"/>
    </row>
    <row r="307">
      <c r="C307" s="65"/>
      <c r="D307" s="65"/>
      <c r="E307" s="65"/>
      <c r="F307" s="65"/>
      <c r="G307" s="65"/>
      <c r="H307" s="65"/>
      <c r="I307" s="65"/>
      <c r="J307" s="65"/>
      <c r="K307" s="65"/>
    </row>
    <row r="308">
      <c r="C308" s="65"/>
      <c r="D308" s="65"/>
      <c r="E308" s="65"/>
      <c r="F308" s="65"/>
      <c r="G308" s="65"/>
      <c r="H308" s="65"/>
      <c r="I308" s="65"/>
      <c r="J308" s="65"/>
      <c r="K308" s="65"/>
    </row>
    <row r="309">
      <c r="C309" s="65"/>
      <c r="D309" s="65"/>
      <c r="E309" s="65"/>
      <c r="F309" s="65"/>
      <c r="G309" s="65"/>
      <c r="H309" s="65"/>
      <c r="I309" s="65"/>
      <c r="J309" s="65"/>
      <c r="K309" s="65"/>
    </row>
    <row r="310">
      <c r="C310" s="65"/>
      <c r="D310" s="65"/>
      <c r="E310" s="65"/>
      <c r="F310" s="65"/>
      <c r="G310" s="65"/>
      <c r="H310" s="65"/>
      <c r="I310" s="65"/>
      <c r="J310" s="65"/>
      <c r="K310" s="65"/>
    </row>
    <row r="311">
      <c r="C311" s="65"/>
      <c r="D311" s="65"/>
      <c r="E311" s="65"/>
      <c r="F311" s="65"/>
      <c r="G311" s="65"/>
      <c r="H311" s="65"/>
      <c r="I311" s="65"/>
      <c r="J311" s="65"/>
      <c r="K311" s="65"/>
    </row>
    <row r="312">
      <c r="C312" s="65"/>
      <c r="D312" s="65"/>
      <c r="E312" s="65"/>
      <c r="F312" s="65"/>
      <c r="G312" s="65"/>
      <c r="H312" s="65"/>
      <c r="I312" s="65"/>
      <c r="J312" s="65"/>
      <c r="K312" s="65"/>
    </row>
    <row r="313">
      <c r="C313" s="65"/>
      <c r="D313" s="65"/>
      <c r="E313" s="65"/>
      <c r="F313" s="65"/>
      <c r="G313" s="65"/>
      <c r="H313" s="65"/>
      <c r="I313" s="65"/>
      <c r="J313" s="65"/>
      <c r="K313" s="65"/>
    </row>
    <row r="314">
      <c r="C314" s="65"/>
      <c r="D314" s="65"/>
      <c r="E314" s="65"/>
      <c r="F314" s="65"/>
      <c r="G314" s="65"/>
      <c r="H314" s="65"/>
      <c r="I314" s="65"/>
      <c r="J314" s="65"/>
      <c r="K314" s="65"/>
    </row>
    <row r="315">
      <c r="C315" s="65"/>
      <c r="D315" s="65"/>
      <c r="E315" s="65"/>
      <c r="F315" s="65"/>
      <c r="G315" s="65"/>
      <c r="H315" s="65"/>
      <c r="I315" s="65"/>
      <c r="J315" s="65"/>
      <c r="K315" s="65"/>
    </row>
    <row r="316">
      <c r="C316" s="65"/>
      <c r="D316" s="65"/>
      <c r="E316" s="65"/>
      <c r="F316" s="65"/>
      <c r="G316" s="65"/>
      <c r="H316" s="65"/>
      <c r="I316" s="65"/>
      <c r="J316" s="65"/>
      <c r="K316" s="65"/>
    </row>
    <row r="317">
      <c r="C317" s="65"/>
      <c r="D317" s="65"/>
      <c r="E317" s="65"/>
      <c r="F317" s="65"/>
      <c r="G317" s="65"/>
      <c r="H317" s="65"/>
      <c r="I317" s="65"/>
      <c r="J317" s="65"/>
      <c r="K317" s="65"/>
    </row>
    <row r="318">
      <c r="C318" s="65"/>
      <c r="D318" s="65"/>
      <c r="E318" s="65"/>
      <c r="F318" s="65"/>
      <c r="G318" s="65"/>
      <c r="H318" s="65"/>
      <c r="I318" s="65"/>
      <c r="J318" s="65"/>
      <c r="K318" s="65"/>
    </row>
    <row r="319">
      <c r="C319" s="65"/>
      <c r="D319" s="65"/>
      <c r="E319" s="65"/>
      <c r="F319" s="65"/>
      <c r="G319" s="65"/>
      <c r="H319" s="65"/>
      <c r="I319" s="65"/>
      <c r="J319" s="65"/>
      <c r="K319" s="65"/>
    </row>
    <row r="320">
      <c r="C320" s="65"/>
      <c r="D320" s="65"/>
      <c r="E320" s="65"/>
      <c r="F320" s="65"/>
      <c r="G320" s="65"/>
      <c r="H320" s="65"/>
      <c r="I320" s="65"/>
      <c r="J320" s="65"/>
      <c r="K320" s="65"/>
    </row>
    <row r="321">
      <c r="C321" s="65"/>
      <c r="D321" s="65"/>
      <c r="E321" s="65"/>
      <c r="F321" s="65"/>
      <c r="G321" s="65"/>
      <c r="H321" s="65"/>
      <c r="I321" s="65"/>
      <c r="J321" s="65"/>
      <c r="K321" s="65"/>
    </row>
    <row r="322">
      <c r="C322" s="65"/>
      <c r="D322" s="65"/>
      <c r="E322" s="65"/>
      <c r="F322" s="65"/>
      <c r="G322" s="65"/>
      <c r="H322" s="65"/>
      <c r="I322" s="65"/>
      <c r="J322" s="65"/>
      <c r="K322" s="65"/>
    </row>
    <row r="323">
      <c r="C323" s="65"/>
      <c r="D323" s="65"/>
      <c r="E323" s="65"/>
      <c r="F323" s="65"/>
      <c r="G323" s="65"/>
      <c r="H323" s="65"/>
      <c r="I323" s="65"/>
      <c r="J323" s="65"/>
      <c r="K323" s="65"/>
    </row>
    <row r="324">
      <c r="C324" s="65"/>
      <c r="D324" s="65"/>
      <c r="E324" s="65"/>
      <c r="F324" s="65"/>
      <c r="G324" s="65"/>
      <c r="H324" s="65"/>
      <c r="I324" s="65"/>
      <c r="J324" s="65"/>
      <c r="K324" s="65"/>
    </row>
    <row r="325">
      <c r="C325" s="65"/>
      <c r="D325" s="65"/>
      <c r="E325" s="65"/>
      <c r="F325" s="65"/>
      <c r="G325" s="65"/>
      <c r="H325" s="65"/>
      <c r="I325" s="65"/>
      <c r="J325" s="65"/>
      <c r="K325" s="65"/>
    </row>
    <row r="326">
      <c r="C326" s="65"/>
      <c r="D326" s="65"/>
      <c r="E326" s="65"/>
      <c r="F326" s="65"/>
      <c r="G326" s="65"/>
      <c r="H326" s="65"/>
      <c r="I326" s="65"/>
      <c r="J326" s="65"/>
      <c r="K326" s="65"/>
    </row>
    <row r="327">
      <c r="C327" s="65"/>
      <c r="D327" s="65"/>
      <c r="E327" s="65"/>
      <c r="F327" s="65"/>
      <c r="G327" s="65"/>
      <c r="H327" s="65"/>
      <c r="I327" s="65"/>
      <c r="J327" s="65"/>
      <c r="K327" s="65"/>
    </row>
    <row r="328">
      <c r="C328" s="65"/>
      <c r="D328" s="65"/>
      <c r="E328" s="65"/>
      <c r="F328" s="65"/>
      <c r="G328" s="65"/>
      <c r="H328" s="65"/>
      <c r="I328" s="65"/>
      <c r="J328" s="65"/>
      <c r="K328" s="65"/>
    </row>
    <row r="329">
      <c r="C329" s="65"/>
      <c r="D329" s="65"/>
      <c r="E329" s="65"/>
      <c r="F329" s="65"/>
      <c r="G329" s="65"/>
      <c r="H329" s="65"/>
      <c r="I329" s="65"/>
      <c r="J329" s="65"/>
      <c r="K329" s="65"/>
    </row>
    <row r="330">
      <c r="C330" s="65"/>
      <c r="D330" s="65"/>
      <c r="E330" s="65"/>
      <c r="F330" s="65"/>
      <c r="G330" s="65"/>
      <c r="H330" s="65"/>
      <c r="I330" s="65"/>
      <c r="J330" s="65"/>
      <c r="K330" s="65"/>
    </row>
    <row r="331">
      <c r="C331" s="65"/>
      <c r="D331" s="65"/>
      <c r="E331" s="65"/>
      <c r="F331" s="65"/>
      <c r="G331" s="65"/>
      <c r="H331" s="65"/>
      <c r="I331" s="65"/>
      <c r="J331" s="65"/>
      <c r="K331" s="65"/>
    </row>
    <row r="332">
      <c r="C332" s="65"/>
      <c r="D332" s="65"/>
      <c r="E332" s="65"/>
      <c r="F332" s="65"/>
      <c r="G332" s="65"/>
      <c r="H332" s="65"/>
      <c r="I332" s="65"/>
      <c r="J332" s="65"/>
      <c r="K332" s="65"/>
    </row>
    <row r="333">
      <c r="C333" s="65"/>
      <c r="D333" s="65"/>
      <c r="E333" s="65"/>
      <c r="F333" s="65"/>
      <c r="G333" s="65"/>
      <c r="H333" s="65"/>
      <c r="I333" s="65"/>
      <c r="J333" s="65"/>
      <c r="K333" s="65"/>
    </row>
    <row r="334">
      <c r="C334" s="65"/>
      <c r="D334" s="65"/>
      <c r="E334" s="65"/>
      <c r="F334" s="65"/>
      <c r="G334" s="65"/>
      <c r="H334" s="65"/>
      <c r="I334" s="65"/>
      <c r="J334" s="65"/>
      <c r="K334" s="65"/>
    </row>
    <row r="335">
      <c r="C335" s="65"/>
      <c r="D335" s="65"/>
      <c r="E335" s="65"/>
      <c r="F335" s="65"/>
      <c r="G335" s="65"/>
      <c r="H335" s="65"/>
      <c r="I335" s="65"/>
      <c r="J335" s="65"/>
      <c r="K335" s="65"/>
    </row>
    <row r="336">
      <c r="C336" s="65"/>
      <c r="D336" s="65"/>
      <c r="E336" s="65"/>
      <c r="F336" s="65"/>
      <c r="G336" s="65"/>
      <c r="H336" s="65"/>
      <c r="I336" s="65"/>
      <c r="J336" s="65"/>
      <c r="K336" s="65"/>
    </row>
    <row r="337">
      <c r="C337" s="65"/>
      <c r="D337" s="65"/>
      <c r="E337" s="65"/>
      <c r="F337" s="65"/>
      <c r="G337" s="65"/>
      <c r="H337" s="65"/>
      <c r="I337" s="65"/>
      <c r="J337" s="65"/>
      <c r="K337" s="65"/>
    </row>
    <row r="338">
      <c r="C338" s="65"/>
      <c r="D338" s="65"/>
      <c r="E338" s="65"/>
      <c r="F338" s="65"/>
      <c r="G338" s="65"/>
      <c r="H338" s="65"/>
      <c r="I338" s="65"/>
      <c r="J338" s="65"/>
      <c r="K338" s="65"/>
    </row>
    <row r="339">
      <c r="C339" s="65"/>
      <c r="D339" s="65"/>
      <c r="E339" s="65"/>
      <c r="F339" s="65"/>
      <c r="G339" s="65"/>
      <c r="H339" s="65"/>
      <c r="I339" s="65"/>
      <c r="J339" s="65"/>
      <c r="K339" s="65"/>
    </row>
    <row r="340">
      <c r="C340" s="65"/>
      <c r="D340" s="65"/>
      <c r="E340" s="65"/>
      <c r="F340" s="65"/>
      <c r="G340" s="65"/>
      <c r="H340" s="65"/>
      <c r="I340" s="65"/>
      <c r="J340" s="65"/>
      <c r="K340" s="65"/>
    </row>
    <row r="341">
      <c r="C341" s="65"/>
      <c r="D341" s="65"/>
      <c r="E341" s="65"/>
      <c r="F341" s="65"/>
      <c r="G341" s="65"/>
      <c r="H341" s="65"/>
      <c r="I341" s="65"/>
      <c r="J341" s="65"/>
      <c r="K341" s="65"/>
    </row>
    <row r="342">
      <c r="C342" s="65"/>
      <c r="D342" s="65"/>
      <c r="E342" s="65"/>
      <c r="F342" s="65"/>
      <c r="G342" s="65"/>
      <c r="H342" s="65"/>
      <c r="I342" s="65"/>
      <c r="J342" s="65"/>
      <c r="K342" s="65"/>
    </row>
    <row r="343">
      <c r="C343" s="65"/>
      <c r="D343" s="65"/>
      <c r="E343" s="65"/>
      <c r="F343" s="65"/>
      <c r="G343" s="65"/>
      <c r="H343" s="65"/>
      <c r="I343" s="65"/>
      <c r="J343" s="65"/>
      <c r="K343" s="65"/>
    </row>
    <row r="344">
      <c r="C344" s="65"/>
      <c r="D344" s="65"/>
      <c r="E344" s="65"/>
      <c r="F344" s="65"/>
      <c r="G344" s="65"/>
      <c r="H344" s="65"/>
      <c r="I344" s="65"/>
      <c r="J344" s="65"/>
      <c r="K344" s="65"/>
    </row>
    <row r="345">
      <c r="C345" s="65"/>
      <c r="D345" s="65"/>
      <c r="E345" s="65"/>
      <c r="F345" s="65"/>
      <c r="G345" s="65"/>
      <c r="H345" s="65"/>
      <c r="I345" s="65"/>
      <c r="J345" s="65"/>
      <c r="K345" s="65"/>
    </row>
    <row r="346">
      <c r="C346" s="65"/>
      <c r="D346" s="65"/>
      <c r="E346" s="65"/>
      <c r="F346" s="65"/>
      <c r="G346" s="65"/>
      <c r="H346" s="65"/>
      <c r="I346" s="65"/>
      <c r="J346" s="65"/>
      <c r="K346" s="65"/>
    </row>
    <row r="347">
      <c r="C347" s="65"/>
      <c r="D347" s="65"/>
      <c r="E347" s="65"/>
      <c r="F347" s="65"/>
      <c r="G347" s="65"/>
      <c r="H347" s="65"/>
      <c r="I347" s="65"/>
      <c r="J347" s="65"/>
      <c r="K347" s="65"/>
    </row>
    <row r="348">
      <c r="C348" s="65"/>
      <c r="D348" s="65"/>
      <c r="E348" s="65"/>
      <c r="F348" s="65"/>
      <c r="G348" s="65"/>
      <c r="H348" s="65"/>
      <c r="I348" s="65"/>
      <c r="J348" s="65"/>
      <c r="K348" s="65"/>
    </row>
    <row r="349">
      <c r="C349" s="65"/>
      <c r="D349" s="65"/>
      <c r="E349" s="65"/>
      <c r="F349" s="65"/>
      <c r="G349" s="65"/>
      <c r="H349" s="65"/>
      <c r="I349" s="65"/>
      <c r="J349" s="65"/>
      <c r="K349" s="65"/>
    </row>
    <row r="350">
      <c r="C350" s="65"/>
      <c r="D350" s="65"/>
      <c r="E350" s="65"/>
      <c r="F350" s="65"/>
      <c r="G350" s="65"/>
      <c r="H350" s="65"/>
      <c r="I350" s="65"/>
      <c r="J350" s="65"/>
      <c r="K350" s="65"/>
    </row>
    <row r="351">
      <c r="C351" s="65"/>
      <c r="D351" s="65"/>
      <c r="E351" s="65"/>
      <c r="F351" s="65"/>
      <c r="G351" s="65"/>
      <c r="H351" s="65"/>
      <c r="I351" s="65"/>
      <c r="J351" s="65"/>
      <c r="K351" s="65"/>
    </row>
    <row r="352">
      <c r="C352" s="65"/>
      <c r="D352" s="65"/>
      <c r="E352" s="65"/>
      <c r="F352" s="65"/>
      <c r="G352" s="65"/>
      <c r="H352" s="65"/>
      <c r="I352" s="65"/>
      <c r="J352" s="65"/>
      <c r="K352" s="65"/>
    </row>
    <row r="353">
      <c r="C353" s="65"/>
      <c r="D353" s="65"/>
      <c r="E353" s="65"/>
      <c r="F353" s="65"/>
      <c r="G353" s="65"/>
      <c r="H353" s="65"/>
      <c r="I353" s="65"/>
      <c r="J353" s="65"/>
      <c r="K353" s="65"/>
    </row>
    <row r="354">
      <c r="C354" s="65"/>
      <c r="D354" s="65"/>
      <c r="E354" s="65"/>
      <c r="F354" s="65"/>
      <c r="G354" s="65"/>
      <c r="H354" s="65"/>
      <c r="I354" s="65"/>
      <c r="J354" s="65"/>
      <c r="K354" s="65"/>
    </row>
    <row r="355">
      <c r="C355" s="65"/>
      <c r="D355" s="65"/>
      <c r="E355" s="65"/>
      <c r="F355" s="65"/>
      <c r="G355" s="65"/>
      <c r="H355" s="65"/>
      <c r="I355" s="65"/>
      <c r="J355" s="65"/>
      <c r="K355" s="65"/>
    </row>
    <row r="356">
      <c r="C356" s="65"/>
      <c r="D356" s="65"/>
      <c r="E356" s="65"/>
      <c r="F356" s="65"/>
      <c r="G356" s="65"/>
      <c r="H356" s="65"/>
      <c r="I356" s="65"/>
      <c r="J356" s="65"/>
      <c r="K356" s="65"/>
    </row>
    <row r="357">
      <c r="C357" s="65"/>
      <c r="D357" s="65"/>
      <c r="E357" s="65"/>
      <c r="F357" s="65"/>
      <c r="G357" s="65"/>
      <c r="H357" s="65"/>
      <c r="I357" s="65"/>
      <c r="J357" s="65"/>
      <c r="K357" s="65"/>
    </row>
    <row r="358">
      <c r="C358" s="65"/>
      <c r="D358" s="65"/>
      <c r="E358" s="65"/>
      <c r="F358" s="65"/>
      <c r="G358" s="65"/>
      <c r="H358" s="65"/>
      <c r="I358" s="65"/>
      <c r="J358" s="65"/>
      <c r="K358" s="65"/>
    </row>
    <row r="359">
      <c r="C359" s="65"/>
      <c r="D359" s="65"/>
      <c r="E359" s="65"/>
      <c r="F359" s="65"/>
      <c r="G359" s="65"/>
      <c r="H359" s="65"/>
      <c r="I359" s="65"/>
      <c r="J359" s="65"/>
      <c r="K359" s="65"/>
    </row>
    <row r="360">
      <c r="C360" s="65"/>
      <c r="D360" s="65"/>
      <c r="E360" s="65"/>
      <c r="F360" s="65"/>
      <c r="G360" s="65"/>
      <c r="H360" s="65"/>
      <c r="I360" s="65"/>
      <c r="J360" s="65"/>
      <c r="K360" s="65"/>
    </row>
    <row r="361">
      <c r="C361" s="65"/>
      <c r="D361" s="65"/>
      <c r="E361" s="65"/>
      <c r="F361" s="65"/>
      <c r="G361" s="65"/>
      <c r="H361" s="65"/>
      <c r="I361" s="65"/>
      <c r="J361" s="65"/>
      <c r="K361" s="65"/>
    </row>
    <row r="362">
      <c r="C362" s="65"/>
      <c r="D362" s="65"/>
      <c r="E362" s="65"/>
      <c r="F362" s="65"/>
      <c r="G362" s="65"/>
      <c r="H362" s="65"/>
      <c r="I362" s="65"/>
      <c r="J362" s="65"/>
      <c r="K362" s="65"/>
    </row>
    <row r="363">
      <c r="C363" s="65"/>
      <c r="D363" s="65"/>
      <c r="E363" s="65"/>
      <c r="F363" s="65"/>
      <c r="G363" s="65"/>
      <c r="H363" s="65"/>
      <c r="I363" s="65"/>
      <c r="J363" s="65"/>
      <c r="K363" s="65"/>
    </row>
    <row r="364">
      <c r="C364" s="65"/>
      <c r="D364" s="65"/>
      <c r="E364" s="65"/>
      <c r="F364" s="65"/>
      <c r="G364" s="65"/>
      <c r="H364" s="65"/>
      <c r="I364" s="65"/>
      <c r="J364" s="65"/>
      <c r="K364" s="65"/>
    </row>
    <row r="365">
      <c r="C365" s="65"/>
      <c r="D365" s="65"/>
      <c r="E365" s="65"/>
      <c r="F365" s="65"/>
      <c r="G365" s="65"/>
      <c r="H365" s="65"/>
      <c r="I365" s="65"/>
      <c r="J365" s="65"/>
      <c r="K365" s="65"/>
    </row>
    <row r="366">
      <c r="C366" s="65"/>
      <c r="D366" s="65"/>
      <c r="E366" s="65"/>
      <c r="F366" s="65"/>
      <c r="G366" s="65"/>
      <c r="H366" s="65"/>
      <c r="I366" s="65"/>
      <c r="J366" s="65"/>
      <c r="K366" s="65"/>
    </row>
    <row r="367">
      <c r="C367" s="65"/>
      <c r="D367" s="65"/>
      <c r="E367" s="65"/>
      <c r="F367" s="65"/>
      <c r="G367" s="65"/>
      <c r="H367" s="65"/>
      <c r="I367" s="65"/>
      <c r="J367" s="65"/>
      <c r="K367" s="65"/>
    </row>
    <row r="368">
      <c r="C368" s="65"/>
      <c r="D368" s="65"/>
      <c r="E368" s="65"/>
      <c r="F368" s="65"/>
      <c r="G368" s="65"/>
      <c r="H368" s="65"/>
      <c r="I368" s="65"/>
      <c r="J368" s="65"/>
      <c r="K368" s="65"/>
    </row>
    <row r="369">
      <c r="C369" s="65"/>
      <c r="D369" s="65"/>
      <c r="E369" s="65"/>
      <c r="F369" s="65"/>
      <c r="G369" s="65"/>
      <c r="H369" s="65"/>
      <c r="I369" s="65"/>
      <c r="J369" s="65"/>
      <c r="K369" s="65"/>
    </row>
    <row r="370">
      <c r="C370" s="65"/>
      <c r="D370" s="65"/>
      <c r="E370" s="65"/>
      <c r="F370" s="65"/>
      <c r="G370" s="65"/>
      <c r="H370" s="65"/>
      <c r="I370" s="65"/>
      <c r="J370" s="65"/>
      <c r="K370" s="65"/>
    </row>
    <row r="371">
      <c r="C371" s="65"/>
      <c r="D371" s="65"/>
      <c r="E371" s="65"/>
      <c r="F371" s="65"/>
      <c r="G371" s="65"/>
      <c r="H371" s="65"/>
      <c r="I371" s="65"/>
      <c r="J371" s="65"/>
      <c r="K371" s="65"/>
    </row>
    <row r="372">
      <c r="C372" s="65"/>
      <c r="D372" s="65"/>
      <c r="E372" s="65"/>
      <c r="F372" s="65"/>
      <c r="G372" s="65"/>
      <c r="H372" s="65"/>
      <c r="I372" s="65"/>
      <c r="J372" s="65"/>
      <c r="K372" s="65"/>
    </row>
    <row r="373">
      <c r="C373" s="65"/>
      <c r="D373" s="65"/>
      <c r="E373" s="65"/>
      <c r="F373" s="65"/>
      <c r="G373" s="65"/>
      <c r="H373" s="65"/>
      <c r="I373" s="65"/>
      <c r="J373" s="65"/>
      <c r="K373" s="65"/>
    </row>
    <row r="374">
      <c r="C374" s="65"/>
      <c r="D374" s="65"/>
      <c r="E374" s="65"/>
      <c r="F374" s="65"/>
      <c r="G374" s="65"/>
      <c r="H374" s="65"/>
      <c r="I374" s="65"/>
      <c r="J374" s="65"/>
      <c r="K374" s="65"/>
    </row>
    <row r="375">
      <c r="C375" s="65"/>
      <c r="D375" s="65"/>
      <c r="E375" s="65"/>
      <c r="F375" s="65"/>
      <c r="G375" s="65"/>
      <c r="H375" s="65"/>
      <c r="I375" s="65"/>
      <c r="J375" s="65"/>
      <c r="K375" s="65"/>
    </row>
    <row r="376">
      <c r="C376" s="65"/>
      <c r="D376" s="65"/>
      <c r="E376" s="65"/>
      <c r="F376" s="65"/>
      <c r="G376" s="65"/>
      <c r="H376" s="65"/>
      <c r="I376" s="65"/>
      <c r="J376" s="65"/>
      <c r="K376" s="65"/>
    </row>
    <row r="377">
      <c r="C377" s="65"/>
      <c r="D377" s="65"/>
      <c r="E377" s="65"/>
      <c r="F377" s="65"/>
      <c r="G377" s="65"/>
      <c r="H377" s="65"/>
      <c r="I377" s="65"/>
      <c r="J377" s="65"/>
      <c r="K377" s="65"/>
    </row>
    <row r="378">
      <c r="C378" s="65"/>
      <c r="D378" s="65"/>
      <c r="E378" s="65"/>
      <c r="F378" s="65"/>
      <c r="G378" s="65"/>
      <c r="H378" s="65"/>
      <c r="I378" s="65"/>
      <c r="J378" s="65"/>
      <c r="K378" s="65"/>
    </row>
    <row r="379">
      <c r="C379" s="65"/>
      <c r="D379" s="65"/>
      <c r="E379" s="65"/>
      <c r="F379" s="65"/>
      <c r="G379" s="65"/>
      <c r="H379" s="65"/>
      <c r="I379" s="65"/>
      <c r="J379" s="65"/>
      <c r="K379" s="65"/>
    </row>
    <row r="380">
      <c r="C380" s="65"/>
      <c r="D380" s="65"/>
      <c r="E380" s="65"/>
      <c r="F380" s="65"/>
      <c r="G380" s="65"/>
      <c r="H380" s="65"/>
      <c r="I380" s="65"/>
      <c r="J380" s="65"/>
      <c r="K380" s="65"/>
    </row>
    <row r="381">
      <c r="C381" s="65"/>
      <c r="D381" s="65"/>
      <c r="E381" s="65"/>
      <c r="F381" s="65"/>
      <c r="G381" s="65"/>
      <c r="H381" s="65"/>
      <c r="I381" s="65"/>
      <c r="J381" s="65"/>
      <c r="K381" s="65"/>
    </row>
    <row r="382">
      <c r="C382" s="65"/>
      <c r="D382" s="65"/>
      <c r="E382" s="65"/>
      <c r="F382" s="65"/>
      <c r="G382" s="65"/>
      <c r="H382" s="65"/>
      <c r="I382" s="65"/>
      <c r="J382" s="65"/>
      <c r="K382" s="65"/>
    </row>
    <row r="383">
      <c r="C383" s="65"/>
      <c r="D383" s="65"/>
      <c r="E383" s="65"/>
      <c r="F383" s="65"/>
      <c r="G383" s="65"/>
      <c r="H383" s="65"/>
      <c r="I383" s="65"/>
      <c r="J383" s="65"/>
      <c r="K383" s="65"/>
    </row>
    <row r="384">
      <c r="C384" s="65"/>
      <c r="D384" s="65"/>
      <c r="E384" s="65"/>
      <c r="F384" s="65"/>
      <c r="G384" s="65"/>
      <c r="H384" s="65"/>
      <c r="I384" s="65"/>
      <c r="J384" s="65"/>
      <c r="K384" s="65"/>
    </row>
    <row r="385">
      <c r="C385" s="65"/>
      <c r="D385" s="65"/>
      <c r="E385" s="65"/>
      <c r="F385" s="65"/>
      <c r="G385" s="65"/>
      <c r="H385" s="65"/>
      <c r="I385" s="65"/>
      <c r="J385" s="65"/>
      <c r="K385" s="65"/>
    </row>
    <row r="386">
      <c r="C386" s="65"/>
      <c r="D386" s="65"/>
      <c r="E386" s="65"/>
      <c r="F386" s="65"/>
      <c r="G386" s="65"/>
      <c r="H386" s="65"/>
      <c r="I386" s="65"/>
      <c r="J386" s="65"/>
      <c r="K386" s="65"/>
    </row>
    <row r="387">
      <c r="C387" s="65"/>
      <c r="D387" s="65"/>
      <c r="E387" s="65"/>
      <c r="F387" s="65"/>
      <c r="G387" s="65"/>
      <c r="H387" s="65"/>
      <c r="I387" s="65"/>
      <c r="J387" s="65"/>
      <c r="K387" s="65"/>
    </row>
    <row r="388">
      <c r="C388" s="65"/>
      <c r="D388" s="65"/>
      <c r="E388" s="65"/>
      <c r="F388" s="65"/>
      <c r="G388" s="65"/>
      <c r="H388" s="65"/>
      <c r="I388" s="65"/>
      <c r="J388" s="65"/>
      <c r="K388" s="65"/>
    </row>
    <row r="389">
      <c r="C389" s="65"/>
      <c r="D389" s="65"/>
      <c r="E389" s="65"/>
      <c r="F389" s="65"/>
      <c r="G389" s="65"/>
      <c r="H389" s="65"/>
      <c r="I389" s="65"/>
      <c r="J389" s="65"/>
      <c r="K389" s="65"/>
    </row>
    <row r="390">
      <c r="C390" s="65"/>
      <c r="D390" s="65"/>
      <c r="E390" s="65"/>
      <c r="F390" s="65"/>
      <c r="G390" s="65"/>
      <c r="H390" s="65"/>
      <c r="I390" s="65"/>
      <c r="J390" s="65"/>
      <c r="K390" s="65"/>
    </row>
    <row r="391">
      <c r="C391" s="65"/>
      <c r="D391" s="65"/>
      <c r="E391" s="65"/>
      <c r="F391" s="65"/>
      <c r="G391" s="65"/>
      <c r="H391" s="65"/>
      <c r="I391" s="65"/>
      <c r="J391" s="65"/>
      <c r="K391" s="65"/>
    </row>
    <row r="392">
      <c r="C392" s="65"/>
      <c r="D392" s="65"/>
      <c r="E392" s="65"/>
      <c r="F392" s="65"/>
      <c r="G392" s="65"/>
      <c r="H392" s="65"/>
      <c r="I392" s="65"/>
      <c r="J392" s="65"/>
      <c r="K392" s="65"/>
    </row>
    <row r="393">
      <c r="C393" s="65"/>
      <c r="D393" s="65"/>
      <c r="E393" s="65"/>
      <c r="F393" s="65"/>
      <c r="G393" s="65"/>
      <c r="H393" s="65"/>
      <c r="I393" s="65"/>
      <c r="J393" s="65"/>
      <c r="K393" s="65"/>
    </row>
    <row r="394">
      <c r="C394" s="65"/>
      <c r="D394" s="65"/>
      <c r="E394" s="65"/>
      <c r="F394" s="65"/>
      <c r="G394" s="65"/>
      <c r="H394" s="65"/>
      <c r="I394" s="65"/>
      <c r="J394" s="65"/>
      <c r="K394" s="65"/>
    </row>
    <row r="395">
      <c r="C395" s="65"/>
      <c r="D395" s="65"/>
      <c r="E395" s="65"/>
      <c r="F395" s="65"/>
      <c r="G395" s="65"/>
      <c r="H395" s="65"/>
      <c r="I395" s="65"/>
      <c r="J395" s="65"/>
      <c r="K395" s="65"/>
    </row>
    <row r="396">
      <c r="C396" s="65"/>
      <c r="D396" s="65"/>
      <c r="E396" s="65"/>
      <c r="F396" s="65"/>
      <c r="G396" s="65"/>
      <c r="H396" s="65"/>
      <c r="I396" s="65"/>
      <c r="J396" s="65"/>
      <c r="K396" s="65"/>
    </row>
    <row r="397">
      <c r="C397" s="65"/>
      <c r="D397" s="65"/>
      <c r="E397" s="65"/>
      <c r="F397" s="65"/>
      <c r="G397" s="65"/>
      <c r="H397" s="65"/>
      <c r="I397" s="65"/>
      <c r="J397" s="65"/>
      <c r="K397" s="65"/>
    </row>
    <row r="398">
      <c r="C398" s="65"/>
      <c r="D398" s="65"/>
      <c r="E398" s="65"/>
      <c r="F398" s="65"/>
      <c r="G398" s="65"/>
      <c r="H398" s="65"/>
      <c r="I398" s="65"/>
      <c r="J398" s="65"/>
      <c r="K398" s="65"/>
    </row>
    <row r="399">
      <c r="C399" s="65"/>
      <c r="D399" s="65"/>
      <c r="E399" s="65"/>
      <c r="F399" s="65"/>
      <c r="G399" s="65"/>
      <c r="H399" s="65"/>
      <c r="I399" s="65"/>
      <c r="J399" s="65"/>
      <c r="K399" s="65"/>
    </row>
    <row r="400">
      <c r="C400" s="65"/>
      <c r="D400" s="65"/>
      <c r="E400" s="65"/>
      <c r="F400" s="65"/>
      <c r="G400" s="65"/>
      <c r="H400" s="65"/>
      <c r="I400" s="65"/>
      <c r="J400" s="65"/>
      <c r="K400" s="65"/>
    </row>
    <row r="401">
      <c r="C401" s="65"/>
      <c r="D401" s="65"/>
      <c r="E401" s="65"/>
      <c r="F401" s="65"/>
      <c r="G401" s="65"/>
      <c r="H401" s="65"/>
      <c r="I401" s="65"/>
      <c r="J401" s="65"/>
      <c r="K401" s="65"/>
    </row>
    <row r="402">
      <c r="C402" s="65"/>
      <c r="D402" s="65"/>
      <c r="E402" s="65"/>
      <c r="F402" s="65"/>
      <c r="G402" s="65"/>
      <c r="H402" s="65"/>
      <c r="I402" s="65"/>
      <c r="J402" s="65"/>
      <c r="K402" s="65"/>
    </row>
    <row r="403">
      <c r="C403" s="65"/>
      <c r="D403" s="65"/>
      <c r="E403" s="65"/>
      <c r="F403" s="65"/>
      <c r="G403" s="65"/>
      <c r="H403" s="65"/>
      <c r="I403" s="65"/>
      <c r="J403" s="65"/>
      <c r="K403" s="65"/>
    </row>
    <row r="404">
      <c r="C404" s="65"/>
      <c r="D404" s="65"/>
      <c r="E404" s="65"/>
      <c r="F404" s="65"/>
      <c r="G404" s="65"/>
      <c r="H404" s="65"/>
      <c r="I404" s="65"/>
      <c r="J404" s="65"/>
      <c r="K404" s="65"/>
    </row>
    <row r="405">
      <c r="C405" s="65"/>
      <c r="D405" s="65"/>
      <c r="E405" s="65"/>
      <c r="F405" s="65"/>
      <c r="G405" s="65"/>
      <c r="H405" s="65"/>
      <c r="I405" s="65"/>
      <c r="J405" s="65"/>
      <c r="K405" s="65"/>
    </row>
    <row r="406">
      <c r="C406" s="65"/>
      <c r="D406" s="65"/>
      <c r="E406" s="65"/>
      <c r="F406" s="65"/>
      <c r="G406" s="65"/>
      <c r="H406" s="65"/>
      <c r="I406" s="65"/>
      <c r="J406" s="65"/>
      <c r="K406" s="65"/>
    </row>
    <row r="407">
      <c r="C407" s="65"/>
      <c r="D407" s="65"/>
      <c r="E407" s="65"/>
      <c r="F407" s="65"/>
      <c r="G407" s="65"/>
      <c r="H407" s="65"/>
      <c r="I407" s="65"/>
      <c r="J407" s="65"/>
      <c r="K407" s="65"/>
    </row>
    <row r="408">
      <c r="C408" s="65"/>
      <c r="D408" s="65"/>
      <c r="E408" s="65"/>
      <c r="F408" s="65"/>
      <c r="G408" s="65"/>
      <c r="H408" s="65"/>
      <c r="I408" s="65"/>
      <c r="J408" s="65"/>
      <c r="K408" s="65"/>
    </row>
    <row r="409">
      <c r="C409" s="65"/>
      <c r="D409" s="65"/>
      <c r="E409" s="65"/>
      <c r="F409" s="65"/>
      <c r="G409" s="65"/>
      <c r="H409" s="65"/>
      <c r="I409" s="65"/>
      <c r="J409" s="65"/>
      <c r="K409" s="65"/>
    </row>
    <row r="410">
      <c r="C410" s="65"/>
      <c r="D410" s="65"/>
      <c r="E410" s="65"/>
      <c r="F410" s="65"/>
      <c r="G410" s="65"/>
      <c r="H410" s="65"/>
      <c r="I410" s="65"/>
      <c r="J410" s="65"/>
      <c r="K410" s="65"/>
    </row>
    <row r="411">
      <c r="C411" s="65"/>
      <c r="D411" s="65"/>
      <c r="E411" s="65"/>
      <c r="F411" s="65"/>
      <c r="G411" s="65"/>
      <c r="H411" s="65"/>
      <c r="I411" s="65"/>
      <c r="J411" s="65"/>
      <c r="K411" s="65"/>
    </row>
    <row r="412">
      <c r="C412" s="65"/>
      <c r="D412" s="65"/>
      <c r="E412" s="65"/>
      <c r="F412" s="65"/>
      <c r="G412" s="65"/>
      <c r="H412" s="65"/>
      <c r="I412" s="65"/>
      <c r="J412" s="65"/>
      <c r="K412" s="65"/>
    </row>
    <row r="413">
      <c r="C413" s="65"/>
      <c r="D413" s="65"/>
      <c r="E413" s="65"/>
      <c r="F413" s="65"/>
      <c r="G413" s="65"/>
      <c r="H413" s="65"/>
      <c r="I413" s="65"/>
      <c r="J413" s="65"/>
      <c r="K413" s="65"/>
    </row>
    <row r="414">
      <c r="C414" s="65"/>
      <c r="D414" s="65"/>
      <c r="E414" s="65"/>
      <c r="F414" s="65"/>
      <c r="G414" s="65"/>
      <c r="H414" s="65"/>
      <c r="I414" s="65"/>
      <c r="J414" s="65"/>
      <c r="K414" s="65"/>
    </row>
    <row r="415">
      <c r="C415" s="65"/>
      <c r="D415" s="65"/>
      <c r="E415" s="65"/>
      <c r="F415" s="65"/>
      <c r="G415" s="65"/>
      <c r="H415" s="65"/>
      <c r="I415" s="65"/>
      <c r="J415" s="65"/>
      <c r="K415" s="65"/>
    </row>
    <row r="416">
      <c r="C416" s="65"/>
      <c r="D416" s="65"/>
      <c r="E416" s="65"/>
      <c r="F416" s="65"/>
      <c r="G416" s="65"/>
      <c r="H416" s="65"/>
      <c r="I416" s="65"/>
      <c r="J416" s="65"/>
      <c r="K416" s="65"/>
    </row>
    <row r="417">
      <c r="C417" s="65"/>
      <c r="D417" s="65"/>
      <c r="E417" s="65"/>
      <c r="F417" s="65"/>
      <c r="G417" s="65"/>
      <c r="H417" s="65"/>
      <c r="I417" s="65"/>
      <c r="J417" s="65"/>
      <c r="K417" s="65"/>
    </row>
    <row r="418">
      <c r="C418" s="65"/>
      <c r="D418" s="65"/>
      <c r="E418" s="65"/>
      <c r="F418" s="65"/>
      <c r="G418" s="65"/>
      <c r="H418" s="65"/>
      <c r="I418" s="65"/>
      <c r="J418" s="65"/>
      <c r="K418" s="65"/>
    </row>
    <row r="419">
      <c r="C419" s="65"/>
      <c r="D419" s="65"/>
      <c r="E419" s="65"/>
      <c r="F419" s="65"/>
      <c r="G419" s="65"/>
      <c r="H419" s="65"/>
      <c r="I419" s="65"/>
      <c r="J419" s="65"/>
      <c r="K419" s="65"/>
    </row>
    <row r="420">
      <c r="C420" s="65"/>
      <c r="D420" s="65"/>
      <c r="E420" s="65"/>
      <c r="F420" s="65"/>
      <c r="G420" s="65"/>
      <c r="H420" s="65"/>
      <c r="I420" s="65"/>
      <c r="J420" s="65"/>
      <c r="K420" s="65"/>
    </row>
    <row r="421">
      <c r="C421" s="65"/>
      <c r="D421" s="65"/>
      <c r="E421" s="65"/>
      <c r="F421" s="65"/>
      <c r="G421" s="65"/>
      <c r="H421" s="65"/>
      <c r="I421" s="65"/>
      <c r="J421" s="65"/>
      <c r="K421" s="65"/>
    </row>
    <row r="422">
      <c r="C422" s="65"/>
      <c r="D422" s="65"/>
      <c r="E422" s="65"/>
      <c r="F422" s="65"/>
      <c r="G422" s="65"/>
      <c r="H422" s="65"/>
      <c r="I422" s="65"/>
      <c r="J422" s="65"/>
      <c r="K422" s="65"/>
    </row>
    <row r="423">
      <c r="C423" s="65"/>
      <c r="D423" s="65"/>
      <c r="E423" s="65"/>
      <c r="F423" s="65"/>
      <c r="G423" s="65"/>
      <c r="H423" s="65"/>
      <c r="I423" s="65"/>
      <c r="J423" s="65"/>
      <c r="K423" s="65"/>
    </row>
    <row r="424">
      <c r="C424" s="65"/>
      <c r="D424" s="65"/>
      <c r="E424" s="65"/>
      <c r="F424" s="65"/>
      <c r="G424" s="65"/>
      <c r="H424" s="65"/>
      <c r="I424" s="65"/>
      <c r="J424" s="65"/>
      <c r="K424" s="65"/>
    </row>
    <row r="425">
      <c r="C425" s="65"/>
      <c r="D425" s="65"/>
      <c r="E425" s="65"/>
      <c r="F425" s="65"/>
      <c r="G425" s="65"/>
      <c r="H425" s="65"/>
      <c r="I425" s="65"/>
      <c r="J425" s="65"/>
      <c r="K425" s="65"/>
    </row>
    <row r="426">
      <c r="C426" s="65"/>
      <c r="D426" s="65"/>
      <c r="E426" s="65"/>
      <c r="F426" s="65"/>
      <c r="G426" s="65"/>
      <c r="H426" s="65"/>
      <c r="I426" s="65"/>
      <c r="J426" s="65"/>
      <c r="K426" s="65"/>
    </row>
    <row r="427">
      <c r="C427" s="65"/>
      <c r="D427" s="65"/>
      <c r="E427" s="65"/>
      <c r="F427" s="65"/>
      <c r="G427" s="65"/>
      <c r="H427" s="65"/>
      <c r="I427" s="65"/>
      <c r="J427" s="65"/>
      <c r="K427" s="65"/>
    </row>
    <row r="428">
      <c r="C428" s="65"/>
      <c r="D428" s="65"/>
      <c r="E428" s="65"/>
      <c r="F428" s="65"/>
      <c r="G428" s="65"/>
      <c r="H428" s="65"/>
      <c r="I428" s="65"/>
      <c r="J428" s="65"/>
      <c r="K428" s="65"/>
    </row>
    <row r="429">
      <c r="C429" s="65"/>
      <c r="D429" s="65"/>
      <c r="E429" s="65"/>
      <c r="F429" s="65"/>
      <c r="G429" s="65"/>
      <c r="H429" s="65"/>
      <c r="I429" s="65"/>
      <c r="J429" s="65"/>
      <c r="K429" s="65"/>
    </row>
    <row r="430">
      <c r="C430" s="65"/>
      <c r="D430" s="65"/>
      <c r="E430" s="65"/>
      <c r="F430" s="65"/>
      <c r="G430" s="65"/>
      <c r="H430" s="65"/>
      <c r="I430" s="65"/>
      <c r="J430" s="65"/>
      <c r="K430" s="65"/>
    </row>
    <row r="431">
      <c r="C431" s="65"/>
      <c r="D431" s="65"/>
      <c r="E431" s="65"/>
      <c r="F431" s="65"/>
      <c r="G431" s="65"/>
      <c r="H431" s="65"/>
      <c r="I431" s="65"/>
      <c r="J431" s="65"/>
      <c r="K431" s="65"/>
    </row>
    <row r="432">
      <c r="C432" s="65"/>
      <c r="D432" s="65"/>
      <c r="E432" s="65"/>
      <c r="F432" s="65"/>
      <c r="G432" s="65"/>
      <c r="H432" s="65"/>
      <c r="I432" s="65"/>
      <c r="J432" s="65"/>
      <c r="K432" s="65"/>
    </row>
    <row r="433">
      <c r="C433" s="65"/>
      <c r="D433" s="65"/>
      <c r="E433" s="65"/>
      <c r="F433" s="65"/>
      <c r="G433" s="65"/>
      <c r="H433" s="65"/>
      <c r="I433" s="65"/>
      <c r="J433" s="65"/>
      <c r="K433" s="65"/>
    </row>
    <row r="434">
      <c r="C434" s="65"/>
      <c r="D434" s="65"/>
      <c r="E434" s="65"/>
      <c r="F434" s="65"/>
      <c r="G434" s="65"/>
      <c r="H434" s="65"/>
      <c r="I434" s="65"/>
      <c r="J434" s="65"/>
      <c r="K434" s="65"/>
    </row>
    <row r="435">
      <c r="C435" s="65"/>
      <c r="D435" s="65"/>
      <c r="E435" s="65"/>
      <c r="F435" s="65"/>
      <c r="G435" s="65"/>
      <c r="H435" s="65"/>
      <c r="I435" s="65"/>
      <c r="J435" s="65"/>
      <c r="K435" s="65"/>
    </row>
    <row r="436">
      <c r="C436" s="65"/>
      <c r="D436" s="65"/>
      <c r="E436" s="65"/>
      <c r="F436" s="65"/>
      <c r="G436" s="65"/>
      <c r="H436" s="65"/>
      <c r="I436" s="65"/>
      <c r="J436" s="65"/>
      <c r="K436" s="65"/>
    </row>
    <row r="437">
      <c r="C437" s="65"/>
      <c r="D437" s="65"/>
      <c r="E437" s="65"/>
      <c r="F437" s="65"/>
      <c r="G437" s="65"/>
      <c r="H437" s="65"/>
      <c r="I437" s="65"/>
      <c r="J437" s="65"/>
      <c r="K437" s="65"/>
    </row>
    <row r="438">
      <c r="C438" s="65"/>
      <c r="D438" s="65"/>
      <c r="E438" s="65"/>
      <c r="F438" s="65"/>
      <c r="G438" s="65"/>
      <c r="H438" s="65"/>
      <c r="I438" s="65"/>
      <c r="J438" s="65"/>
      <c r="K438" s="65"/>
    </row>
    <row r="439">
      <c r="C439" s="65"/>
      <c r="D439" s="65"/>
      <c r="E439" s="65"/>
      <c r="F439" s="65"/>
      <c r="G439" s="65"/>
      <c r="H439" s="65"/>
      <c r="I439" s="65"/>
      <c r="J439" s="65"/>
      <c r="K439" s="65"/>
    </row>
    <row r="440">
      <c r="C440" s="65"/>
      <c r="D440" s="65"/>
      <c r="E440" s="65"/>
      <c r="F440" s="65"/>
      <c r="G440" s="65"/>
      <c r="H440" s="65"/>
      <c r="I440" s="65"/>
      <c r="J440" s="65"/>
      <c r="K440" s="65"/>
    </row>
    <row r="441">
      <c r="C441" s="65"/>
      <c r="D441" s="65"/>
      <c r="E441" s="65"/>
      <c r="F441" s="65"/>
      <c r="G441" s="65"/>
      <c r="H441" s="65"/>
      <c r="I441" s="65"/>
      <c r="J441" s="65"/>
      <c r="K441" s="65"/>
    </row>
    <row r="442">
      <c r="C442" s="65"/>
      <c r="D442" s="65"/>
      <c r="E442" s="65"/>
      <c r="F442" s="65"/>
      <c r="G442" s="65"/>
      <c r="H442" s="65"/>
      <c r="I442" s="65"/>
      <c r="J442" s="65"/>
      <c r="K442" s="65"/>
    </row>
    <row r="443">
      <c r="C443" s="65"/>
      <c r="D443" s="65"/>
      <c r="E443" s="65"/>
      <c r="F443" s="65"/>
      <c r="G443" s="65"/>
      <c r="H443" s="65"/>
      <c r="I443" s="65"/>
      <c r="J443" s="65"/>
      <c r="K443" s="65"/>
    </row>
    <row r="444">
      <c r="C444" s="65"/>
      <c r="D444" s="65"/>
      <c r="E444" s="65"/>
      <c r="F444" s="65"/>
      <c r="G444" s="65"/>
      <c r="H444" s="65"/>
      <c r="I444" s="65"/>
      <c r="J444" s="65"/>
      <c r="K444" s="65"/>
    </row>
    <row r="445">
      <c r="C445" s="65"/>
      <c r="D445" s="65"/>
      <c r="E445" s="65"/>
      <c r="F445" s="65"/>
      <c r="G445" s="65"/>
      <c r="H445" s="65"/>
      <c r="I445" s="65"/>
      <c r="J445" s="65"/>
      <c r="K445" s="65"/>
    </row>
    <row r="446">
      <c r="C446" s="65"/>
      <c r="D446" s="65"/>
      <c r="E446" s="65"/>
      <c r="F446" s="65"/>
      <c r="G446" s="65"/>
      <c r="H446" s="65"/>
      <c r="I446" s="65"/>
      <c r="J446" s="65"/>
      <c r="K446" s="65"/>
    </row>
    <row r="447">
      <c r="C447" s="65"/>
      <c r="D447" s="65"/>
      <c r="E447" s="65"/>
      <c r="F447" s="65"/>
      <c r="G447" s="65"/>
      <c r="H447" s="65"/>
      <c r="I447" s="65"/>
      <c r="J447" s="65"/>
      <c r="K447" s="65"/>
    </row>
    <row r="448">
      <c r="C448" s="65"/>
      <c r="D448" s="65"/>
      <c r="E448" s="65"/>
      <c r="F448" s="65"/>
      <c r="G448" s="65"/>
      <c r="H448" s="65"/>
      <c r="I448" s="65"/>
      <c r="J448" s="65"/>
      <c r="K448" s="65"/>
    </row>
    <row r="449">
      <c r="C449" s="65"/>
      <c r="D449" s="65"/>
      <c r="E449" s="65"/>
      <c r="F449" s="65"/>
      <c r="G449" s="65"/>
      <c r="H449" s="65"/>
      <c r="I449" s="65"/>
      <c r="J449" s="65"/>
      <c r="K449" s="65"/>
    </row>
    <row r="450">
      <c r="C450" s="65"/>
      <c r="D450" s="65"/>
      <c r="E450" s="65"/>
      <c r="F450" s="65"/>
      <c r="G450" s="65"/>
      <c r="H450" s="65"/>
      <c r="I450" s="65"/>
      <c r="J450" s="65"/>
      <c r="K450" s="65"/>
    </row>
    <row r="451">
      <c r="C451" s="65"/>
      <c r="D451" s="65"/>
      <c r="E451" s="65"/>
      <c r="F451" s="65"/>
      <c r="G451" s="65"/>
      <c r="H451" s="65"/>
      <c r="I451" s="65"/>
      <c r="J451" s="65"/>
      <c r="K451" s="65"/>
    </row>
    <row r="452">
      <c r="C452" s="65"/>
      <c r="D452" s="65"/>
      <c r="E452" s="65"/>
      <c r="F452" s="65"/>
      <c r="G452" s="65"/>
      <c r="H452" s="65"/>
      <c r="I452" s="65"/>
      <c r="J452" s="65"/>
      <c r="K452" s="65"/>
    </row>
    <row r="453">
      <c r="C453" s="65"/>
      <c r="D453" s="65"/>
      <c r="E453" s="65"/>
      <c r="F453" s="65"/>
      <c r="G453" s="65"/>
      <c r="H453" s="65"/>
      <c r="I453" s="65"/>
      <c r="J453" s="65"/>
      <c r="K453" s="65"/>
    </row>
    <row r="454">
      <c r="C454" s="65"/>
      <c r="D454" s="65"/>
      <c r="E454" s="65"/>
      <c r="F454" s="65"/>
      <c r="G454" s="65"/>
      <c r="H454" s="65"/>
      <c r="I454" s="65"/>
      <c r="J454" s="65"/>
      <c r="K454" s="65"/>
    </row>
    <row r="455">
      <c r="C455" s="65"/>
      <c r="D455" s="65"/>
      <c r="E455" s="65"/>
      <c r="F455" s="65"/>
      <c r="G455" s="65"/>
      <c r="H455" s="65"/>
      <c r="I455" s="65"/>
      <c r="J455" s="65"/>
      <c r="K455" s="65"/>
    </row>
    <row r="456">
      <c r="C456" s="65"/>
      <c r="D456" s="65"/>
      <c r="E456" s="65"/>
      <c r="F456" s="65"/>
      <c r="G456" s="65"/>
      <c r="H456" s="65"/>
      <c r="I456" s="65"/>
      <c r="J456" s="65"/>
      <c r="K456" s="65"/>
    </row>
    <row r="457">
      <c r="C457" s="65"/>
      <c r="D457" s="65"/>
      <c r="E457" s="65"/>
      <c r="F457" s="65"/>
      <c r="G457" s="65"/>
      <c r="H457" s="65"/>
      <c r="I457" s="65"/>
      <c r="J457" s="65"/>
      <c r="K457" s="65"/>
    </row>
    <row r="458">
      <c r="C458" s="65"/>
      <c r="D458" s="65"/>
      <c r="E458" s="65"/>
      <c r="F458" s="65"/>
      <c r="G458" s="65"/>
      <c r="H458" s="65"/>
      <c r="I458" s="65"/>
      <c r="J458" s="65"/>
      <c r="K458" s="65"/>
    </row>
    <row r="459">
      <c r="C459" s="65"/>
      <c r="D459" s="65"/>
      <c r="E459" s="65"/>
      <c r="F459" s="65"/>
      <c r="G459" s="65"/>
      <c r="H459" s="65"/>
      <c r="I459" s="65"/>
      <c r="J459" s="65"/>
      <c r="K459" s="65"/>
    </row>
    <row r="460">
      <c r="C460" s="65"/>
      <c r="D460" s="65"/>
      <c r="E460" s="65"/>
      <c r="F460" s="65"/>
      <c r="G460" s="65"/>
      <c r="H460" s="65"/>
      <c r="I460" s="65"/>
      <c r="J460" s="65"/>
      <c r="K460" s="65"/>
    </row>
    <row r="461">
      <c r="C461" s="65"/>
      <c r="D461" s="65"/>
      <c r="E461" s="65"/>
      <c r="F461" s="65"/>
      <c r="G461" s="65"/>
      <c r="H461" s="65"/>
      <c r="I461" s="65"/>
      <c r="J461" s="65"/>
      <c r="K461" s="65"/>
    </row>
    <row r="462">
      <c r="C462" s="65"/>
      <c r="D462" s="65"/>
      <c r="E462" s="65"/>
      <c r="F462" s="65"/>
      <c r="G462" s="65"/>
      <c r="H462" s="65"/>
      <c r="I462" s="65"/>
      <c r="J462" s="65"/>
      <c r="K462" s="65"/>
    </row>
    <row r="463">
      <c r="C463" s="65"/>
      <c r="D463" s="65"/>
      <c r="E463" s="65"/>
      <c r="F463" s="65"/>
      <c r="G463" s="65"/>
      <c r="H463" s="65"/>
      <c r="I463" s="65"/>
      <c r="J463" s="65"/>
      <c r="K463" s="65"/>
    </row>
    <row r="464">
      <c r="C464" s="65"/>
      <c r="D464" s="65"/>
      <c r="E464" s="65"/>
      <c r="F464" s="65"/>
      <c r="G464" s="65"/>
      <c r="H464" s="65"/>
      <c r="I464" s="65"/>
      <c r="J464" s="65"/>
      <c r="K464" s="65"/>
    </row>
    <row r="465">
      <c r="C465" s="65"/>
      <c r="D465" s="65"/>
      <c r="E465" s="65"/>
      <c r="F465" s="65"/>
      <c r="G465" s="65"/>
      <c r="H465" s="65"/>
      <c r="I465" s="65"/>
      <c r="J465" s="65"/>
      <c r="K465" s="65"/>
    </row>
    <row r="466">
      <c r="C466" s="65"/>
      <c r="D466" s="65"/>
      <c r="E466" s="65"/>
      <c r="F466" s="65"/>
      <c r="G466" s="65"/>
      <c r="H466" s="65"/>
      <c r="I466" s="65"/>
      <c r="J466" s="65"/>
      <c r="K466" s="65"/>
    </row>
    <row r="467">
      <c r="C467" s="65"/>
      <c r="D467" s="65"/>
      <c r="E467" s="65"/>
      <c r="F467" s="65"/>
      <c r="G467" s="65"/>
      <c r="H467" s="65"/>
      <c r="I467" s="65"/>
      <c r="J467" s="65"/>
      <c r="K467" s="65"/>
    </row>
    <row r="468">
      <c r="C468" s="65"/>
      <c r="D468" s="65"/>
      <c r="E468" s="65"/>
      <c r="F468" s="65"/>
      <c r="G468" s="65"/>
      <c r="H468" s="65"/>
      <c r="I468" s="65"/>
      <c r="J468" s="65"/>
      <c r="K468" s="65"/>
    </row>
    <row r="469">
      <c r="C469" s="65"/>
      <c r="D469" s="65"/>
      <c r="E469" s="65"/>
      <c r="F469" s="65"/>
      <c r="G469" s="65"/>
      <c r="H469" s="65"/>
      <c r="I469" s="65"/>
      <c r="J469" s="65"/>
      <c r="K469" s="65"/>
    </row>
    <row r="470">
      <c r="C470" s="65"/>
      <c r="D470" s="65"/>
      <c r="E470" s="65"/>
      <c r="F470" s="65"/>
      <c r="G470" s="65"/>
      <c r="H470" s="65"/>
      <c r="I470" s="65"/>
      <c r="J470" s="65"/>
      <c r="K470" s="65"/>
    </row>
    <row r="471">
      <c r="C471" s="65"/>
      <c r="D471" s="65"/>
      <c r="E471" s="65"/>
      <c r="F471" s="65"/>
      <c r="G471" s="65"/>
      <c r="H471" s="65"/>
      <c r="I471" s="65"/>
      <c r="J471" s="65"/>
      <c r="K471" s="65"/>
    </row>
    <row r="472">
      <c r="C472" s="65"/>
      <c r="D472" s="65"/>
      <c r="E472" s="65"/>
      <c r="F472" s="65"/>
      <c r="G472" s="65"/>
      <c r="H472" s="65"/>
      <c r="I472" s="65"/>
      <c r="J472" s="65"/>
      <c r="K472" s="65"/>
    </row>
    <row r="473">
      <c r="C473" s="65"/>
      <c r="D473" s="65"/>
      <c r="E473" s="65"/>
      <c r="F473" s="65"/>
      <c r="G473" s="65"/>
      <c r="H473" s="65"/>
      <c r="I473" s="65"/>
      <c r="J473" s="65"/>
      <c r="K473" s="65"/>
    </row>
    <row r="474">
      <c r="C474" s="65"/>
      <c r="D474" s="65"/>
      <c r="E474" s="65"/>
      <c r="F474" s="65"/>
      <c r="G474" s="65"/>
      <c r="H474" s="65"/>
      <c r="I474" s="65"/>
      <c r="J474" s="65"/>
      <c r="K474" s="65"/>
    </row>
    <row r="475">
      <c r="C475" s="65"/>
      <c r="D475" s="65"/>
      <c r="E475" s="65"/>
      <c r="F475" s="65"/>
      <c r="G475" s="65"/>
      <c r="H475" s="65"/>
      <c r="I475" s="65"/>
      <c r="J475" s="65"/>
      <c r="K475" s="65"/>
    </row>
    <row r="476">
      <c r="C476" s="65"/>
      <c r="D476" s="65"/>
      <c r="E476" s="65"/>
      <c r="F476" s="65"/>
      <c r="G476" s="65"/>
      <c r="H476" s="65"/>
      <c r="I476" s="65"/>
      <c r="J476" s="65"/>
      <c r="K476" s="65"/>
    </row>
    <row r="477">
      <c r="C477" s="65"/>
      <c r="D477" s="65"/>
      <c r="E477" s="65"/>
      <c r="F477" s="65"/>
      <c r="G477" s="65"/>
      <c r="H477" s="65"/>
      <c r="I477" s="65"/>
      <c r="J477" s="65"/>
      <c r="K477" s="65"/>
    </row>
    <row r="478">
      <c r="C478" s="65"/>
      <c r="D478" s="65"/>
      <c r="E478" s="65"/>
      <c r="F478" s="65"/>
      <c r="G478" s="65"/>
      <c r="H478" s="65"/>
      <c r="I478" s="65"/>
      <c r="J478" s="65"/>
      <c r="K478" s="65"/>
    </row>
    <row r="479">
      <c r="C479" s="65"/>
      <c r="D479" s="65"/>
      <c r="E479" s="65"/>
      <c r="F479" s="65"/>
      <c r="G479" s="65"/>
      <c r="H479" s="65"/>
      <c r="I479" s="65"/>
      <c r="J479" s="65"/>
      <c r="K479" s="65"/>
    </row>
    <row r="480">
      <c r="C480" s="65"/>
      <c r="D480" s="65"/>
      <c r="E480" s="65"/>
      <c r="F480" s="65"/>
      <c r="G480" s="65"/>
      <c r="H480" s="65"/>
      <c r="I480" s="65"/>
      <c r="J480" s="65"/>
      <c r="K480" s="65"/>
    </row>
    <row r="481">
      <c r="C481" s="65"/>
      <c r="D481" s="65"/>
      <c r="E481" s="65"/>
      <c r="F481" s="65"/>
      <c r="G481" s="65"/>
      <c r="H481" s="65"/>
      <c r="I481" s="65"/>
      <c r="J481" s="65"/>
      <c r="K481" s="65"/>
    </row>
    <row r="482">
      <c r="C482" s="65"/>
      <c r="D482" s="65"/>
      <c r="E482" s="65"/>
      <c r="F482" s="65"/>
      <c r="G482" s="65"/>
      <c r="H482" s="65"/>
      <c r="I482" s="65"/>
      <c r="J482" s="65"/>
      <c r="K482" s="65"/>
    </row>
    <row r="483">
      <c r="C483" s="65"/>
      <c r="D483" s="65"/>
      <c r="E483" s="65"/>
      <c r="F483" s="65"/>
      <c r="G483" s="65"/>
      <c r="H483" s="65"/>
      <c r="I483" s="65"/>
      <c r="J483" s="65"/>
      <c r="K483" s="65"/>
    </row>
    <row r="484">
      <c r="C484" s="65"/>
      <c r="D484" s="65"/>
      <c r="E484" s="65"/>
      <c r="F484" s="65"/>
      <c r="G484" s="65"/>
      <c r="H484" s="65"/>
      <c r="I484" s="65"/>
      <c r="J484" s="65"/>
      <c r="K484" s="65"/>
    </row>
    <row r="485">
      <c r="C485" s="65"/>
      <c r="D485" s="65"/>
      <c r="E485" s="65"/>
      <c r="F485" s="65"/>
      <c r="G485" s="65"/>
      <c r="H485" s="65"/>
      <c r="I485" s="65"/>
      <c r="J485" s="65"/>
      <c r="K485" s="65"/>
    </row>
    <row r="486">
      <c r="C486" s="65"/>
      <c r="D486" s="65"/>
      <c r="E486" s="65"/>
      <c r="F486" s="65"/>
      <c r="G486" s="65"/>
      <c r="H486" s="65"/>
      <c r="I486" s="65"/>
      <c r="J486" s="65"/>
      <c r="K486" s="65"/>
    </row>
    <row r="487">
      <c r="C487" s="65"/>
      <c r="D487" s="65"/>
      <c r="E487" s="65"/>
      <c r="F487" s="65"/>
      <c r="G487" s="65"/>
      <c r="H487" s="65"/>
      <c r="I487" s="65"/>
      <c r="J487" s="65"/>
      <c r="K487" s="65"/>
    </row>
    <row r="488">
      <c r="C488" s="65"/>
      <c r="D488" s="65"/>
      <c r="E488" s="65"/>
      <c r="F488" s="65"/>
      <c r="G488" s="65"/>
      <c r="H488" s="65"/>
      <c r="I488" s="65"/>
      <c r="J488" s="65"/>
      <c r="K488" s="65"/>
    </row>
    <row r="489">
      <c r="C489" s="65"/>
      <c r="D489" s="65"/>
      <c r="E489" s="65"/>
      <c r="F489" s="65"/>
      <c r="G489" s="65"/>
      <c r="H489" s="65"/>
      <c r="I489" s="65"/>
      <c r="J489" s="65"/>
      <c r="K489" s="65"/>
    </row>
    <row r="490">
      <c r="C490" s="65"/>
      <c r="D490" s="65"/>
      <c r="E490" s="65"/>
      <c r="F490" s="65"/>
      <c r="G490" s="65"/>
      <c r="H490" s="65"/>
      <c r="I490" s="65"/>
      <c r="J490" s="65"/>
      <c r="K490" s="65"/>
    </row>
    <row r="491">
      <c r="C491" s="65"/>
      <c r="D491" s="65"/>
      <c r="E491" s="65"/>
      <c r="F491" s="65"/>
      <c r="G491" s="65"/>
      <c r="H491" s="65"/>
      <c r="I491" s="65"/>
      <c r="J491" s="65"/>
      <c r="K491" s="65"/>
    </row>
    <row r="492">
      <c r="C492" s="65"/>
      <c r="D492" s="65"/>
      <c r="E492" s="65"/>
      <c r="F492" s="65"/>
      <c r="G492" s="65"/>
      <c r="H492" s="65"/>
      <c r="I492" s="65"/>
      <c r="J492" s="65"/>
      <c r="K492" s="65"/>
    </row>
    <row r="493">
      <c r="C493" s="65"/>
      <c r="D493" s="65"/>
      <c r="E493" s="65"/>
      <c r="F493" s="65"/>
      <c r="G493" s="65"/>
      <c r="H493" s="65"/>
      <c r="I493" s="65"/>
      <c r="J493" s="65"/>
      <c r="K493" s="65"/>
    </row>
    <row r="494">
      <c r="C494" s="65"/>
      <c r="D494" s="65"/>
      <c r="E494" s="65"/>
      <c r="F494" s="65"/>
      <c r="G494" s="65"/>
      <c r="H494" s="65"/>
      <c r="I494" s="65"/>
      <c r="J494" s="65"/>
      <c r="K494" s="65"/>
    </row>
    <row r="495">
      <c r="C495" s="65"/>
      <c r="D495" s="65"/>
      <c r="E495" s="65"/>
      <c r="F495" s="65"/>
      <c r="G495" s="65"/>
      <c r="H495" s="65"/>
      <c r="I495" s="65"/>
      <c r="J495" s="65"/>
      <c r="K495" s="65"/>
    </row>
    <row r="496">
      <c r="C496" s="65"/>
      <c r="D496" s="65"/>
      <c r="E496" s="65"/>
      <c r="F496" s="65"/>
      <c r="G496" s="65"/>
      <c r="H496" s="65"/>
      <c r="I496" s="65"/>
      <c r="J496" s="65"/>
      <c r="K496" s="65"/>
    </row>
    <row r="497">
      <c r="C497" s="65"/>
      <c r="D497" s="65"/>
      <c r="E497" s="65"/>
      <c r="F497" s="65"/>
      <c r="G497" s="65"/>
      <c r="H497" s="65"/>
      <c r="I497" s="65"/>
      <c r="J497" s="65"/>
      <c r="K497" s="65"/>
    </row>
    <row r="498">
      <c r="C498" s="65"/>
      <c r="D498" s="65"/>
      <c r="E498" s="65"/>
      <c r="F498" s="65"/>
      <c r="G498" s="65"/>
      <c r="H498" s="65"/>
      <c r="I498" s="65"/>
      <c r="J498" s="65"/>
      <c r="K498" s="65"/>
    </row>
    <row r="499">
      <c r="C499" s="65"/>
      <c r="D499" s="65"/>
      <c r="E499" s="65"/>
      <c r="F499" s="65"/>
      <c r="G499" s="65"/>
      <c r="H499" s="65"/>
      <c r="I499" s="65"/>
      <c r="J499" s="65"/>
      <c r="K499" s="65"/>
    </row>
    <row r="500">
      <c r="C500" s="65"/>
      <c r="D500" s="65"/>
      <c r="E500" s="65"/>
      <c r="F500" s="65"/>
      <c r="G500" s="65"/>
      <c r="H500" s="65"/>
      <c r="I500" s="65"/>
      <c r="J500" s="65"/>
      <c r="K500" s="65"/>
    </row>
    <row r="501">
      <c r="C501" s="65"/>
      <c r="D501" s="65"/>
      <c r="E501" s="65"/>
      <c r="F501" s="65"/>
      <c r="G501" s="65"/>
      <c r="H501" s="65"/>
      <c r="I501" s="65"/>
      <c r="J501" s="65"/>
      <c r="K501" s="65"/>
    </row>
    <row r="502">
      <c r="C502" s="65"/>
      <c r="D502" s="65"/>
      <c r="E502" s="65"/>
      <c r="F502" s="65"/>
      <c r="G502" s="65"/>
      <c r="H502" s="65"/>
      <c r="I502" s="65"/>
      <c r="J502" s="65"/>
      <c r="K502" s="65"/>
    </row>
    <row r="503">
      <c r="C503" s="65"/>
      <c r="D503" s="65"/>
      <c r="E503" s="65"/>
      <c r="F503" s="65"/>
      <c r="G503" s="65"/>
      <c r="H503" s="65"/>
      <c r="I503" s="65"/>
      <c r="J503" s="65"/>
      <c r="K503" s="65"/>
    </row>
    <row r="504">
      <c r="C504" s="65"/>
      <c r="D504" s="65"/>
      <c r="E504" s="65"/>
      <c r="F504" s="65"/>
      <c r="G504" s="65"/>
      <c r="H504" s="65"/>
      <c r="I504" s="65"/>
      <c r="J504" s="65"/>
      <c r="K504" s="65"/>
    </row>
    <row r="505">
      <c r="C505" s="65"/>
      <c r="D505" s="65"/>
      <c r="E505" s="65"/>
      <c r="F505" s="65"/>
      <c r="G505" s="65"/>
      <c r="H505" s="65"/>
      <c r="I505" s="65"/>
      <c r="J505" s="65"/>
      <c r="K505" s="65"/>
    </row>
    <row r="506">
      <c r="C506" s="65"/>
      <c r="D506" s="65"/>
      <c r="E506" s="65"/>
      <c r="F506" s="65"/>
      <c r="G506" s="65"/>
      <c r="H506" s="65"/>
      <c r="I506" s="65"/>
      <c r="J506" s="65"/>
      <c r="K506" s="65"/>
    </row>
    <row r="507">
      <c r="C507" s="65"/>
      <c r="D507" s="65"/>
      <c r="E507" s="65"/>
      <c r="F507" s="65"/>
      <c r="G507" s="65"/>
      <c r="H507" s="65"/>
      <c r="I507" s="65"/>
      <c r="J507" s="65"/>
      <c r="K507" s="65"/>
    </row>
    <row r="508">
      <c r="C508" s="65"/>
      <c r="D508" s="65"/>
      <c r="E508" s="65"/>
      <c r="F508" s="65"/>
      <c r="G508" s="65"/>
      <c r="H508" s="65"/>
      <c r="I508" s="65"/>
      <c r="J508" s="65"/>
      <c r="K508" s="65"/>
    </row>
    <row r="509">
      <c r="C509" s="65"/>
      <c r="D509" s="65"/>
      <c r="E509" s="65"/>
      <c r="F509" s="65"/>
      <c r="G509" s="65"/>
      <c r="H509" s="65"/>
      <c r="I509" s="65"/>
      <c r="J509" s="65"/>
      <c r="K509" s="65"/>
    </row>
    <row r="510">
      <c r="C510" s="65"/>
      <c r="D510" s="65"/>
      <c r="E510" s="65"/>
      <c r="F510" s="65"/>
      <c r="G510" s="65"/>
      <c r="H510" s="65"/>
      <c r="I510" s="65"/>
      <c r="J510" s="65"/>
      <c r="K510" s="65"/>
    </row>
    <row r="511">
      <c r="C511" s="65"/>
      <c r="D511" s="65"/>
      <c r="E511" s="65"/>
      <c r="F511" s="65"/>
      <c r="G511" s="65"/>
      <c r="H511" s="65"/>
      <c r="I511" s="65"/>
      <c r="J511" s="65"/>
      <c r="K511" s="65"/>
    </row>
    <row r="512">
      <c r="C512" s="65"/>
      <c r="D512" s="65"/>
      <c r="E512" s="65"/>
      <c r="F512" s="65"/>
      <c r="G512" s="65"/>
      <c r="H512" s="65"/>
      <c r="I512" s="65"/>
      <c r="J512" s="65"/>
      <c r="K512" s="65"/>
    </row>
    <row r="513">
      <c r="C513" s="65"/>
      <c r="D513" s="65"/>
      <c r="E513" s="65"/>
      <c r="F513" s="65"/>
      <c r="G513" s="65"/>
      <c r="H513" s="65"/>
      <c r="I513" s="65"/>
      <c r="J513" s="65"/>
      <c r="K513" s="65"/>
    </row>
    <row r="514">
      <c r="C514" s="65"/>
      <c r="D514" s="65"/>
      <c r="E514" s="65"/>
      <c r="F514" s="65"/>
      <c r="G514" s="65"/>
      <c r="H514" s="65"/>
      <c r="I514" s="65"/>
      <c r="J514" s="65"/>
      <c r="K514" s="65"/>
    </row>
    <row r="515">
      <c r="C515" s="65"/>
      <c r="D515" s="65"/>
      <c r="E515" s="65"/>
      <c r="F515" s="65"/>
      <c r="G515" s="65"/>
      <c r="H515" s="65"/>
      <c r="I515" s="65"/>
      <c r="J515" s="65"/>
      <c r="K515" s="65"/>
    </row>
    <row r="516">
      <c r="C516" s="65"/>
      <c r="D516" s="65"/>
      <c r="E516" s="65"/>
      <c r="F516" s="65"/>
      <c r="G516" s="65"/>
      <c r="H516" s="65"/>
      <c r="I516" s="65"/>
      <c r="J516" s="65"/>
      <c r="K516" s="65"/>
    </row>
    <row r="517">
      <c r="C517" s="65"/>
      <c r="D517" s="65"/>
      <c r="E517" s="65"/>
      <c r="F517" s="65"/>
      <c r="G517" s="65"/>
      <c r="H517" s="65"/>
      <c r="I517" s="65"/>
      <c r="J517" s="65"/>
      <c r="K517" s="65"/>
    </row>
    <row r="518">
      <c r="C518" s="65"/>
      <c r="D518" s="65"/>
      <c r="E518" s="65"/>
      <c r="F518" s="65"/>
      <c r="G518" s="65"/>
      <c r="H518" s="65"/>
      <c r="I518" s="65"/>
      <c r="J518" s="65"/>
      <c r="K518" s="65"/>
    </row>
    <row r="519">
      <c r="C519" s="65"/>
      <c r="D519" s="65"/>
      <c r="E519" s="65"/>
      <c r="F519" s="65"/>
      <c r="G519" s="65"/>
      <c r="H519" s="65"/>
      <c r="I519" s="65"/>
      <c r="J519" s="65"/>
      <c r="K519" s="65"/>
    </row>
    <row r="520">
      <c r="C520" s="65"/>
      <c r="D520" s="65"/>
      <c r="E520" s="65"/>
      <c r="F520" s="65"/>
      <c r="G520" s="65"/>
      <c r="H520" s="65"/>
      <c r="I520" s="65"/>
      <c r="J520" s="65"/>
      <c r="K520" s="65"/>
    </row>
    <row r="521">
      <c r="C521" s="65"/>
      <c r="D521" s="65"/>
      <c r="E521" s="65"/>
      <c r="F521" s="65"/>
      <c r="G521" s="65"/>
      <c r="H521" s="65"/>
      <c r="I521" s="65"/>
      <c r="J521" s="65"/>
      <c r="K521" s="65"/>
    </row>
    <row r="522">
      <c r="C522" s="65"/>
      <c r="D522" s="65"/>
      <c r="E522" s="65"/>
      <c r="F522" s="65"/>
      <c r="G522" s="65"/>
      <c r="H522" s="65"/>
      <c r="I522" s="65"/>
      <c r="J522" s="65"/>
      <c r="K522" s="65"/>
    </row>
    <row r="523">
      <c r="C523" s="65"/>
      <c r="D523" s="65"/>
      <c r="E523" s="65"/>
      <c r="F523" s="65"/>
      <c r="G523" s="65"/>
      <c r="H523" s="65"/>
      <c r="I523" s="65"/>
      <c r="J523" s="65"/>
      <c r="K523" s="65"/>
    </row>
    <row r="524">
      <c r="C524" s="65"/>
      <c r="D524" s="65"/>
      <c r="E524" s="65"/>
      <c r="F524" s="65"/>
      <c r="G524" s="65"/>
      <c r="H524" s="65"/>
      <c r="I524" s="65"/>
      <c r="J524" s="65"/>
      <c r="K524" s="65"/>
    </row>
    <row r="525">
      <c r="C525" s="65"/>
      <c r="D525" s="65"/>
      <c r="E525" s="65"/>
      <c r="F525" s="65"/>
      <c r="G525" s="65"/>
      <c r="H525" s="65"/>
      <c r="I525" s="65"/>
      <c r="J525" s="65"/>
      <c r="K525" s="65"/>
    </row>
    <row r="526">
      <c r="C526" s="65"/>
      <c r="D526" s="65"/>
      <c r="E526" s="65"/>
      <c r="F526" s="65"/>
      <c r="G526" s="65"/>
      <c r="H526" s="65"/>
      <c r="I526" s="65"/>
      <c r="J526" s="65"/>
      <c r="K526" s="65"/>
    </row>
    <row r="527">
      <c r="C527" s="65"/>
      <c r="D527" s="65"/>
      <c r="E527" s="65"/>
      <c r="F527" s="65"/>
      <c r="G527" s="65"/>
      <c r="H527" s="65"/>
      <c r="I527" s="65"/>
      <c r="J527" s="65"/>
      <c r="K527" s="65"/>
    </row>
    <row r="528">
      <c r="C528" s="65"/>
      <c r="D528" s="65"/>
      <c r="E528" s="65"/>
      <c r="F528" s="65"/>
      <c r="G528" s="65"/>
      <c r="H528" s="65"/>
      <c r="I528" s="65"/>
      <c r="J528" s="65"/>
      <c r="K528" s="65"/>
    </row>
    <row r="529">
      <c r="C529" s="65"/>
      <c r="D529" s="65"/>
      <c r="E529" s="65"/>
      <c r="F529" s="65"/>
      <c r="G529" s="65"/>
      <c r="H529" s="65"/>
      <c r="I529" s="65"/>
      <c r="J529" s="65"/>
      <c r="K529" s="65"/>
    </row>
    <row r="530">
      <c r="C530" s="65"/>
      <c r="D530" s="65"/>
      <c r="E530" s="65"/>
      <c r="F530" s="65"/>
      <c r="G530" s="65"/>
      <c r="H530" s="65"/>
      <c r="I530" s="65"/>
      <c r="J530" s="65"/>
      <c r="K530" s="65"/>
    </row>
    <row r="531">
      <c r="C531" s="65"/>
      <c r="D531" s="65"/>
      <c r="E531" s="65"/>
      <c r="F531" s="65"/>
      <c r="G531" s="65"/>
      <c r="H531" s="65"/>
      <c r="I531" s="65"/>
      <c r="J531" s="65"/>
      <c r="K531" s="65"/>
    </row>
    <row r="532">
      <c r="C532" s="65"/>
      <c r="D532" s="65"/>
      <c r="E532" s="65"/>
      <c r="F532" s="65"/>
      <c r="G532" s="65"/>
      <c r="H532" s="65"/>
      <c r="I532" s="65"/>
      <c r="J532" s="65"/>
      <c r="K532" s="65"/>
    </row>
    <row r="533">
      <c r="C533" s="65"/>
      <c r="D533" s="65"/>
      <c r="E533" s="65"/>
      <c r="F533" s="65"/>
      <c r="G533" s="65"/>
      <c r="H533" s="65"/>
      <c r="I533" s="65"/>
      <c r="J533" s="65"/>
      <c r="K533" s="65"/>
    </row>
    <row r="534">
      <c r="C534" s="65"/>
      <c r="D534" s="65"/>
      <c r="E534" s="65"/>
      <c r="F534" s="65"/>
      <c r="G534" s="65"/>
      <c r="H534" s="65"/>
      <c r="I534" s="65"/>
      <c r="J534" s="65"/>
      <c r="K534" s="65"/>
    </row>
    <row r="535">
      <c r="C535" s="65"/>
      <c r="D535" s="65"/>
      <c r="E535" s="65"/>
      <c r="F535" s="65"/>
      <c r="G535" s="65"/>
      <c r="H535" s="65"/>
      <c r="I535" s="65"/>
      <c r="J535" s="65"/>
      <c r="K535" s="65"/>
    </row>
    <row r="536">
      <c r="C536" s="65"/>
      <c r="D536" s="65"/>
      <c r="E536" s="65"/>
      <c r="F536" s="65"/>
      <c r="G536" s="65"/>
      <c r="H536" s="65"/>
      <c r="I536" s="65"/>
      <c r="J536" s="65"/>
      <c r="K536" s="65"/>
    </row>
    <row r="537">
      <c r="C537" s="65"/>
      <c r="D537" s="65"/>
      <c r="E537" s="65"/>
      <c r="F537" s="65"/>
      <c r="G537" s="65"/>
      <c r="H537" s="65"/>
      <c r="I537" s="65"/>
      <c r="J537" s="65"/>
      <c r="K537" s="65"/>
    </row>
    <row r="538">
      <c r="C538" s="65"/>
      <c r="D538" s="65"/>
      <c r="E538" s="65"/>
      <c r="F538" s="65"/>
      <c r="G538" s="65"/>
      <c r="H538" s="65"/>
      <c r="I538" s="65"/>
      <c r="J538" s="65"/>
      <c r="K538" s="65"/>
    </row>
    <row r="539">
      <c r="C539" s="65"/>
      <c r="D539" s="65"/>
      <c r="E539" s="65"/>
      <c r="F539" s="65"/>
      <c r="G539" s="65"/>
      <c r="H539" s="65"/>
      <c r="I539" s="65"/>
      <c r="J539" s="65"/>
      <c r="K539" s="65"/>
    </row>
    <row r="540">
      <c r="C540" s="65"/>
      <c r="D540" s="65"/>
      <c r="E540" s="65"/>
      <c r="F540" s="65"/>
      <c r="G540" s="65"/>
      <c r="H540" s="65"/>
      <c r="I540" s="65"/>
      <c r="J540" s="65"/>
      <c r="K540" s="65"/>
    </row>
    <row r="541">
      <c r="C541" s="65"/>
      <c r="D541" s="65"/>
      <c r="E541" s="65"/>
      <c r="F541" s="65"/>
      <c r="G541" s="65"/>
      <c r="H541" s="65"/>
      <c r="I541" s="65"/>
      <c r="J541" s="65"/>
      <c r="K541" s="65"/>
    </row>
    <row r="542">
      <c r="C542" s="65"/>
      <c r="D542" s="65"/>
      <c r="E542" s="65"/>
      <c r="F542" s="65"/>
      <c r="G542" s="65"/>
      <c r="H542" s="65"/>
      <c r="I542" s="65"/>
      <c r="J542" s="65"/>
      <c r="K542" s="65"/>
    </row>
    <row r="543">
      <c r="C543" s="65"/>
      <c r="D543" s="65"/>
      <c r="E543" s="65"/>
      <c r="F543" s="65"/>
      <c r="G543" s="65"/>
      <c r="H543" s="65"/>
      <c r="I543" s="65"/>
      <c r="J543" s="65"/>
      <c r="K543" s="65"/>
    </row>
    <row r="544">
      <c r="C544" s="65"/>
      <c r="D544" s="65"/>
      <c r="E544" s="65"/>
      <c r="F544" s="65"/>
      <c r="G544" s="65"/>
      <c r="H544" s="65"/>
      <c r="I544" s="65"/>
      <c r="J544" s="65"/>
      <c r="K544" s="65"/>
    </row>
    <row r="545">
      <c r="C545" s="65"/>
      <c r="D545" s="65"/>
      <c r="E545" s="65"/>
      <c r="F545" s="65"/>
      <c r="G545" s="65"/>
      <c r="H545" s="65"/>
      <c r="I545" s="65"/>
      <c r="J545" s="65"/>
      <c r="K545" s="65"/>
    </row>
    <row r="546">
      <c r="C546" s="65"/>
      <c r="D546" s="65"/>
      <c r="E546" s="65"/>
      <c r="F546" s="65"/>
      <c r="G546" s="65"/>
      <c r="H546" s="65"/>
      <c r="I546" s="65"/>
      <c r="J546" s="65"/>
      <c r="K546" s="65"/>
    </row>
    <row r="547">
      <c r="C547" s="65"/>
      <c r="D547" s="65"/>
      <c r="E547" s="65"/>
      <c r="F547" s="65"/>
      <c r="G547" s="65"/>
      <c r="H547" s="65"/>
      <c r="I547" s="65"/>
      <c r="J547" s="65"/>
      <c r="K547" s="65"/>
    </row>
    <row r="548">
      <c r="C548" s="65"/>
      <c r="D548" s="65"/>
      <c r="E548" s="65"/>
      <c r="F548" s="65"/>
      <c r="G548" s="65"/>
      <c r="H548" s="65"/>
      <c r="I548" s="65"/>
      <c r="J548" s="65"/>
      <c r="K548" s="65"/>
    </row>
    <row r="549">
      <c r="C549" s="65"/>
      <c r="D549" s="65"/>
      <c r="E549" s="65"/>
      <c r="F549" s="65"/>
      <c r="G549" s="65"/>
      <c r="H549" s="65"/>
      <c r="I549" s="65"/>
      <c r="J549" s="65"/>
      <c r="K549" s="65"/>
    </row>
    <row r="550">
      <c r="C550" s="65"/>
      <c r="D550" s="65"/>
      <c r="E550" s="65"/>
      <c r="F550" s="65"/>
      <c r="G550" s="65"/>
      <c r="H550" s="65"/>
      <c r="I550" s="65"/>
      <c r="J550" s="65"/>
      <c r="K550" s="65"/>
    </row>
    <row r="551">
      <c r="C551" s="65"/>
      <c r="D551" s="65"/>
      <c r="E551" s="65"/>
      <c r="F551" s="65"/>
      <c r="G551" s="65"/>
      <c r="H551" s="65"/>
      <c r="I551" s="65"/>
      <c r="J551" s="65"/>
      <c r="K551" s="65"/>
    </row>
    <row r="552">
      <c r="C552" s="65"/>
      <c r="D552" s="65"/>
      <c r="E552" s="65"/>
      <c r="F552" s="65"/>
      <c r="G552" s="65"/>
      <c r="H552" s="65"/>
      <c r="I552" s="65"/>
      <c r="J552" s="65"/>
      <c r="K552" s="65"/>
    </row>
    <row r="553">
      <c r="C553" s="65"/>
      <c r="D553" s="65"/>
      <c r="E553" s="65"/>
      <c r="F553" s="65"/>
      <c r="G553" s="65"/>
      <c r="H553" s="65"/>
      <c r="I553" s="65"/>
      <c r="J553" s="65"/>
      <c r="K553" s="65"/>
    </row>
    <row r="554">
      <c r="C554" s="65"/>
      <c r="D554" s="65"/>
      <c r="E554" s="65"/>
      <c r="F554" s="65"/>
      <c r="G554" s="65"/>
      <c r="H554" s="65"/>
      <c r="I554" s="65"/>
      <c r="J554" s="65"/>
      <c r="K554" s="65"/>
    </row>
    <row r="555">
      <c r="C555" s="65"/>
      <c r="D555" s="65"/>
      <c r="E555" s="65"/>
      <c r="F555" s="65"/>
      <c r="G555" s="65"/>
      <c r="H555" s="65"/>
      <c r="I555" s="65"/>
      <c r="J555" s="65"/>
      <c r="K555" s="65"/>
    </row>
    <row r="556">
      <c r="C556" s="65"/>
      <c r="D556" s="65"/>
      <c r="E556" s="65"/>
      <c r="F556" s="65"/>
      <c r="G556" s="65"/>
      <c r="H556" s="65"/>
      <c r="I556" s="65"/>
      <c r="J556" s="65"/>
      <c r="K556" s="65"/>
    </row>
    <row r="557">
      <c r="C557" s="65"/>
      <c r="D557" s="65"/>
      <c r="E557" s="65"/>
      <c r="F557" s="65"/>
      <c r="G557" s="65"/>
      <c r="H557" s="65"/>
      <c r="I557" s="65"/>
      <c r="J557" s="65"/>
      <c r="K557" s="65"/>
    </row>
    <row r="558">
      <c r="C558" s="65"/>
      <c r="D558" s="65"/>
      <c r="E558" s="65"/>
      <c r="F558" s="65"/>
      <c r="G558" s="65"/>
      <c r="H558" s="65"/>
      <c r="I558" s="65"/>
      <c r="J558" s="65"/>
      <c r="K558" s="65"/>
    </row>
    <row r="559">
      <c r="C559" s="65"/>
      <c r="D559" s="65"/>
      <c r="E559" s="65"/>
      <c r="F559" s="65"/>
      <c r="G559" s="65"/>
      <c r="H559" s="65"/>
      <c r="I559" s="65"/>
      <c r="J559" s="65"/>
      <c r="K559" s="65"/>
    </row>
    <row r="560">
      <c r="C560" s="65"/>
      <c r="D560" s="65"/>
      <c r="E560" s="65"/>
      <c r="F560" s="65"/>
      <c r="G560" s="65"/>
      <c r="H560" s="65"/>
      <c r="I560" s="65"/>
      <c r="J560" s="65"/>
      <c r="K560" s="65"/>
    </row>
    <row r="561">
      <c r="C561" s="65"/>
      <c r="D561" s="65"/>
      <c r="E561" s="65"/>
      <c r="F561" s="65"/>
      <c r="G561" s="65"/>
      <c r="H561" s="65"/>
      <c r="I561" s="65"/>
      <c r="J561" s="65"/>
      <c r="K561" s="65"/>
    </row>
    <row r="562">
      <c r="C562" s="65"/>
      <c r="D562" s="65"/>
      <c r="E562" s="65"/>
      <c r="F562" s="65"/>
      <c r="G562" s="65"/>
      <c r="H562" s="65"/>
      <c r="I562" s="65"/>
      <c r="J562" s="65"/>
      <c r="K562" s="65"/>
    </row>
    <row r="563">
      <c r="C563" s="65"/>
      <c r="D563" s="65"/>
      <c r="E563" s="65"/>
      <c r="F563" s="65"/>
      <c r="G563" s="65"/>
      <c r="H563" s="65"/>
      <c r="I563" s="65"/>
      <c r="J563" s="65"/>
      <c r="K563" s="65"/>
    </row>
    <row r="564">
      <c r="C564" s="65"/>
      <c r="D564" s="65"/>
      <c r="E564" s="65"/>
      <c r="F564" s="65"/>
      <c r="G564" s="65"/>
      <c r="H564" s="65"/>
      <c r="I564" s="65"/>
      <c r="J564" s="65"/>
      <c r="K564" s="65"/>
    </row>
    <row r="565">
      <c r="C565" s="65"/>
      <c r="D565" s="65"/>
      <c r="E565" s="65"/>
      <c r="F565" s="65"/>
      <c r="G565" s="65"/>
      <c r="H565" s="65"/>
      <c r="I565" s="65"/>
      <c r="J565" s="65"/>
      <c r="K565" s="65"/>
    </row>
    <row r="566">
      <c r="C566" s="65"/>
      <c r="D566" s="65"/>
      <c r="E566" s="65"/>
      <c r="F566" s="65"/>
      <c r="G566" s="65"/>
      <c r="H566" s="65"/>
      <c r="I566" s="65"/>
      <c r="J566" s="65"/>
      <c r="K566" s="65"/>
    </row>
    <row r="567">
      <c r="C567" s="65"/>
      <c r="D567" s="65"/>
      <c r="E567" s="65"/>
      <c r="F567" s="65"/>
      <c r="G567" s="65"/>
      <c r="H567" s="65"/>
      <c r="I567" s="65"/>
      <c r="J567" s="65"/>
      <c r="K567" s="65"/>
    </row>
    <row r="568">
      <c r="C568" s="65"/>
      <c r="D568" s="65"/>
      <c r="E568" s="65"/>
      <c r="F568" s="65"/>
      <c r="G568" s="65"/>
      <c r="H568" s="65"/>
      <c r="I568" s="65"/>
      <c r="J568" s="65"/>
      <c r="K568" s="65"/>
    </row>
    <row r="569">
      <c r="C569" s="65"/>
      <c r="D569" s="65"/>
      <c r="E569" s="65"/>
      <c r="F569" s="65"/>
      <c r="G569" s="65"/>
      <c r="H569" s="65"/>
      <c r="I569" s="65"/>
      <c r="J569" s="65"/>
      <c r="K569" s="65"/>
    </row>
    <row r="570">
      <c r="C570" s="65"/>
      <c r="D570" s="65"/>
      <c r="E570" s="65"/>
      <c r="F570" s="65"/>
      <c r="G570" s="65"/>
      <c r="H570" s="65"/>
      <c r="I570" s="65"/>
      <c r="J570" s="65"/>
      <c r="K570" s="65"/>
    </row>
    <row r="571">
      <c r="C571" s="65"/>
      <c r="D571" s="65"/>
      <c r="E571" s="65"/>
      <c r="F571" s="65"/>
      <c r="G571" s="65"/>
      <c r="H571" s="65"/>
      <c r="I571" s="65"/>
      <c r="J571" s="65"/>
      <c r="K571" s="65"/>
    </row>
    <row r="572">
      <c r="C572" s="65"/>
      <c r="D572" s="65"/>
      <c r="E572" s="65"/>
      <c r="F572" s="65"/>
      <c r="G572" s="65"/>
      <c r="H572" s="65"/>
      <c r="I572" s="65"/>
      <c r="J572" s="65"/>
      <c r="K572" s="65"/>
    </row>
    <row r="573">
      <c r="C573" s="65"/>
      <c r="D573" s="65"/>
      <c r="E573" s="65"/>
      <c r="F573" s="65"/>
      <c r="G573" s="65"/>
      <c r="H573" s="65"/>
      <c r="I573" s="65"/>
      <c r="J573" s="65"/>
      <c r="K573" s="65"/>
    </row>
    <row r="574">
      <c r="C574" s="65"/>
      <c r="D574" s="65"/>
      <c r="E574" s="65"/>
      <c r="F574" s="65"/>
      <c r="G574" s="65"/>
      <c r="H574" s="65"/>
      <c r="I574" s="65"/>
      <c r="J574" s="65"/>
      <c r="K574" s="65"/>
    </row>
    <row r="575">
      <c r="C575" s="65"/>
      <c r="D575" s="65"/>
      <c r="E575" s="65"/>
      <c r="F575" s="65"/>
      <c r="G575" s="65"/>
      <c r="H575" s="65"/>
      <c r="I575" s="65"/>
      <c r="J575" s="65"/>
      <c r="K575" s="65"/>
    </row>
    <row r="576">
      <c r="C576" s="65"/>
      <c r="D576" s="65"/>
      <c r="E576" s="65"/>
      <c r="F576" s="65"/>
      <c r="G576" s="65"/>
      <c r="H576" s="65"/>
      <c r="I576" s="65"/>
      <c r="J576" s="65"/>
      <c r="K576" s="65"/>
    </row>
    <row r="577">
      <c r="C577" s="65"/>
      <c r="D577" s="65"/>
      <c r="E577" s="65"/>
      <c r="F577" s="65"/>
      <c r="G577" s="65"/>
      <c r="H577" s="65"/>
      <c r="I577" s="65"/>
      <c r="J577" s="65"/>
      <c r="K577" s="65"/>
    </row>
    <row r="578">
      <c r="C578" s="65"/>
      <c r="D578" s="65"/>
      <c r="E578" s="65"/>
      <c r="F578" s="65"/>
      <c r="G578" s="65"/>
      <c r="H578" s="65"/>
      <c r="I578" s="65"/>
      <c r="J578" s="65"/>
      <c r="K578" s="65"/>
    </row>
    <row r="579">
      <c r="C579" s="65"/>
      <c r="D579" s="65"/>
      <c r="E579" s="65"/>
      <c r="F579" s="65"/>
      <c r="G579" s="65"/>
      <c r="H579" s="65"/>
      <c r="I579" s="65"/>
      <c r="J579" s="65"/>
      <c r="K579" s="65"/>
    </row>
    <row r="580">
      <c r="C580" s="65"/>
      <c r="D580" s="65"/>
      <c r="E580" s="65"/>
      <c r="F580" s="65"/>
      <c r="G580" s="65"/>
      <c r="H580" s="65"/>
      <c r="I580" s="65"/>
      <c r="J580" s="65"/>
      <c r="K580" s="65"/>
    </row>
    <row r="581">
      <c r="C581" s="65"/>
      <c r="D581" s="65"/>
      <c r="E581" s="65"/>
      <c r="F581" s="65"/>
      <c r="G581" s="65"/>
      <c r="H581" s="65"/>
      <c r="I581" s="65"/>
      <c r="J581" s="65"/>
      <c r="K581" s="65"/>
    </row>
    <row r="582">
      <c r="C582" s="65"/>
      <c r="D582" s="65"/>
      <c r="E582" s="65"/>
      <c r="F582" s="65"/>
      <c r="G582" s="65"/>
      <c r="H582" s="65"/>
      <c r="I582" s="65"/>
      <c r="J582" s="65"/>
      <c r="K582" s="65"/>
    </row>
    <row r="583">
      <c r="C583" s="65"/>
      <c r="D583" s="65"/>
      <c r="E583" s="65"/>
      <c r="F583" s="65"/>
      <c r="G583" s="65"/>
      <c r="H583" s="65"/>
      <c r="I583" s="65"/>
      <c r="J583" s="65"/>
      <c r="K583" s="65"/>
    </row>
    <row r="584">
      <c r="C584" s="65"/>
      <c r="D584" s="65"/>
      <c r="E584" s="65"/>
      <c r="F584" s="65"/>
      <c r="G584" s="65"/>
      <c r="H584" s="65"/>
      <c r="I584" s="65"/>
      <c r="J584" s="65"/>
      <c r="K584" s="65"/>
    </row>
    <row r="585">
      <c r="C585" s="65"/>
      <c r="D585" s="65"/>
      <c r="E585" s="65"/>
      <c r="F585" s="65"/>
      <c r="G585" s="65"/>
      <c r="H585" s="65"/>
      <c r="I585" s="65"/>
      <c r="J585" s="65"/>
      <c r="K585" s="65"/>
    </row>
    <row r="586">
      <c r="C586" s="65"/>
      <c r="D586" s="65"/>
      <c r="E586" s="65"/>
      <c r="F586" s="65"/>
      <c r="G586" s="65"/>
      <c r="H586" s="65"/>
      <c r="I586" s="65"/>
      <c r="J586" s="65"/>
      <c r="K586" s="65"/>
    </row>
    <row r="587">
      <c r="C587" s="65"/>
      <c r="D587" s="65"/>
      <c r="E587" s="65"/>
      <c r="F587" s="65"/>
      <c r="G587" s="65"/>
      <c r="H587" s="65"/>
      <c r="I587" s="65"/>
      <c r="J587" s="65"/>
      <c r="K587" s="65"/>
    </row>
    <row r="588">
      <c r="C588" s="65"/>
      <c r="D588" s="65"/>
      <c r="E588" s="65"/>
      <c r="F588" s="65"/>
      <c r="G588" s="65"/>
      <c r="H588" s="65"/>
      <c r="I588" s="65"/>
      <c r="J588" s="65"/>
      <c r="K588" s="65"/>
    </row>
    <row r="589">
      <c r="C589" s="65"/>
      <c r="D589" s="65"/>
      <c r="E589" s="65"/>
      <c r="F589" s="65"/>
      <c r="G589" s="65"/>
      <c r="H589" s="65"/>
      <c r="I589" s="65"/>
      <c r="J589" s="65"/>
      <c r="K589" s="65"/>
    </row>
    <row r="590">
      <c r="C590" s="65"/>
      <c r="D590" s="65"/>
      <c r="E590" s="65"/>
      <c r="F590" s="65"/>
      <c r="G590" s="65"/>
      <c r="H590" s="65"/>
      <c r="I590" s="65"/>
      <c r="J590" s="65"/>
      <c r="K590" s="65"/>
    </row>
    <row r="591">
      <c r="C591" s="65"/>
      <c r="D591" s="65"/>
      <c r="E591" s="65"/>
      <c r="F591" s="65"/>
      <c r="G591" s="65"/>
      <c r="H591" s="65"/>
      <c r="I591" s="65"/>
      <c r="J591" s="65"/>
      <c r="K591" s="65"/>
    </row>
    <row r="592">
      <c r="C592" s="65"/>
      <c r="D592" s="65"/>
      <c r="E592" s="65"/>
      <c r="F592" s="65"/>
      <c r="G592" s="65"/>
      <c r="H592" s="65"/>
      <c r="I592" s="65"/>
      <c r="J592" s="65"/>
      <c r="K592" s="65"/>
    </row>
    <row r="593">
      <c r="C593" s="65"/>
      <c r="D593" s="65"/>
      <c r="E593" s="65"/>
      <c r="F593" s="65"/>
      <c r="G593" s="65"/>
      <c r="H593" s="65"/>
      <c r="I593" s="65"/>
      <c r="J593" s="65"/>
      <c r="K593" s="65"/>
    </row>
    <row r="594">
      <c r="C594" s="65"/>
      <c r="D594" s="65"/>
      <c r="E594" s="65"/>
      <c r="F594" s="65"/>
      <c r="G594" s="65"/>
      <c r="H594" s="65"/>
      <c r="I594" s="65"/>
      <c r="J594" s="65"/>
      <c r="K594" s="65"/>
    </row>
    <row r="595">
      <c r="C595" s="65"/>
      <c r="D595" s="65"/>
      <c r="E595" s="65"/>
      <c r="F595" s="65"/>
      <c r="G595" s="65"/>
      <c r="H595" s="65"/>
      <c r="I595" s="65"/>
      <c r="J595" s="65"/>
      <c r="K595" s="65"/>
    </row>
    <row r="596">
      <c r="C596" s="65"/>
      <c r="D596" s="65"/>
      <c r="E596" s="65"/>
      <c r="F596" s="65"/>
      <c r="G596" s="65"/>
      <c r="H596" s="65"/>
      <c r="I596" s="65"/>
      <c r="J596" s="65"/>
      <c r="K596" s="65"/>
    </row>
    <row r="597">
      <c r="C597" s="65"/>
      <c r="D597" s="65"/>
      <c r="E597" s="65"/>
      <c r="F597" s="65"/>
      <c r="G597" s="65"/>
      <c r="H597" s="65"/>
      <c r="I597" s="65"/>
      <c r="J597" s="65"/>
      <c r="K597" s="65"/>
    </row>
    <row r="598">
      <c r="C598" s="65"/>
      <c r="D598" s="65"/>
      <c r="E598" s="65"/>
      <c r="F598" s="65"/>
      <c r="G598" s="65"/>
      <c r="H598" s="65"/>
      <c r="I598" s="65"/>
      <c r="J598" s="65"/>
      <c r="K598" s="65"/>
    </row>
    <row r="599">
      <c r="C599" s="65"/>
      <c r="D599" s="65"/>
      <c r="E599" s="65"/>
      <c r="F599" s="65"/>
      <c r="G599" s="65"/>
      <c r="H599" s="65"/>
      <c r="I599" s="65"/>
      <c r="J599" s="65"/>
      <c r="K599" s="65"/>
    </row>
    <row r="600">
      <c r="C600" s="65"/>
      <c r="D600" s="65"/>
      <c r="E600" s="65"/>
      <c r="F600" s="65"/>
      <c r="G600" s="65"/>
      <c r="H600" s="65"/>
      <c r="I600" s="65"/>
      <c r="J600" s="65"/>
      <c r="K600" s="65"/>
    </row>
    <row r="601">
      <c r="C601" s="65"/>
      <c r="D601" s="65"/>
      <c r="E601" s="65"/>
      <c r="F601" s="65"/>
      <c r="G601" s="65"/>
      <c r="H601" s="65"/>
      <c r="I601" s="65"/>
      <c r="J601" s="65"/>
      <c r="K601" s="65"/>
    </row>
    <row r="602">
      <c r="C602" s="65"/>
      <c r="D602" s="65"/>
      <c r="E602" s="65"/>
      <c r="F602" s="65"/>
      <c r="G602" s="65"/>
      <c r="H602" s="65"/>
      <c r="I602" s="65"/>
      <c r="J602" s="65"/>
      <c r="K602" s="65"/>
    </row>
    <row r="603">
      <c r="C603" s="65"/>
      <c r="D603" s="65"/>
      <c r="E603" s="65"/>
      <c r="F603" s="65"/>
      <c r="G603" s="65"/>
      <c r="H603" s="65"/>
      <c r="I603" s="65"/>
      <c r="J603" s="65"/>
      <c r="K603" s="65"/>
    </row>
    <row r="604">
      <c r="C604" s="65"/>
      <c r="D604" s="65"/>
      <c r="E604" s="65"/>
      <c r="F604" s="65"/>
      <c r="G604" s="65"/>
      <c r="H604" s="65"/>
      <c r="I604" s="65"/>
      <c r="J604" s="65"/>
      <c r="K604" s="65"/>
    </row>
    <row r="605">
      <c r="C605" s="65"/>
      <c r="D605" s="65"/>
      <c r="E605" s="65"/>
      <c r="F605" s="65"/>
      <c r="G605" s="65"/>
      <c r="H605" s="65"/>
      <c r="I605" s="65"/>
      <c r="J605" s="65"/>
      <c r="K605" s="65"/>
    </row>
    <row r="606">
      <c r="C606" s="65"/>
      <c r="D606" s="65"/>
      <c r="E606" s="65"/>
      <c r="F606" s="65"/>
      <c r="G606" s="65"/>
      <c r="H606" s="65"/>
      <c r="I606" s="65"/>
      <c r="J606" s="65"/>
      <c r="K606" s="65"/>
    </row>
    <row r="607">
      <c r="C607" s="65"/>
      <c r="D607" s="65"/>
      <c r="E607" s="65"/>
      <c r="F607" s="65"/>
      <c r="G607" s="65"/>
      <c r="H607" s="65"/>
      <c r="I607" s="65"/>
      <c r="J607" s="65"/>
      <c r="K607" s="65"/>
    </row>
    <row r="608">
      <c r="C608" s="65"/>
      <c r="D608" s="65"/>
      <c r="E608" s="65"/>
      <c r="F608" s="65"/>
      <c r="G608" s="65"/>
      <c r="H608" s="65"/>
      <c r="I608" s="65"/>
      <c r="J608" s="65"/>
      <c r="K608" s="65"/>
    </row>
    <row r="609">
      <c r="C609" s="65"/>
      <c r="D609" s="65"/>
      <c r="E609" s="65"/>
      <c r="F609" s="65"/>
      <c r="G609" s="65"/>
      <c r="H609" s="65"/>
      <c r="I609" s="65"/>
      <c r="J609" s="65"/>
      <c r="K609" s="65"/>
    </row>
    <row r="610">
      <c r="C610" s="65"/>
      <c r="D610" s="65"/>
      <c r="E610" s="65"/>
      <c r="F610" s="65"/>
      <c r="G610" s="65"/>
      <c r="H610" s="65"/>
      <c r="I610" s="65"/>
      <c r="J610" s="65"/>
      <c r="K610" s="65"/>
    </row>
    <row r="611">
      <c r="C611" s="65"/>
      <c r="D611" s="65"/>
      <c r="E611" s="65"/>
      <c r="F611" s="65"/>
      <c r="G611" s="65"/>
      <c r="H611" s="65"/>
      <c r="I611" s="65"/>
      <c r="J611" s="65"/>
      <c r="K611" s="65"/>
    </row>
    <row r="612">
      <c r="C612" s="65"/>
      <c r="D612" s="65"/>
      <c r="E612" s="65"/>
      <c r="F612" s="65"/>
      <c r="G612" s="65"/>
      <c r="H612" s="65"/>
      <c r="I612" s="65"/>
      <c r="J612" s="65"/>
      <c r="K612" s="65"/>
    </row>
    <row r="613">
      <c r="C613" s="65"/>
      <c r="D613" s="65"/>
      <c r="E613" s="65"/>
      <c r="F613" s="65"/>
      <c r="G613" s="65"/>
      <c r="H613" s="65"/>
      <c r="I613" s="65"/>
      <c r="J613" s="65"/>
      <c r="K613" s="65"/>
    </row>
    <row r="614">
      <c r="C614" s="65"/>
      <c r="D614" s="65"/>
      <c r="E614" s="65"/>
      <c r="F614" s="65"/>
      <c r="G614" s="65"/>
      <c r="H614" s="65"/>
      <c r="I614" s="65"/>
      <c r="J614" s="65"/>
      <c r="K614" s="65"/>
    </row>
    <row r="615">
      <c r="C615" s="65"/>
      <c r="D615" s="65"/>
      <c r="E615" s="65"/>
      <c r="F615" s="65"/>
      <c r="G615" s="65"/>
      <c r="H615" s="65"/>
      <c r="I615" s="65"/>
      <c r="J615" s="65"/>
      <c r="K615" s="65"/>
    </row>
    <row r="616">
      <c r="C616" s="65"/>
      <c r="D616" s="65"/>
      <c r="E616" s="65"/>
      <c r="F616" s="65"/>
      <c r="G616" s="65"/>
      <c r="H616" s="65"/>
      <c r="I616" s="65"/>
      <c r="J616" s="65"/>
      <c r="K616" s="65"/>
    </row>
    <row r="617">
      <c r="C617" s="65"/>
      <c r="D617" s="65"/>
      <c r="E617" s="65"/>
      <c r="F617" s="65"/>
      <c r="G617" s="65"/>
      <c r="H617" s="65"/>
      <c r="I617" s="65"/>
      <c r="J617" s="65"/>
      <c r="K617" s="65"/>
    </row>
    <row r="618">
      <c r="C618" s="65"/>
      <c r="D618" s="65"/>
      <c r="E618" s="65"/>
      <c r="F618" s="65"/>
      <c r="G618" s="65"/>
      <c r="H618" s="65"/>
      <c r="I618" s="65"/>
      <c r="J618" s="65"/>
      <c r="K618" s="65"/>
    </row>
    <row r="619">
      <c r="C619" s="65"/>
      <c r="D619" s="65"/>
      <c r="E619" s="65"/>
      <c r="F619" s="65"/>
      <c r="G619" s="65"/>
      <c r="H619" s="65"/>
      <c r="I619" s="65"/>
      <c r="J619" s="65"/>
      <c r="K619" s="65"/>
    </row>
    <row r="620">
      <c r="C620" s="65"/>
      <c r="D620" s="65"/>
      <c r="E620" s="65"/>
      <c r="F620" s="65"/>
      <c r="G620" s="65"/>
      <c r="H620" s="65"/>
      <c r="I620" s="65"/>
      <c r="J620" s="65"/>
      <c r="K620" s="65"/>
    </row>
    <row r="621">
      <c r="C621" s="65"/>
      <c r="D621" s="65"/>
      <c r="E621" s="65"/>
      <c r="F621" s="65"/>
      <c r="G621" s="65"/>
      <c r="H621" s="65"/>
      <c r="I621" s="65"/>
      <c r="J621" s="65"/>
      <c r="K621" s="65"/>
    </row>
    <row r="622">
      <c r="C622" s="65"/>
      <c r="D622" s="65"/>
      <c r="E622" s="65"/>
      <c r="F622" s="65"/>
      <c r="G622" s="65"/>
      <c r="H622" s="65"/>
      <c r="I622" s="65"/>
      <c r="J622" s="65"/>
      <c r="K622" s="65"/>
    </row>
    <row r="623">
      <c r="C623" s="65"/>
      <c r="D623" s="65"/>
      <c r="E623" s="65"/>
      <c r="F623" s="65"/>
      <c r="G623" s="65"/>
      <c r="H623" s="65"/>
      <c r="I623" s="65"/>
      <c r="J623" s="65"/>
      <c r="K623" s="65"/>
    </row>
    <row r="624">
      <c r="C624" s="65"/>
      <c r="D624" s="65"/>
      <c r="E624" s="65"/>
      <c r="F624" s="65"/>
      <c r="G624" s="65"/>
      <c r="H624" s="65"/>
      <c r="I624" s="65"/>
      <c r="J624" s="65"/>
      <c r="K624" s="65"/>
    </row>
    <row r="625">
      <c r="C625" s="65"/>
      <c r="D625" s="65"/>
      <c r="E625" s="65"/>
      <c r="F625" s="65"/>
      <c r="G625" s="65"/>
      <c r="H625" s="65"/>
      <c r="I625" s="65"/>
      <c r="J625" s="65"/>
      <c r="K625" s="65"/>
    </row>
    <row r="626">
      <c r="C626" s="65"/>
      <c r="D626" s="65"/>
      <c r="E626" s="65"/>
      <c r="F626" s="65"/>
      <c r="G626" s="65"/>
      <c r="H626" s="65"/>
      <c r="I626" s="65"/>
      <c r="J626" s="65"/>
      <c r="K626" s="65"/>
    </row>
    <row r="627">
      <c r="C627" s="65"/>
      <c r="D627" s="65"/>
      <c r="E627" s="65"/>
      <c r="F627" s="65"/>
      <c r="G627" s="65"/>
      <c r="H627" s="65"/>
      <c r="I627" s="65"/>
      <c r="J627" s="65"/>
      <c r="K627" s="65"/>
    </row>
    <row r="628">
      <c r="C628" s="65"/>
      <c r="D628" s="65"/>
      <c r="E628" s="65"/>
      <c r="F628" s="65"/>
      <c r="G628" s="65"/>
      <c r="H628" s="65"/>
      <c r="I628" s="65"/>
      <c r="J628" s="65"/>
      <c r="K628" s="65"/>
    </row>
    <row r="629">
      <c r="C629" s="65"/>
      <c r="D629" s="65"/>
      <c r="E629" s="65"/>
      <c r="F629" s="65"/>
      <c r="G629" s="65"/>
      <c r="H629" s="65"/>
      <c r="I629" s="65"/>
      <c r="J629" s="65"/>
      <c r="K629" s="65"/>
    </row>
    <row r="630">
      <c r="C630" s="65"/>
      <c r="D630" s="65"/>
      <c r="E630" s="65"/>
      <c r="F630" s="65"/>
      <c r="G630" s="65"/>
      <c r="H630" s="65"/>
      <c r="I630" s="65"/>
      <c r="J630" s="65"/>
      <c r="K630" s="65"/>
    </row>
    <row r="631">
      <c r="C631" s="65"/>
      <c r="D631" s="65"/>
      <c r="E631" s="65"/>
      <c r="F631" s="65"/>
      <c r="G631" s="65"/>
      <c r="H631" s="65"/>
      <c r="I631" s="65"/>
      <c r="J631" s="65"/>
      <c r="K631" s="65"/>
    </row>
    <row r="632">
      <c r="C632" s="65"/>
      <c r="D632" s="65"/>
      <c r="E632" s="65"/>
      <c r="F632" s="65"/>
      <c r="G632" s="65"/>
      <c r="H632" s="65"/>
      <c r="I632" s="65"/>
      <c r="J632" s="65"/>
      <c r="K632" s="65"/>
    </row>
    <row r="633">
      <c r="C633" s="65"/>
      <c r="D633" s="65"/>
      <c r="E633" s="65"/>
      <c r="F633" s="65"/>
      <c r="G633" s="65"/>
      <c r="H633" s="65"/>
      <c r="I633" s="65"/>
      <c r="J633" s="65"/>
      <c r="K633" s="65"/>
    </row>
    <row r="634">
      <c r="C634" s="65"/>
      <c r="D634" s="65"/>
      <c r="E634" s="65"/>
      <c r="F634" s="65"/>
      <c r="G634" s="65"/>
      <c r="H634" s="65"/>
      <c r="I634" s="65"/>
      <c r="J634" s="65"/>
      <c r="K634" s="65"/>
    </row>
    <row r="635">
      <c r="C635" s="65"/>
      <c r="D635" s="65"/>
      <c r="E635" s="65"/>
      <c r="F635" s="65"/>
      <c r="G635" s="65"/>
      <c r="H635" s="65"/>
      <c r="I635" s="65"/>
      <c r="J635" s="65"/>
      <c r="K635" s="65"/>
    </row>
    <row r="636">
      <c r="C636" s="65"/>
      <c r="D636" s="65"/>
      <c r="E636" s="65"/>
      <c r="F636" s="65"/>
      <c r="G636" s="65"/>
      <c r="H636" s="65"/>
      <c r="I636" s="65"/>
      <c r="J636" s="65"/>
      <c r="K636" s="65"/>
    </row>
    <row r="637">
      <c r="C637" s="65"/>
      <c r="D637" s="65"/>
      <c r="E637" s="65"/>
      <c r="F637" s="65"/>
      <c r="G637" s="65"/>
      <c r="H637" s="65"/>
      <c r="I637" s="65"/>
      <c r="J637" s="65"/>
      <c r="K637" s="65"/>
    </row>
    <row r="638">
      <c r="C638" s="65"/>
      <c r="D638" s="65"/>
      <c r="E638" s="65"/>
      <c r="F638" s="65"/>
      <c r="G638" s="65"/>
      <c r="H638" s="65"/>
      <c r="I638" s="65"/>
      <c r="J638" s="65"/>
      <c r="K638" s="65"/>
    </row>
    <row r="639">
      <c r="C639" s="65"/>
      <c r="D639" s="65"/>
      <c r="E639" s="65"/>
      <c r="F639" s="65"/>
      <c r="G639" s="65"/>
      <c r="H639" s="65"/>
      <c r="I639" s="65"/>
      <c r="J639" s="65"/>
      <c r="K639" s="65"/>
    </row>
    <row r="640">
      <c r="C640" s="65"/>
      <c r="D640" s="65"/>
      <c r="E640" s="65"/>
      <c r="F640" s="65"/>
      <c r="G640" s="65"/>
      <c r="H640" s="65"/>
      <c r="I640" s="65"/>
      <c r="J640" s="65"/>
      <c r="K640" s="65"/>
    </row>
    <row r="641">
      <c r="C641" s="65"/>
      <c r="D641" s="65"/>
      <c r="E641" s="65"/>
      <c r="F641" s="65"/>
      <c r="G641" s="65"/>
      <c r="H641" s="65"/>
      <c r="I641" s="65"/>
      <c r="J641" s="65"/>
      <c r="K641" s="65"/>
    </row>
    <row r="642">
      <c r="C642" s="65"/>
      <c r="D642" s="65"/>
      <c r="E642" s="65"/>
      <c r="F642" s="65"/>
      <c r="G642" s="65"/>
      <c r="H642" s="65"/>
      <c r="I642" s="65"/>
      <c r="J642" s="65"/>
      <c r="K642" s="65"/>
    </row>
    <row r="643">
      <c r="C643" s="65"/>
      <c r="D643" s="65"/>
      <c r="E643" s="65"/>
      <c r="F643" s="65"/>
      <c r="G643" s="65"/>
      <c r="H643" s="65"/>
      <c r="I643" s="65"/>
      <c r="J643" s="65"/>
      <c r="K643" s="65"/>
    </row>
    <row r="644">
      <c r="C644" s="65"/>
      <c r="D644" s="65"/>
      <c r="E644" s="65"/>
      <c r="F644" s="65"/>
      <c r="G644" s="65"/>
      <c r="H644" s="65"/>
      <c r="I644" s="65"/>
      <c r="J644" s="65"/>
      <c r="K644" s="65"/>
    </row>
    <row r="645">
      <c r="C645" s="65"/>
      <c r="D645" s="65"/>
      <c r="E645" s="65"/>
      <c r="F645" s="65"/>
      <c r="G645" s="65"/>
      <c r="H645" s="65"/>
      <c r="I645" s="65"/>
      <c r="J645" s="65"/>
      <c r="K645" s="65"/>
    </row>
    <row r="646">
      <c r="C646" s="65"/>
      <c r="D646" s="65"/>
      <c r="E646" s="65"/>
      <c r="F646" s="65"/>
      <c r="G646" s="65"/>
      <c r="H646" s="65"/>
      <c r="I646" s="65"/>
      <c r="J646" s="65"/>
      <c r="K646" s="65"/>
    </row>
    <row r="647">
      <c r="C647" s="65"/>
      <c r="D647" s="65"/>
      <c r="E647" s="65"/>
      <c r="F647" s="65"/>
      <c r="G647" s="65"/>
      <c r="H647" s="65"/>
      <c r="I647" s="65"/>
      <c r="J647" s="65"/>
      <c r="K647" s="65"/>
    </row>
    <row r="648">
      <c r="C648" s="65"/>
      <c r="D648" s="65"/>
      <c r="E648" s="65"/>
      <c r="F648" s="65"/>
      <c r="G648" s="65"/>
      <c r="H648" s="65"/>
      <c r="I648" s="65"/>
      <c r="J648" s="65"/>
      <c r="K648" s="65"/>
    </row>
    <row r="649">
      <c r="C649" s="65"/>
      <c r="D649" s="65"/>
      <c r="E649" s="65"/>
      <c r="F649" s="65"/>
      <c r="G649" s="65"/>
      <c r="H649" s="65"/>
      <c r="I649" s="65"/>
      <c r="J649" s="65"/>
      <c r="K649" s="65"/>
    </row>
    <row r="650">
      <c r="C650" s="65"/>
      <c r="D650" s="65"/>
      <c r="E650" s="65"/>
      <c r="F650" s="65"/>
      <c r="G650" s="65"/>
      <c r="H650" s="65"/>
      <c r="I650" s="65"/>
      <c r="J650" s="65"/>
      <c r="K650" s="65"/>
    </row>
    <row r="651">
      <c r="C651" s="65"/>
      <c r="D651" s="65"/>
      <c r="E651" s="65"/>
      <c r="F651" s="65"/>
      <c r="G651" s="65"/>
      <c r="H651" s="65"/>
      <c r="I651" s="65"/>
      <c r="J651" s="65"/>
      <c r="K651" s="65"/>
    </row>
    <row r="652">
      <c r="C652" s="65"/>
      <c r="D652" s="65"/>
      <c r="E652" s="65"/>
      <c r="F652" s="65"/>
      <c r="G652" s="65"/>
      <c r="H652" s="65"/>
      <c r="I652" s="65"/>
      <c r="J652" s="65"/>
      <c r="K652" s="65"/>
    </row>
    <row r="653">
      <c r="C653" s="65"/>
      <c r="D653" s="65"/>
      <c r="E653" s="65"/>
      <c r="F653" s="65"/>
      <c r="G653" s="65"/>
      <c r="H653" s="65"/>
      <c r="I653" s="65"/>
      <c r="J653" s="65"/>
      <c r="K653" s="65"/>
    </row>
    <row r="654">
      <c r="C654" s="65"/>
      <c r="D654" s="65"/>
      <c r="E654" s="65"/>
      <c r="F654" s="65"/>
      <c r="G654" s="65"/>
      <c r="H654" s="65"/>
      <c r="I654" s="65"/>
      <c r="J654" s="65"/>
      <c r="K654" s="65"/>
    </row>
    <row r="655">
      <c r="C655" s="65"/>
      <c r="D655" s="65"/>
      <c r="E655" s="65"/>
      <c r="F655" s="65"/>
      <c r="G655" s="65"/>
      <c r="H655" s="65"/>
      <c r="I655" s="65"/>
      <c r="J655" s="65"/>
      <c r="K655" s="65"/>
    </row>
    <row r="656">
      <c r="C656" s="65"/>
      <c r="D656" s="65"/>
      <c r="E656" s="65"/>
      <c r="F656" s="65"/>
      <c r="G656" s="65"/>
      <c r="H656" s="65"/>
      <c r="I656" s="65"/>
      <c r="J656" s="65"/>
      <c r="K656" s="65"/>
    </row>
    <row r="657">
      <c r="C657" s="65"/>
      <c r="D657" s="65"/>
      <c r="E657" s="65"/>
      <c r="F657" s="65"/>
      <c r="G657" s="65"/>
      <c r="H657" s="65"/>
      <c r="I657" s="65"/>
      <c r="J657" s="65"/>
      <c r="K657" s="65"/>
    </row>
    <row r="658">
      <c r="C658" s="65"/>
      <c r="D658" s="65"/>
      <c r="E658" s="65"/>
      <c r="F658" s="65"/>
      <c r="G658" s="65"/>
      <c r="H658" s="65"/>
      <c r="I658" s="65"/>
      <c r="J658" s="65"/>
      <c r="K658" s="65"/>
    </row>
    <row r="659">
      <c r="C659" s="65"/>
      <c r="D659" s="65"/>
      <c r="E659" s="65"/>
      <c r="F659" s="65"/>
      <c r="G659" s="65"/>
      <c r="H659" s="65"/>
      <c r="I659" s="65"/>
      <c r="J659" s="65"/>
      <c r="K659" s="65"/>
    </row>
    <row r="660">
      <c r="C660" s="65"/>
      <c r="D660" s="65"/>
      <c r="E660" s="65"/>
      <c r="F660" s="65"/>
      <c r="G660" s="65"/>
      <c r="H660" s="65"/>
      <c r="I660" s="65"/>
      <c r="J660" s="65"/>
      <c r="K660" s="65"/>
    </row>
    <row r="661">
      <c r="C661" s="65"/>
      <c r="D661" s="65"/>
      <c r="E661" s="65"/>
      <c r="F661" s="65"/>
      <c r="G661" s="65"/>
      <c r="H661" s="65"/>
      <c r="I661" s="65"/>
      <c r="J661" s="65"/>
      <c r="K661" s="65"/>
    </row>
    <row r="662">
      <c r="C662" s="65"/>
      <c r="D662" s="65"/>
      <c r="E662" s="65"/>
      <c r="F662" s="65"/>
      <c r="G662" s="65"/>
      <c r="H662" s="65"/>
      <c r="I662" s="65"/>
      <c r="J662" s="65"/>
      <c r="K662" s="65"/>
    </row>
    <row r="663">
      <c r="C663" s="65"/>
      <c r="D663" s="65"/>
      <c r="E663" s="65"/>
      <c r="F663" s="65"/>
      <c r="G663" s="65"/>
      <c r="H663" s="65"/>
      <c r="I663" s="65"/>
      <c r="J663" s="65"/>
      <c r="K663" s="65"/>
    </row>
    <row r="664">
      <c r="C664" s="65"/>
      <c r="D664" s="65"/>
      <c r="E664" s="65"/>
      <c r="F664" s="65"/>
      <c r="G664" s="65"/>
      <c r="H664" s="65"/>
      <c r="I664" s="65"/>
      <c r="J664" s="65"/>
      <c r="K664" s="65"/>
    </row>
    <row r="665">
      <c r="C665" s="65"/>
      <c r="D665" s="65"/>
      <c r="E665" s="65"/>
      <c r="F665" s="65"/>
      <c r="G665" s="65"/>
      <c r="H665" s="65"/>
      <c r="I665" s="65"/>
      <c r="J665" s="65"/>
      <c r="K665" s="65"/>
    </row>
    <row r="666">
      <c r="C666" s="65"/>
      <c r="D666" s="65"/>
      <c r="E666" s="65"/>
      <c r="F666" s="65"/>
      <c r="G666" s="65"/>
      <c r="H666" s="65"/>
      <c r="I666" s="65"/>
      <c r="J666" s="65"/>
      <c r="K666" s="65"/>
    </row>
    <row r="667">
      <c r="C667" s="65"/>
      <c r="D667" s="65"/>
      <c r="E667" s="65"/>
      <c r="F667" s="65"/>
      <c r="G667" s="65"/>
      <c r="H667" s="65"/>
      <c r="I667" s="65"/>
      <c r="J667" s="65"/>
      <c r="K667" s="65"/>
    </row>
    <row r="668">
      <c r="C668" s="65"/>
      <c r="D668" s="65"/>
      <c r="E668" s="65"/>
      <c r="F668" s="65"/>
      <c r="G668" s="65"/>
      <c r="H668" s="65"/>
      <c r="I668" s="65"/>
      <c r="J668" s="65"/>
      <c r="K668" s="65"/>
    </row>
    <row r="669">
      <c r="C669" s="65"/>
      <c r="D669" s="65"/>
      <c r="E669" s="65"/>
      <c r="F669" s="65"/>
      <c r="G669" s="65"/>
      <c r="H669" s="65"/>
      <c r="I669" s="65"/>
      <c r="J669" s="65"/>
      <c r="K669" s="65"/>
    </row>
    <row r="670">
      <c r="C670" s="65"/>
      <c r="D670" s="65"/>
      <c r="E670" s="65"/>
      <c r="F670" s="65"/>
      <c r="G670" s="65"/>
      <c r="H670" s="65"/>
      <c r="I670" s="65"/>
      <c r="J670" s="65"/>
      <c r="K670" s="65"/>
    </row>
    <row r="671">
      <c r="C671" s="65"/>
      <c r="D671" s="65"/>
      <c r="E671" s="65"/>
      <c r="F671" s="65"/>
      <c r="G671" s="65"/>
      <c r="H671" s="65"/>
      <c r="I671" s="65"/>
      <c r="J671" s="65"/>
      <c r="K671" s="65"/>
    </row>
    <row r="672">
      <c r="C672" s="65"/>
      <c r="D672" s="65"/>
      <c r="E672" s="65"/>
      <c r="F672" s="65"/>
      <c r="G672" s="65"/>
      <c r="H672" s="65"/>
      <c r="I672" s="65"/>
      <c r="J672" s="65"/>
      <c r="K672" s="65"/>
    </row>
    <row r="673">
      <c r="C673" s="65"/>
      <c r="D673" s="65"/>
      <c r="E673" s="65"/>
      <c r="F673" s="65"/>
      <c r="G673" s="65"/>
      <c r="H673" s="65"/>
      <c r="I673" s="65"/>
      <c r="J673" s="65"/>
      <c r="K673" s="65"/>
    </row>
    <row r="674">
      <c r="C674" s="65"/>
      <c r="D674" s="65"/>
      <c r="E674" s="65"/>
      <c r="F674" s="65"/>
      <c r="G674" s="65"/>
      <c r="H674" s="65"/>
      <c r="I674" s="65"/>
      <c r="J674" s="65"/>
      <c r="K674" s="65"/>
    </row>
    <row r="675">
      <c r="C675" s="65"/>
      <c r="D675" s="65"/>
      <c r="E675" s="65"/>
      <c r="F675" s="65"/>
      <c r="G675" s="65"/>
      <c r="H675" s="65"/>
      <c r="I675" s="65"/>
      <c r="J675" s="65"/>
      <c r="K675" s="65"/>
    </row>
    <row r="676">
      <c r="C676" s="65"/>
      <c r="D676" s="65"/>
      <c r="E676" s="65"/>
      <c r="F676" s="65"/>
      <c r="G676" s="65"/>
      <c r="H676" s="65"/>
      <c r="I676" s="65"/>
      <c r="J676" s="65"/>
      <c r="K676" s="65"/>
    </row>
    <row r="677">
      <c r="C677" s="65"/>
      <c r="D677" s="65"/>
      <c r="E677" s="65"/>
      <c r="F677" s="65"/>
      <c r="G677" s="65"/>
      <c r="H677" s="65"/>
      <c r="I677" s="65"/>
      <c r="J677" s="65"/>
      <c r="K677" s="65"/>
    </row>
    <row r="678">
      <c r="C678" s="65"/>
      <c r="D678" s="65"/>
      <c r="E678" s="65"/>
      <c r="F678" s="65"/>
      <c r="G678" s="65"/>
      <c r="H678" s="65"/>
      <c r="I678" s="65"/>
      <c r="J678" s="65"/>
      <c r="K678" s="65"/>
    </row>
    <row r="679">
      <c r="C679" s="65"/>
      <c r="D679" s="65"/>
      <c r="E679" s="65"/>
      <c r="F679" s="65"/>
      <c r="G679" s="65"/>
      <c r="H679" s="65"/>
      <c r="I679" s="65"/>
      <c r="J679" s="65"/>
      <c r="K679" s="65"/>
    </row>
    <row r="680">
      <c r="C680" s="65"/>
      <c r="D680" s="65"/>
      <c r="E680" s="65"/>
      <c r="F680" s="65"/>
      <c r="G680" s="65"/>
      <c r="H680" s="65"/>
      <c r="I680" s="65"/>
      <c r="J680" s="65"/>
      <c r="K680" s="65"/>
    </row>
    <row r="681">
      <c r="C681" s="65"/>
      <c r="D681" s="65"/>
      <c r="E681" s="65"/>
      <c r="F681" s="65"/>
      <c r="G681" s="65"/>
      <c r="H681" s="65"/>
      <c r="I681" s="65"/>
      <c r="J681" s="65"/>
      <c r="K681" s="65"/>
    </row>
    <row r="682">
      <c r="C682" s="65"/>
      <c r="D682" s="65"/>
      <c r="E682" s="65"/>
      <c r="F682" s="65"/>
      <c r="G682" s="65"/>
      <c r="H682" s="65"/>
      <c r="I682" s="65"/>
      <c r="J682" s="65"/>
      <c r="K682" s="65"/>
    </row>
    <row r="683">
      <c r="C683" s="65"/>
      <c r="D683" s="65"/>
      <c r="E683" s="65"/>
      <c r="F683" s="65"/>
      <c r="G683" s="65"/>
      <c r="H683" s="65"/>
      <c r="I683" s="65"/>
      <c r="J683" s="65"/>
      <c r="K683" s="65"/>
    </row>
    <row r="684">
      <c r="C684" s="65"/>
      <c r="D684" s="65"/>
      <c r="E684" s="65"/>
      <c r="F684" s="65"/>
      <c r="G684" s="65"/>
      <c r="H684" s="65"/>
      <c r="I684" s="65"/>
      <c r="J684" s="65"/>
      <c r="K684" s="65"/>
    </row>
    <row r="685">
      <c r="C685" s="65"/>
      <c r="D685" s="65"/>
      <c r="E685" s="65"/>
      <c r="F685" s="65"/>
      <c r="G685" s="65"/>
      <c r="H685" s="65"/>
      <c r="I685" s="65"/>
      <c r="J685" s="65"/>
      <c r="K685" s="65"/>
    </row>
    <row r="686">
      <c r="C686" s="65"/>
      <c r="D686" s="65"/>
      <c r="E686" s="65"/>
      <c r="F686" s="65"/>
      <c r="G686" s="65"/>
      <c r="H686" s="65"/>
      <c r="I686" s="65"/>
      <c r="J686" s="65"/>
      <c r="K686" s="65"/>
    </row>
    <row r="687">
      <c r="C687" s="65"/>
      <c r="D687" s="65"/>
      <c r="E687" s="65"/>
      <c r="F687" s="65"/>
      <c r="G687" s="65"/>
      <c r="H687" s="65"/>
      <c r="I687" s="65"/>
      <c r="J687" s="65"/>
      <c r="K687" s="65"/>
    </row>
    <row r="688">
      <c r="C688" s="65"/>
      <c r="D688" s="65"/>
      <c r="E688" s="65"/>
      <c r="F688" s="65"/>
      <c r="G688" s="65"/>
      <c r="H688" s="65"/>
      <c r="I688" s="65"/>
      <c r="J688" s="65"/>
      <c r="K688" s="65"/>
    </row>
    <row r="689">
      <c r="C689" s="65"/>
      <c r="D689" s="65"/>
      <c r="E689" s="65"/>
      <c r="F689" s="65"/>
      <c r="G689" s="65"/>
      <c r="H689" s="65"/>
      <c r="I689" s="65"/>
      <c r="J689" s="65"/>
      <c r="K689" s="65"/>
    </row>
    <row r="690">
      <c r="C690" s="65"/>
      <c r="D690" s="65"/>
      <c r="E690" s="65"/>
      <c r="F690" s="65"/>
      <c r="G690" s="65"/>
      <c r="H690" s="65"/>
      <c r="I690" s="65"/>
      <c r="J690" s="65"/>
      <c r="K690" s="65"/>
    </row>
    <row r="691">
      <c r="C691" s="65"/>
      <c r="D691" s="65"/>
      <c r="E691" s="65"/>
      <c r="F691" s="65"/>
      <c r="G691" s="65"/>
      <c r="H691" s="65"/>
      <c r="I691" s="65"/>
      <c r="J691" s="65"/>
      <c r="K691" s="65"/>
    </row>
    <row r="692">
      <c r="C692" s="65"/>
      <c r="D692" s="65"/>
      <c r="E692" s="65"/>
      <c r="F692" s="65"/>
      <c r="G692" s="65"/>
      <c r="H692" s="65"/>
      <c r="I692" s="65"/>
      <c r="J692" s="65"/>
      <c r="K692" s="65"/>
    </row>
    <row r="693">
      <c r="C693" s="65"/>
      <c r="D693" s="65"/>
      <c r="E693" s="65"/>
      <c r="F693" s="65"/>
      <c r="G693" s="65"/>
      <c r="H693" s="65"/>
      <c r="I693" s="65"/>
      <c r="J693" s="65"/>
      <c r="K693" s="65"/>
    </row>
    <row r="694">
      <c r="C694" s="65"/>
      <c r="D694" s="65"/>
      <c r="E694" s="65"/>
      <c r="F694" s="65"/>
      <c r="G694" s="65"/>
      <c r="H694" s="65"/>
      <c r="I694" s="65"/>
      <c r="J694" s="65"/>
      <c r="K694" s="65"/>
    </row>
    <row r="695">
      <c r="C695" s="65"/>
      <c r="D695" s="65"/>
      <c r="E695" s="65"/>
      <c r="F695" s="65"/>
      <c r="G695" s="65"/>
      <c r="H695" s="65"/>
      <c r="I695" s="65"/>
      <c r="J695" s="65"/>
      <c r="K695" s="65"/>
    </row>
    <row r="696">
      <c r="C696" s="65"/>
      <c r="D696" s="65"/>
      <c r="E696" s="65"/>
      <c r="F696" s="65"/>
      <c r="G696" s="65"/>
      <c r="H696" s="65"/>
      <c r="I696" s="65"/>
      <c r="J696" s="65"/>
      <c r="K696" s="65"/>
    </row>
    <row r="697">
      <c r="C697" s="65"/>
      <c r="D697" s="65"/>
      <c r="E697" s="65"/>
      <c r="F697" s="65"/>
      <c r="G697" s="65"/>
      <c r="H697" s="65"/>
      <c r="I697" s="65"/>
      <c r="J697" s="65"/>
      <c r="K697" s="65"/>
    </row>
    <row r="698">
      <c r="C698" s="65"/>
      <c r="D698" s="65"/>
      <c r="E698" s="65"/>
      <c r="F698" s="65"/>
      <c r="G698" s="65"/>
      <c r="H698" s="65"/>
      <c r="I698" s="65"/>
      <c r="J698" s="65"/>
      <c r="K698" s="65"/>
    </row>
    <row r="699">
      <c r="C699" s="65"/>
      <c r="D699" s="65"/>
      <c r="E699" s="65"/>
      <c r="F699" s="65"/>
      <c r="G699" s="65"/>
      <c r="H699" s="65"/>
      <c r="I699" s="65"/>
      <c r="J699" s="65"/>
      <c r="K699" s="65"/>
    </row>
    <row r="700">
      <c r="C700" s="65"/>
      <c r="D700" s="65"/>
      <c r="E700" s="65"/>
      <c r="F700" s="65"/>
      <c r="G700" s="65"/>
      <c r="H700" s="65"/>
      <c r="I700" s="65"/>
      <c r="J700" s="65"/>
      <c r="K700" s="65"/>
    </row>
    <row r="701">
      <c r="C701" s="65"/>
      <c r="D701" s="65"/>
      <c r="E701" s="65"/>
      <c r="F701" s="65"/>
      <c r="G701" s="65"/>
      <c r="H701" s="65"/>
      <c r="I701" s="65"/>
      <c r="J701" s="65"/>
      <c r="K701" s="65"/>
    </row>
    <row r="702">
      <c r="C702" s="65"/>
      <c r="D702" s="65"/>
      <c r="E702" s="65"/>
      <c r="F702" s="65"/>
      <c r="G702" s="65"/>
      <c r="H702" s="65"/>
      <c r="I702" s="65"/>
      <c r="J702" s="65"/>
      <c r="K702" s="65"/>
    </row>
    <row r="703">
      <c r="C703" s="65"/>
      <c r="D703" s="65"/>
      <c r="E703" s="65"/>
      <c r="F703" s="65"/>
      <c r="G703" s="65"/>
      <c r="H703" s="65"/>
      <c r="I703" s="65"/>
      <c r="J703" s="65"/>
      <c r="K703" s="65"/>
    </row>
    <row r="704">
      <c r="C704" s="65"/>
      <c r="D704" s="65"/>
      <c r="E704" s="65"/>
      <c r="F704" s="65"/>
      <c r="G704" s="65"/>
      <c r="H704" s="65"/>
      <c r="I704" s="65"/>
      <c r="J704" s="65"/>
      <c r="K704" s="65"/>
    </row>
    <row r="705">
      <c r="C705" s="65"/>
      <c r="D705" s="65"/>
      <c r="E705" s="65"/>
      <c r="F705" s="65"/>
      <c r="G705" s="65"/>
      <c r="H705" s="65"/>
      <c r="I705" s="65"/>
      <c r="J705" s="65"/>
      <c r="K705" s="65"/>
    </row>
    <row r="706">
      <c r="C706" s="65"/>
      <c r="D706" s="65"/>
      <c r="E706" s="65"/>
      <c r="F706" s="65"/>
      <c r="G706" s="65"/>
      <c r="H706" s="65"/>
      <c r="I706" s="65"/>
      <c r="J706" s="65"/>
      <c r="K706" s="65"/>
    </row>
    <row r="707">
      <c r="C707" s="65"/>
      <c r="D707" s="65"/>
      <c r="E707" s="65"/>
      <c r="F707" s="65"/>
      <c r="G707" s="65"/>
      <c r="H707" s="65"/>
      <c r="I707" s="65"/>
      <c r="J707" s="65"/>
      <c r="K707" s="65"/>
    </row>
    <row r="708">
      <c r="C708" s="65"/>
      <c r="D708" s="65"/>
      <c r="E708" s="65"/>
      <c r="F708" s="65"/>
      <c r="G708" s="65"/>
      <c r="H708" s="65"/>
      <c r="I708" s="65"/>
      <c r="J708" s="65"/>
      <c r="K708" s="65"/>
    </row>
    <row r="709">
      <c r="C709" s="65"/>
      <c r="D709" s="65"/>
      <c r="E709" s="65"/>
      <c r="F709" s="65"/>
      <c r="G709" s="65"/>
      <c r="H709" s="65"/>
      <c r="I709" s="65"/>
      <c r="J709" s="65"/>
      <c r="K709" s="65"/>
    </row>
    <row r="710">
      <c r="C710" s="65"/>
      <c r="D710" s="65"/>
      <c r="E710" s="65"/>
      <c r="F710" s="65"/>
      <c r="G710" s="65"/>
      <c r="H710" s="65"/>
      <c r="I710" s="65"/>
      <c r="J710" s="65"/>
      <c r="K710" s="65"/>
    </row>
    <row r="711">
      <c r="C711" s="65"/>
      <c r="D711" s="65"/>
      <c r="E711" s="65"/>
      <c r="F711" s="65"/>
      <c r="G711" s="65"/>
      <c r="H711" s="65"/>
      <c r="I711" s="65"/>
      <c r="J711" s="65"/>
      <c r="K711" s="65"/>
    </row>
    <row r="712">
      <c r="C712" s="65"/>
      <c r="D712" s="65"/>
      <c r="E712" s="65"/>
      <c r="F712" s="65"/>
      <c r="G712" s="65"/>
      <c r="H712" s="65"/>
      <c r="I712" s="65"/>
      <c r="J712" s="65"/>
      <c r="K712" s="65"/>
    </row>
    <row r="713">
      <c r="C713" s="65"/>
      <c r="D713" s="65"/>
      <c r="E713" s="65"/>
      <c r="F713" s="65"/>
      <c r="G713" s="65"/>
      <c r="H713" s="65"/>
      <c r="I713" s="65"/>
      <c r="J713" s="65"/>
      <c r="K713" s="65"/>
    </row>
    <row r="714">
      <c r="C714" s="65"/>
      <c r="D714" s="65"/>
      <c r="E714" s="65"/>
      <c r="F714" s="65"/>
      <c r="G714" s="65"/>
      <c r="H714" s="65"/>
      <c r="I714" s="65"/>
      <c r="J714" s="65"/>
      <c r="K714" s="65"/>
    </row>
    <row r="715">
      <c r="C715" s="65"/>
      <c r="D715" s="65"/>
      <c r="E715" s="65"/>
      <c r="F715" s="65"/>
      <c r="G715" s="65"/>
      <c r="H715" s="65"/>
      <c r="I715" s="65"/>
      <c r="J715" s="65"/>
      <c r="K715" s="65"/>
    </row>
    <row r="716">
      <c r="C716" s="65"/>
      <c r="D716" s="65"/>
      <c r="E716" s="65"/>
      <c r="F716" s="65"/>
      <c r="G716" s="65"/>
      <c r="H716" s="65"/>
      <c r="I716" s="65"/>
      <c r="J716" s="65"/>
      <c r="K716" s="65"/>
    </row>
    <row r="717">
      <c r="C717" s="65"/>
      <c r="D717" s="65"/>
      <c r="E717" s="65"/>
      <c r="F717" s="65"/>
      <c r="G717" s="65"/>
      <c r="H717" s="65"/>
      <c r="I717" s="65"/>
      <c r="J717" s="65"/>
      <c r="K717" s="65"/>
    </row>
    <row r="718">
      <c r="C718" s="65"/>
      <c r="D718" s="65"/>
      <c r="E718" s="65"/>
      <c r="F718" s="65"/>
      <c r="G718" s="65"/>
      <c r="H718" s="65"/>
      <c r="I718" s="65"/>
      <c r="J718" s="65"/>
      <c r="K718" s="65"/>
    </row>
    <row r="719">
      <c r="C719" s="65"/>
      <c r="D719" s="65"/>
      <c r="E719" s="65"/>
      <c r="F719" s="65"/>
      <c r="G719" s="65"/>
      <c r="H719" s="65"/>
      <c r="I719" s="65"/>
      <c r="J719" s="65"/>
      <c r="K719" s="65"/>
    </row>
    <row r="720">
      <c r="C720" s="65"/>
      <c r="D720" s="65"/>
      <c r="E720" s="65"/>
      <c r="F720" s="65"/>
      <c r="G720" s="65"/>
      <c r="H720" s="65"/>
      <c r="I720" s="65"/>
      <c r="J720" s="65"/>
      <c r="K720" s="65"/>
    </row>
    <row r="721">
      <c r="C721" s="65"/>
      <c r="D721" s="65"/>
      <c r="E721" s="65"/>
      <c r="F721" s="65"/>
      <c r="G721" s="65"/>
      <c r="H721" s="65"/>
      <c r="I721" s="65"/>
      <c r="J721" s="65"/>
      <c r="K721" s="65"/>
    </row>
    <row r="722">
      <c r="C722" s="65"/>
      <c r="D722" s="65"/>
      <c r="E722" s="65"/>
      <c r="F722" s="65"/>
      <c r="G722" s="65"/>
      <c r="H722" s="65"/>
      <c r="I722" s="65"/>
      <c r="J722" s="65"/>
      <c r="K722" s="65"/>
    </row>
    <row r="723">
      <c r="C723" s="65"/>
      <c r="D723" s="65"/>
      <c r="E723" s="65"/>
      <c r="F723" s="65"/>
      <c r="G723" s="65"/>
      <c r="H723" s="65"/>
      <c r="I723" s="65"/>
      <c r="J723" s="65"/>
      <c r="K723" s="65"/>
    </row>
    <row r="724">
      <c r="C724" s="65"/>
      <c r="D724" s="65"/>
      <c r="E724" s="65"/>
      <c r="F724" s="65"/>
      <c r="G724" s="65"/>
      <c r="H724" s="65"/>
      <c r="I724" s="65"/>
      <c r="J724" s="65"/>
      <c r="K724" s="65"/>
    </row>
    <row r="725">
      <c r="C725" s="65"/>
      <c r="D725" s="65"/>
      <c r="E725" s="65"/>
      <c r="F725" s="65"/>
      <c r="G725" s="65"/>
      <c r="H725" s="65"/>
      <c r="I725" s="65"/>
      <c r="J725" s="65"/>
      <c r="K725" s="65"/>
    </row>
    <row r="726">
      <c r="C726" s="65"/>
      <c r="D726" s="65"/>
      <c r="E726" s="65"/>
      <c r="F726" s="65"/>
      <c r="G726" s="65"/>
      <c r="H726" s="65"/>
      <c r="I726" s="65"/>
      <c r="J726" s="65"/>
      <c r="K726" s="65"/>
    </row>
    <row r="727">
      <c r="C727" s="65"/>
      <c r="D727" s="65"/>
      <c r="E727" s="65"/>
      <c r="F727" s="65"/>
      <c r="G727" s="65"/>
      <c r="H727" s="65"/>
      <c r="I727" s="65"/>
      <c r="J727" s="65"/>
      <c r="K727" s="65"/>
    </row>
    <row r="728">
      <c r="C728" s="65"/>
      <c r="D728" s="65"/>
      <c r="E728" s="65"/>
      <c r="F728" s="65"/>
      <c r="G728" s="65"/>
      <c r="H728" s="65"/>
      <c r="I728" s="65"/>
      <c r="J728" s="65"/>
      <c r="K728" s="65"/>
    </row>
    <row r="729">
      <c r="C729" s="65"/>
      <c r="D729" s="65"/>
      <c r="E729" s="65"/>
      <c r="F729" s="65"/>
      <c r="G729" s="65"/>
      <c r="H729" s="65"/>
      <c r="I729" s="65"/>
      <c r="J729" s="65"/>
      <c r="K729" s="65"/>
    </row>
    <row r="730">
      <c r="C730" s="65"/>
      <c r="D730" s="65"/>
      <c r="E730" s="65"/>
      <c r="F730" s="65"/>
      <c r="G730" s="65"/>
      <c r="H730" s="65"/>
      <c r="I730" s="65"/>
      <c r="J730" s="65"/>
      <c r="K730" s="65"/>
    </row>
    <row r="731">
      <c r="C731" s="65"/>
      <c r="D731" s="65"/>
      <c r="E731" s="65"/>
      <c r="F731" s="65"/>
      <c r="G731" s="65"/>
      <c r="H731" s="65"/>
      <c r="I731" s="65"/>
      <c r="J731" s="65"/>
      <c r="K731" s="65"/>
    </row>
    <row r="732">
      <c r="C732" s="65"/>
      <c r="D732" s="65"/>
      <c r="E732" s="65"/>
      <c r="F732" s="65"/>
      <c r="G732" s="65"/>
      <c r="H732" s="65"/>
      <c r="I732" s="65"/>
      <c r="J732" s="65"/>
      <c r="K732" s="65"/>
    </row>
    <row r="733">
      <c r="C733" s="65"/>
      <c r="D733" s="65"/>
      <c r="E733" s="65"/>
      <c r="F733" s="65"/>
      <c r="G733" s="65"/>
      <c r="H733" s="65"/>
      <c r="I733" s="65"/>
      <c r="J733" s="65"/>
      <c r="K733" s="65"/>
    </row>
    <row r="734">
      <c r="C734" s="65"/>
      <c r="D734" s="65"/>
      <c r="E734" s="65"/>
      <c r="F734" s="65"/>
      <c r="G734" s="65"/>
      <c r="H734" s="65"/>
      <c r="I734" s="65"/>
      <c r="J734" s="65"/>
      <c r="K734" s="65"/>
    </row>
    <row r="735">
      <c r="C735" s="65"/>
      <c r="D735" s="65"/>
      <c r="E735" s="65"/>
      <c r="F735" s="65"/>
      <c r="G735" s="65"/>
      <c r="H735" s="65"/>
      <c r="I735" s="65"/>
      <c r="J735" s="65"/>
      <c r="K735" s="65"/>
    </row>
    <row r="736">
      <c r="C736" s="65"/>
      <c r="D736" s="65"/>
      <c r="E736" s="65"/>
      <c r="F736" s="65"/>
      <c r="G736" s="65"/>
      <c r="H736" s="65"/>
      <c r="I736" s="65"/>
      <c r="J736" s="65"/>
      <c r="K736" s="65"/>
    </row>
    <row r="737">
      <c r="C737" s="65"/>
      <c r="D737" s="65"/>
      <c r="E737" s="65"/>
      <c r="F737" s="65"/>
      <c r="G737" s="65"/>
      <c r="H737" s="65"/>
      <c r="I737" s="65"/>
      <c r="J737" s="65"/>
      <c r="K737" s="65"/>
    </row>
    <row r="738">
      <c r="C738" s="65"/>
      <c r="D738" s="65"/>
      <c r="E738" s="65"/>
      <c r="F738" s="65"/>
      <c r="G738" s="65"/>
      <c r="H738" s="65"/>
      <c r="I738" s="65"/>
      <c r="J738" s="65"/>
      <c r="K738" s="65"/>
    </row>
    <row r="739">
      <c r="C739" s="65"/>
      <c r="D739" s="65"/>
      <c r="E739" s="65"/>
      <c r="F739" s="65"/>
      <c r="G739" s="65"/>
      <c r="H739" s="65"/>
      <c r="I739" s="65"/>
      <c r="J739" s="65"/>
      <c r="K739" s="65"/>
    </row>
    <row r="740">
      <c r="C740" s="65"/>
      <c r="D740" s="65"/>
      <c r="E740" s="65"/>
      <c r="F740" s="65"/>
      <c r="G740" s="65"/>
      <c r="H740" s="65"/>
      <c r="I740" s="65"/>
      <c r="J740" s="65"/>
      <c r="K740" s="65"/>
    </row>
    <row r="741">
      <c r="C741" s="65"/>
      <c r="D741" s="65"/>
      <c r="E741" s="65"/>
      <c r="F741" s="65"/>
      <c r="G741" s="65"/>
      <c r="H741" s="65"/>
      <c r="I741" s="65"/>
      <c r="J741" s="65"/>
      <c r="K741" s="65"/>
    </row>
    <row r="742">
      <c r="C742" s="65"/>
      <c r="D742" s="65"/>
      <c r="E742" s="65"/>
      <c r="F742" s="65"/>
      <c r="G742" s="65"/>
      <c r="H742" s="65"/>
      <c r="I742" s="65"/>
      <c r="J742" s="65"/>
      <c r="K742" s="65"/>
    </row>
    <row r="743">
      <c r="C743" s="65"/>
      <c r="D743" s="65"/>
      <c r="E743" s="65"/>
      <c r="F743" s="65"/>
      <c r="G743" s="65"/>
      <c r="H743" s="65"/>
      <c r="I743" s="65"/>
      <c r="J743" s="65"/>
      <c r="K743" s="65"/>
    </row>
    <row r="744">
      <c r="C744" s="65"/>
      <c r="D744" s="65"/>
      <c r="E744" s="65"/>
      <c r="F744" s="65"/>
      <c r="G744" s="65"/>
      <c r="H744" s="65"/>
      <c r="I744" s="65"/>
      <c r="J744" s="65"/>
      <c r="K744" s="65"/>
    </row>
    <row r="745">
      <c r="C745" s="65"/>
      <c r="D745" s="65"/>
      <c r="E745" s="65"/>
      <c r="F745" s="65"/>
      <c r="G745" s="65"/>
      <c r="H745" s="65"/>
      <c r="I745" s="65"/>
      <c r="J745" s="65"/>
      <c r="K745" s="65"/>
    </row>
    <row r="746">
      <c r="C746" s="65"/>
      <c r="D746" s="65"/>
      <c r="E746" s="65"/>
      <c r="F746" s="65"/>
      <c r="G746" s="65"/>
      <c r="H746" s="65"/>
      <c r="I746" s="65"/>
      <c r="J746" s="65"/>
      <c r="K746" s="65"/>
    </row>
    <row r="747">
      <c r="C747" s="65"/>
      <c r="D747" s="65"/>
      <c r="E747" s="65"/>
      <c r="F747" s="65"/>
      <c r="G747" s="65"/>
      <c r="H747" s="65"/>
      <c r="I747" s="65"/>
      <c r="J747" s="65"/>
      <c r="K747" s="65"/>
    </row>
    <row r="748">
      <c r="C748" s="65"/>
      <c r="D748" s="65"/>
      <c r="E748" s="65"/>
      <c r="F748" s="65"/>
      <c r="G748" s="65"/>
      <c r="H748" s="65"/>
      <c r="I748" s="65"/>
      <c r="J748" s="65"/>
      <c r="K748" s="65"/>
    </row>
    <row r="749">
      <c r="C749" s="65"/>
      <c r="D749" s="65"/>
      <c r="E749" s="65"/>
      <c r="F749" s="65"/>
      <c r="G749" s="65"/>
      <c r="H749" s="65"/>
      <c r="I749" s="65"/>
      <c r="J749" s="65"/>
      <c r="K749" s="65"/>
    </row>
    <row r="750">
      <c r="C750" s="65"/>
      <c r="D750" s="65"/>
      <c r="E750" s="65"/>
      <c r="F750" s="65"/>
      <c r="G750" s="65"/>
      <c r="H750" s="65"/>
      <c r="I750" s="65"/>
      <c r="J750" s="65"/>
      <c r="K750" s="65"/>
    </row>
    <row r="751">
      <c r="C751" s="65"/>
      <c r="D751" s="65"/>
      <c r="E751" s="65"/>
      <c r="F751" s="65"/>
      <c r="G751" s="65"/>
      <c r="H751" s="65"/>
      <c r="I751" s="65"/>
      <c r="J751" s="65"/>
      <c r="K751" s="65"/>
    </row>
    <row r="752">
      <c r="C752" s="65"/>
      <c r="D752" s="65"/>
      <c r="E752" s="65"/>
      <c r="F752" s="65"/>
      <c r="G752" s="65"/>
      <c r="H752" s="65"/>
      <c r="I752" s="65"/>
      <c r="J752" s="65"/>
      <c r="K752" s="65"/>
    </row>
    <row r="753">
      <c r="C753" s="65"/>
      <c r="D753" s="65"/>
      <c r="E753" s="65"/>
      <c r="F753" s="65"/>
      <c r="G753" s="65"/>
      <c r="H753" s="65"/>
      <c r="I753" s="65"/>
      <c r="J753" s="65"/>
      <c r="K753" s="65"/>
    </row>
    <row r="754">
      <c r="C754" s="65"/>
      <c r="D754" s="65"/>
      <c r="E754" s="65"/>
      <c r="F754" s="65"/>
      <c r="G754" s="65"/>
      <c r="H754" s="65"/>
      <c r="I754" s="65"/>
      <c r="J754" s="65"/>
      <c r="K754" s="65"/>
    </row>
    <row r="755">
      <c r="C755" s="65"/>
      <c r="D755" s="65"/>
      <c r="E755" s="65"/>
      <c r="F755" s="65"/>
      <c r="G755" s="65"/>
      <c r="H755" s="65"/>
      <c r="I755" s="65"/>
      <c r="J755" s="65"/>
      <c r="K755" s="65"/>
    </row>
    <row r="756">
      <c r="C756" s="65"/>
      <c r="D756" s="65"/>
      <c r="E756" s="65"/>
      <c r="F756" s="65"/>
      <c r="G756" s="65"/>
      <c r="H756" s="65"/>
      <c r="I756" s="65"/>
      <c r="J756" s="65"/>
      <c r="K756" s="65"/>
    </row>
    <row r="757">
      <c r="C757" s="65"/>
      <c r="D757" s="65"/>
      <c r="E757" s="65"/>
      <c r="F757" s="65"/>
      <c r="G757" s="65"/>
      <c r="H757" s="65"/>
      <c r="I757" s="65"/>
      <c r="J757" s="65"/>
      <c r="K757" s="65"/>
    </row>
    <row r="758">
      <c r="C758" s="65"/>
      <c r="D758" s="65"/>
      <c r="E758" s="65"/>
      <c r="F758" s="65"/>
      <c r="G758" s="65"/>
      <c r="H758" s="65"/>
      <c r="I758" s="65"/>
      <c r="J758" s="65"/>
      <c r="K758" s="65"/>
    </row>
    <row r="759">
      <c r="C759" s="65"/>
      <c r="D759" s="65"/>
      <c r="E759" s="65"/>
      <c r="F759" s="65"/>
      <c r="G759" s="65"/>
      <c r="H759" s="65"/>
      <c r="I759" s="65"/>
      <c r="J759" s="65"/>
      <c r="K759" s="65"/>
    </row>
    <row r="760">
      <c r="C760" s="65"/>
      <c r="D760" s="65"/>
      <c r="E760" s="65"/>
      <c r="F760" s="65"/>
      <c r="G760" s="65"/>
      <c r="H760" s="65"/>
      <c r="I760" s="65"/>
      <c r="J760" s="65"/>
      <c r="K760" s="65"/>
    </row>
    <row r="761">
      <c r="C761" s="65"/>
      <c r="D761" s="65"/>
      <c r="E761" s="65"/>
      <c r="F761" s="65"/>
      <c r="G761" s="65"/>
      <c r="H761" s="65"/>
      <c r="I761" s="65"/>
      <c r="J761" s="65"/>
      <c r="K761" s="65"/>
    </row>
    <row r="762">
      <c r="C762" s="65"/>
      <c r="D762" s="65"/>
      <c r="E762" s="65"/>
      <c r="F762" s="65"/>
      <c r="G762" s="65"/>
      <c r="H762" s="65"/>
      <c r="I762" s="65"/>
      <c r="J762" s="65"/>
      <c r="K762" s="65"/>
    </row>
    <row r="763">
      <c r="C763" s="65"/>
      <c r="D763" s="65"/>
      <c r="E763" s="65"/>
      <c r="F763" s="65"/>
      <c r="G763" s="65"/>
      <c r="H763" s="65"/>
      <c r="I763" s="65"/>
      <c r="J763" s="65"/>
      <c r="K763" s="65"/>
    </row>
    <row r="764">
      <c r="C764" s="65"/>
      <c r="D764" s="65"/>
      <c r="E764" s="65"/>
      <c r="F764" s="65"/>
      <c r="G764" s="65"/>
      <c r="H764" s="65"/>
      <c r="I764" s="65"/>
      <c r="J764" s="65"/>
      <c r="K764" s="65"/>
    </row>
    <row r="765">
      <c r="C765" s="65"/>
      <c r="D765" s="65"/>
      <c r="E765" s="65"/>
      <c r="F765" s="65"/>
      <c r="G765" s="65"/>
      <c r="H765" s="65"/>
      <c r="I765" s="65"/>
      <c r="J765" s="65"/>
      <c r="K765" s="65"/>
    </row>
    <row r="766">
      <c r="C766" s="65"/>
      <c r="D766" s="65"/>
      <c r="E766" s="65"/>
      <c r="F766" s="65"/>
      <c r="G766" s="65"/>
      <c r="H766" s="65"/>
      <c r="I766" s="65"/>
      <c r="J766" s="65"/>
      <c r="K766" s="65"/>
    </row>
    <row r="767">
      <c r="C767" s="65"/>
      <c r="D767" s="65"/>
      <c r="E767" s="65"/>
      <c r="F767" s="65"/>
      <c r="G767" s="65"/>
      <c r="H767" s="65"/>
      <c r="I767" s="65"/>
      <c r="J767" s="65"/>
      <c r="K767" s="65"/>
    </row>
    <row r="768">
      <c r="C768" s="65"/>
      <c r="D768" s="65"/>
      <c r="E768" s="65"/>
      <c r="F768" s="65"/>
      <c r="G768" s="65"/>
      <c r="H768" s="65"/>
      <c r="I768" s="65"/>
      <c r="J768" s="65"/>
      <c r="K768" s="65"/>
    </row>
    <row r="769">
      <c r="C769" s="65"/>
      <c r="D769" s="65"/>
      <c r="E769" s="65"/>
      <c r="F769" s="65"/>
      <c r="G769" s="65"/>
      <c r="H769" s="65"/>
      <c r="I769" s="65"/>
      <c r="J769" s="65"/>
      <c r="K769" s="65"/>
    </row>
    <row r="770">
      <c r="C770" s="65"/>
      <c r="D770" s="65"/>
      <c r="E770" s="65"/>
      <c r="F770" s="65"/>
      <c r="G770" s="65"/>
      <c r="H770" s="65"/>
      <c r="I770" s="65"/>
      <c r="J770" s="65"/>
      <c r="K770" s="65"/>
    </row>
    <row r="771">
      <c r="C771" s="65"/>
      <c r="D771" s="65"/>
      <c r="E771" s="65"/>
      <c r="F771" s="65"/>
      <c r="G771" s="65"/>
      <c r="H771" s="65"/>
      <c r="I771" s="65"/>
      <c r="J771" s="65"/>
      <c r="K771" s="65"/>
    </row>
    <row r="772">
      <c r="C772" s="65"/>
      <c r="D772" s="65"/>
      <c r="E772" s="65"/>
      <c r="F772" s="65"/>
      <c r="G772" s="65"/>
      <c r="H772" s="65"/>
      <c r="I772" s="65"/>
      <c r="J772" s="65"/>
      <c r="K772" s="65"/>
    </row>
    <row r="773">
      <c r="C773" s="65"/>
      <c r="D773" s="65"/>
      <c r="E773" s="65"/>
      <c r="F773" s="65"/>
      <c r="G773" s="65"/>
      <c r="H773" s="65"/>
      <c r="I773" s="65"/>
      <c r="J773" s="65"/>
      <c r="K773" s="65"/>
    </row>
    <row r="774">
      <c r="C774" s="65"/>
      <c r="D774" s="65"/>
      <c r="E774" s="65"/>
      <c r="F774" s="65"/>
      <c r="G774" s="65"/>
      <c r="H774" s="65"/>
      <c r="I774" s="65"/>
      <c r="J774" s="65"/>
      <c r="K774" s="65"/>
    </row>
    <row r="775">
      <c r="C775" s="65"/>
      <c r="D775" s="65"/>
      <c r="E775" s="65"/>
      <c r="F775" s="65"/>
      <c r="G775" s="65"/>
      <c r="H775" s="65"/>
      <c r="I775" s="65"/>
      <c r="J775" s="65"/>
      <c r="K775" s="65"/>
    </row>
    <row r="776">
      <c r="C776" s="65"/>
      <c r="D776" s="65"/>
      <c r="E776" s="65"/>
      <c r="F776" s="65"/>
      <c r="G776" s="65"/>
      <c r="H776" s="65"/>
      <c r="I776" s="65"/>
      <c r="J776" s="65"/>
      <c r="K776" s="65"/>
    </row>
    <row r="777">
      <c r="C777" s="65"/>
      <c r="D777" s="65"/>
      <c r="E777" s="65"/>
      <c r="F777" s="65"/>
      <c r="G777" s="65"/>
      <c r="H777" s="65"/>
      <c r="I777" s="65"/>
      <c r="J777" s="65"/>
      <c r="K777" s="65"/>
    </row>
    <row r="778">
      <c r="C778" s="65"/>
      <c r="D778" s="65"/>
      <c r="E778" s="65"/>
      <c r="F778" s="65"/>
      <c r="G778" s="65"/>
      <c r="H778" s="65"/>
      <c r="I778" s="65"/>
      <c r="J778" s="65"/>
      <c r="K778" s="65"/>
    </row>
    <row r="779">
      <c r="C779" s="65"/>
      <c r="D779" s="65"/>
      <c r="E779" s="65"/>
      <c r="F779" s="65"/>
      <c r="G779" s="65"/>
      <c r="H779" s="65"/>
      <c r="I779" s="65"/>
      <c r="J779" s="65"/>
      <c r="K779" s="65"/>
    </row>
    <row r="780">
      <c r="C780" s="65"/>
      <c r="D780" s="65"/>
      <c r="E780" s="65"/>
      <c r="F780" s="65"/>
      <c r="G780" s="65"/>
      <c r="H780" s="65"/>
      <c r="I780" s="65"/>
      <c r="J780" s="65"/>
      <c r="K780" s="65"/>
    </row>
    <row r="781">
      <c r="C781" s="65"/>
      <c r="D781" s="65"/>
      <c r="E781" s="65"/>
      <c r="F781" s="65"/>
      <c r="G781" s="65"/>
      <c r="H781" s="65"/>
      <c r="I781" s="65"/>
      <c r="J781" s="65"/>
      <c r="K781" s="65"/>
    </row>
    <row r="782">
      <c r="C782" s="65"/>
      <c r="D782" s="65"/>
      <c r="E782" s="65"/>
      <c r="F782" s="65"/>
      <c r="G782" s="65"/>
      <c r="H782" s="65"/>
      <c r="I782" s="65"/>
      <c r="J782" s="65"/>
      <c r="K782" s="65"/>
    </row>
    <row r="783">
      <c r="C783" s="65"/>
      <c r="D783" s="65"/>
      <c r="E783" s="65"/>
      <c r="F783" s="65"/>
      <c r="G783" s="65"/>
      <c r="H783" s="65"/>
      <c r="I783" s="65"/>
      <c r="J783" s="65"/>
      <c r="K783" s="65"/>
    </row>
    <row r="784">
      <c r="C784" s="65"/>
      <c r="D784" s="65"/>
      <c r="E784" s="65"/>
      <c r="F784" s="65"/>
      <c r="G784" s="65"/>
      <c r="H784" s="65"/>
      <c r="I784" s="65"/>
      <c r="J784" s="65"/>
      <c r="K784" s="65"/>
    </row>
    <row r="785">
      <c r="C785" s="65"/>
      <c r="D785" s="65"/>
      <c r="E785" s="65"/>
      <c r="F785" s="65"/>
      <c r="G785" s="65"/>
      <c r="H785" s="65"/>
      <c r="I785" s="65"/>
      <c r="J785" s="65"/>
      <c r="K785" s="65"/>
    </row>
    <row r="786">
      <c r="C786" s="65"/>
      <c r="D786" s="65"/>
      <c r="E786" s="65"/>
      <c r="F786" s="65"/>
      <c r="G786" s="65"/>
      <c r="H786" s="65"/>
      <c r="I786" s="65"/>
      <c r="J786" s="65"/>
      <c r="K786" s="65"/>
    </row>
    <row r="787">
      <c r="C787" s="65"/>
      <c r="D787" s="65"/>
      <c r="E787" s="65"/>
      <c r="F787" s="65"/>
      <c r="G787" s="65"/>
      <c r="H787" s="65"/>
      <c r="I787" s="65"/>
      <c r="J787" s="65"/>
      <c r="K787" s="65"/>
    </row>
    <row r="788">
      <c r="C788" s="65"/>
      <c r="D788" s="65"/>
      <c r="E788" s="65"/>
      <c r="F788" s="65"/>
      <c r="G788" s="65"/>
      <c r="H788" s="65"/>
      <c r="I788" s="65"/>
      <c r="J788" s="65"/>
      <c r="K788" s="65"/>
    </row>
    <row r="789">
      <c r="C789" s="65"/>
      <c r="D789" s="65"/>
      <c r="E789" s="65"/>
      <c r="F789" s="65"/>
      <c r="G789" s="65"/>
      <c r="H789" s="65"/>
      <c r="I789" s="65"/>
      <c r="J789" s="65"/>
      <c r="K789" s="65"/>
    </row>
    <row r="790">
      <c r="C790" s="65"/>
      <c r="D790" s="65"/>
      <c r="E790" s="65"/>
      <c r="F790" s="65"/>
      <c r="G790" s="65"/>
      <c r="H790" s="65"/>
      <c r="I790" s="65"/>
      <c r="J790" s="65"/>
      <c r="K790" s="65"/>
    </row>
    <row r="791">
      <c r="C791" s="65"/>
      <c r="D791" s="65"/>
      <c r="E791" s="65"/>
      <c r="F791" s="65"/>
      <c r="G791" s="65"/>
      <c r="H791" s="65"/>
      <c r="I791" s="65"/>
      <c r="J791" s="65"/>
      <c r="K791" s="65"/>
    </row>
    <row r="792">
      <c r="C792" s="65"/>
      <c r="D792" s="65"/>
      <c r="E792" s="65"/>
      <c r="F792" s="65"/>
      <c r="G792" s="65"/>
      <c r="H792" s="65"/>
      <c r="I792" s="65"/>
      <c r="J792" s="65"/>
      <c r="K792" s="65"/>
    </row>
    <row r="793">
      <c r="C793" s="65"/>
      <c r="D793" s="65"/>
      <c r="E793" s="65"/>
      <c r="F793" s="65"/>
      <c r="G793" s="65"/>
      <c r="H793" s="65"/>
      <c r="I793" s="65"/>
      <c r="J793" s="65"/>
      <c r="K793" s="65"/>
    </row>
    <row r="794">
      <c r="C794" s="65"/>
      <c r="D794" s="65"/>
      <c r="E794" s="65"/>
      <c r="F794" s="65"/>
      <c r="G794" s="65"/>
      <c r="H794" s="65"/>
      <c r="I794" s="65"/>
      <c r="J794" s="65"/>
      <c r="K794" s="65"/>
    </row>
    <row r="795">
      <c r="C795" s="65"/>
      <c r="D795" s="65"/>
      <c r="E795" s="65"/>
      <c r="F795" s="65"/>
      <c r="G795" s="65"/>
      <c r="H795" s="65"/>
      <c r="I795" s="65"/>
      <c r="J795" s="65"/>
      <c r="K795" s="65"/>
    </row>
    <row r="796">
      <c r="C796" s="65"/>
      <c r="D796" s="65"/>
      <c r="E796" s="65"/>
      <c r="F796" s="65"/>
      <c r="G796" s="65"/>
      <c r="H796" s="65"/>
      <c r="I796" s="65"/>
      <c r="J796" s="65"/>
      <c r="K796" s="65"/>
    </row>
    <row r="797">
      <c r="C797" s="65"/>
      <c r="D797" s="65"/>
      <c r="E797" s="65"/>
      <c r="F797" s="65"/>
      <c r="G797" s="65"/>
      <c r="H797" s="65"/>
      <c r="I797" s="65"/>
      <c r="J797" s="65"/>
      <c r="K797" s="65"/>
    </row>
    <row r="798">
      <c r="C798" s="65"/>
      <c r="D798" s="65"/>
      <c r="E798" s="65"/>
      <c r="F798" s="65"/>
      <c r="G798" s="65"/>
      <c r="H798" s="65"/>
      <c r="I798" s="65"/>
      <c r="J798" s="65"/>
      <c r="K798" s="65"/>
    </row>
    <row r="799">
      <c r="C799" s="65"/>
      <c r="D799" s="65"/>
      <c r="E799" s="65"/>
      <c r="F799" s="65"/>
      <c r="G799" s="65"/>
      <c r="H799" s="65"/>
      <c r="I799" s="65"/>
      <c r="J799" s="65"/>
      <c r="K799" s="65"/>
    </row>
    <row r="800">
      <c r="C800" s="65"/>
      <c r="D800" s="65"/>
      <c r="E800" s="65"/>
      <c r="F800" s="65"/>
      <c r="G800" s="65"/>
      <c r="H800" s="65"/>
      <c r="I800" s="65"/>
      <c r="J800" s="65"/>
      <c r="K800" s="65"/>
    </row>
    <row r="801">
      <c r="C801" s="65"/>
      <c r="D801" s="65"/>
      <c r="E801" s="65"/>
      <c r="F801" s="65"/>
      <c r="G801" s="65"/>
      <c r="H801" s="65"/>
      <c r="I801" s="65"/>
      <c r="J801" s="65"/>
      <c r="K801" s="65"/>
    </row>
    <row r="802">
      <c r="C802" s="65"/>
      <c r="D802" s="65"/>
      <c r="E802" s="65"/>
      <c r="F802" s="65"/>
      <c r="G802" s="65"/>
      <c r="H802" s="65"/>
      <c r="I802" s="65"/>
      <c r="J802" s="65"/>
      <c r="K802" s="65"/>
    </row>
    <row r="803">
      <c r="C803" s="65"/>
      <c r="D803" s="65"/>
      <c r="E803" s="65"/>
      <c r="F803" s="65"/>
      <c r="G803" s="65"/>
      <c r="H803" s="65"/>
      <c r="I803" s="65"/>
      <c r="J803" s="65"/>
      <c r="K803" s="65"/>
    </row>
    <row r="804">
      <c r="C804" s="65"/>
      <c r="D804" s="65"/>
      <c r="E804" s="65"/>
      <c r="F804" s="65"/>
      <c r="G804" s="65"/>
      <c r="H804" s="65"/>
      <c r="I804" s="65"/>
      <c r="J804" s="65"/>
      <c r="K804" s="65"/>
    </row>
    <row r="805">
      <c r="C805" s="65"/>
      <c r="D805" s="65"/>
      <c r="E805" s="65"/>
      <c r="F805" s="65"/>
      <c r="G805" s="65"/>
      <c r="H805" s="65"/>
      <c r="I805" s="65"/>
      <c r="J805" s="65"/>
      <c r="K805" s="65"/>
    </row>
    <row r="806">
      <c r="C806" s="65"/>
      <c r="D806" s="65"/>
      <c r="E806" s="65"/>
      <c r="F806" s="65"/>
      <c r="G806" s="65"/>
      <c r="H806" s="65"/>
      <c r="I806" s="65"/>
      <c r="J806" s="65"/>
      <c r="K806" s="65"/>
    </row>
    <row r="807">
      <c r="C807" s="65"/>
      <c r="D807" s="65"/>
      <c r="E807" s="65"/>
      <c r="F807" s="65"/>
      <c r="G807" s="65"/>
      <c r="H807" s="65"/>
      <c r="I807" s="65"/>
      <c r="J807" s="65"/>
      <c r="K807" s="65"/>
    </row>
    <row r="808">
      <c r="C808" s="65"/>
      <c r="D808" s="65"/>
      <c r="E808" s="65"/>
      <c r="F808" s="65"/>
      <c r="G808" s="65"/>
      <c r="H808" s="65"/>
      <c r="I808" s="65"/>
      <c r="J808" s="65"/>
      <c r="K808" s="65"/>
    </row>
    <row r="809">
      <c r="C809" s="65"/>
      <c r="D809" s="65"/>
      <c r="E809" s="65"/>
      <c r="F809" s="65"/>
      <c r="G809" s="65"/>
      <c r="H809" s="65"/>
      <c r="I809" s="65"/>
      <c r="J809" s="65"/>
      <c r="K809" s="65"/>
    </row>
    <row r="810">
      <c r="C810" s="65"/>
      <c r="D810" s="65"/>
      <c r="E810" s="65"/>
      <c r="F810" s="65"/>
      <c r="G810" s="65"/>
      <c r="H810" s="65"/>
      <c r="I810" s="65"/>
      <c r="J810" s="65"/>
      <c r="K810" s="65"/>
    </row>
    <row r="811">
      <c r="C811" s="65"/>
      <c r="D811" s="65"/>
      <c r="E811" s="65"/>
      <c r="F811" s="65"/>
      <c r="G811" s="65"/>
      <c r="H811" s="65"/>
      <c r="I811" s="65"/>
      <c r="J811" s="65"/>
      <c r="K811" s="65"/>
    </row>
    <row r="812">
      <c r="C812" s="65"/>
      <c r="D812" s="65"/>
      <c r="E812" s="65"/>
      <c r="F812" s="65"/>
      <c r="G812" s="65"/>
      <c r="H812" s="65"/>
      <c r="I812" s="65"/>
      <c r="J812" s="65"/>
      <c r="K812" s="65"/>
    </row>
    <row r="813">
      <c r="C813" s="65"/>
      <c r="D813" s="65"/>
      <c r="E813" s="65"/>
      <c r="F813" s="65"/>
      <c r="G813" s="65"/>
      <c r="H813" s="65"/>
      <c r="I813" s="65"/>
      <c r="J813" s="65"/>
      <c r="K813" s="65"/>
    </row>
    <row r="814">
      <c r="C814" s="65"/>
      <c r="D814" s="65"/>
      <c r="E814" s="65"/>
      <c r="F814" s="65"/>
      <c r="G814" s="65"/>
      <c r="H814" s="65"/>
      <c r="I814" s="65"/>
      <c r="J814" s="65"/>
      <c r="K814" s="65"/>
    </row>
    <row r="815">
      <c r="C815" s="65"/>
      <c r="D815" s="65"/>
      <c r="E815" s="65"/>
      <c r="F815" s="65"/>
      <c r="G815" s="65"/>
      <c r="H815" s="65"/>
      <c r="I815" s="65"/>
      <c r="J815" s="65"/>
      <c r="K815" s="65"/>
    </row>
    <row r="816">
      <c r="C816" s="65"/>
      <c r="D816" s="65"/>
      <c r="E816" s="65"/>
      <c r="F816" s="65"/>
      <c r="G816" s="65"/>
      <c r="H816" s="65"/>
      <c r="I816" s="65"/>
      <c r="J816" s="65"/>
      <c r="K816" s="65"/>
    </row>
    <row r="817">
      <c r="C817" s="65"/>
      <c r="D817" s="65"/>
      <c r="E817" s="65"/>
      <c r="F817" s="65"/>
      <c r="G817" s="65"/>
      <c r="H817" s="65"/>
      <c r="I817" s="65"/>
      <c r="J817" s="65"/>
      <c r="K817" s="65"/>
    </row>
    <row r="818">
      <c r="C818" s="65"/>
      <c r="D818" s="65"/>
      <c r="E818" s="65"/>
      <c r="F818" s="65"/>
      <c r="G818" s="65"/>
      <c r="H818" s="65"/>
      <c r="I818" s="65"/>
      <c r="J818" s="65"/>
      <c r="K818" s="65"/>
    </row>
    <row r="819">
      <c r="C819" s="65"/>
      <c r="D819" s="65"/>
      <c r="E819" s="65"/>
      <c r="F819" s="65"/>
      <c r="G819" s="65"/>
      <c r="H819" s="65"/>
      <c r="I819" s="65"/>
      <c r="J819" s="65"/>
      <c r="K819" s="65"/>
    </row>
    <row r="820">
      <c r="C820" s="65"/>
      <c r="D820" s="65"/>
      <c r="E820" s="65"/>
      <c r="F820" s="65"/>
      <c r="G820" s="65"/>
      <c r="H820" s="65"/>
      <c r="I820" s="65"/>
      <c r="J820" s="65"/>
      <c r="K820" s="65"/>
    </row>
    <row r="821">
      <c r="C821" s="65"/>
      <c r="D821" s="65"/>
      <c r="E821" s="65"/>
      <c r="F821" s="65"/>
      <c r="G821" s="65"/>
      <c r="H821" s="65"/>
      <c r="I821" s="65"/>
      <c r="J821" s="65"/>
      <c r="K821" s="65"/>
    </row>
    <row r="822">
      <c r="C822" s="65"/>
      <c r="D822" s="65"/>
      <c r="E822" s="65"/>
      <c r="F822" s="65"/>
      <c r="G822" s="65"/>
      <c r="H822" s="65"/>
      <c r="I822" s="65"/>
      <c r="J822" s="65"/>
      <c r="K822" s="65"/>
    </row>
    <row r="823">
      <c r="C823" s="65"/>
      <c r="D823" s="65"/>
      <c r="E823" s="65"/>
      <c r="F823" s="65"/>
      <c r="G823" s="65"/>
      <c r="H823" s="65"/>
      <c r="I823" s="65"/>
      <c r="J823" s="65"/>
      <c r="K823" s="65"/>
    </row>
    <row r="824">
      <c r="C824" s="65"/>
      <c r="D824" s="65"/>
      <c r="E824" s="65"/>
      <c r="F824" s="65"/>
      <c r="G824" s="65"/>
      <c r="H824" s="65"/>
      <c r="I824" s="65"/>
      <c r="J824" s="65"/>
      <c r="K824" s="65"/>
    </row>
    <row r="825">
      <c r="C825" s="65"/>
      <c r="D825" s="65"/>
      <c r="E825" s="65"/>
      <c r="F825" s="65"/>
      <c r="G825" s="65"/>
      <c r="H825" s="65"/>
      <c r="I825" s="65"/>
      <c r="J825" s="65"/>
      <c r="K825" s="65"/>
    </row>
    <row r="826">
      <c r="C826" s="65"/>
      <c r="D826" s="65"/>
      <c r="E826" s="65"/>
      <c r="F826" s="65"/>
      <c r="G826" s="65"/>
      <c r="H826" s="65"/>
      <c r="I826" s="65"/>
      <c r="J826" s="65"/>
      <c r="K826" s="65"/>
    </row>
    <row r="827">
      <c r="C827" s="65"/>
      <c r="D827" s="65"/>
      <c r="E827" s="65"/>
      <c r="F827" s="65"/>
      <c r="G827" s="65"/>
      <c r="H827" s="65"/>
      <c r="I827" s="65"/>
      <c r="J827" s="65"/>
      <c r="K827" s="65"/>
    </row>
    <row r="828">
      <c r="C828" s="65"/>
      <c r="D828" s="65"/>
      <c r="E828" s="65"/>
      <c r="F828" s="65"/>
      <c r="G828" s="65"/>
      <c r="H828" s="65"/>
      <c r="I828" s="65"/>
      <c r="J828" s="65"/>
      <c r="K828" s="65"/>
    </row>
    <row r="829">
      <c r="C829" s="65"/>
      <c r="D829" s="65"/>
      <c r="E829" s="65"/>
      <c r="F829" s="65"/>
      <c r="G829" s="65"/>
      <c r="H829" s="65"/>
      <c r="I829" s="65"/>
      <c r="J829" s="65"/>
      <c r="K829" s="65"/>
    </row>
    <row r="830">
      <c r="C830" s="65"/>
      <c r="D830" s="65"/>
      <c r="E830" s="65"/>
      <c r="F830" s="65"/>
      <c r="G830" s="65"/>
      <c r="H830" s="65"/>
      <c r="I830" s="65"/>
      <c r="J830" s="65"/>
      <c r="K830" s="65"/>
    </row>
    <row r="831">
      <c r="C831" s="65"/>
      <c r="D831" s="65"/>
      <c r="E831" s="65"/>
      <c r="F831" s="65"/>
      <c r="G831" s="65"/>
      <c r="H831" s="65"/>
      <c r="I831" s="65"/>
      <c r="J831" s="65"/>
      <c r="K831" s="65"/>
    </row>
    <row r="832">
      <c r="C832" s="65"/>
      <c r="D832" s="65"/>
      <c r="E832" s="65"/>
      <c r="F832" s="65"/>
      <c r="G832" s="65"/>
      <c r="H832" s="65"/>
      <c r="I832" s="65"/>
      <c r="J832" s="65"/>
      <c r="K832" s="65"/>
    </row>
    <row r="833">
      <c r="C833" s="65"/>
      <c r="D833" s="65"/>
      <c r="E833" s="65"/>
      <c r="F833" s="65"/>
      <c r="G833" s="65"/>
      <c r="H833" s="65"/>
      <c r="I833" s="65"/>
      <c r="J833" s="65"/>
      <c r="K833" s="65"/>
    </row>
    <row r="834">
      <c r="C834" s="65"/>
      <c r="D834" s="65"/>
      <c r="E834" s="65"/>
      <c r="F834" s="65"/>
      <c r="G834" s="65"/>
      <c r="H834" s="65"/>
      <c r="I834" s="65"/>
      <c r="J834" s="65"/>
      <c r="K834" s="65"/>
    </row>
    <row r="835">
      <c r="C835" s="65"/>
      <c r="D835" s="65"/>
      <c r="E835" s="65"/>
      <c r="F835" s="65"/>
      <c r="G835" s="65"/>
      <c r="H835" s="65"/>
      <c r="I835" s="65"/>
      <c r="J835" s="65"/>
      <c r="K835" s="65"/>
    </row>
    <row r="836">
      <c r="C836" s="65"/>
      <c r="D836" s="65"/>
      <c r="E836" s="65"/>
      <c r="F836" s="65"/>
      <c r="G836" s="65"/>
      <c r="H836" s="65"/>
      <c r="I836" s="65"/>
      <c r="J836" s="65"/>
      <c r="K836" s="65"/>
    </row>
    <row r="837">
      <c r="C837" s="65"/>
      <c r="D837" s="65"/>
      <c r="E837" s="65"/>
      <c r="F837" s="65"/>
      <c r="G837" s="65"/>
      <c r="H837" s="65"/>
      <c r="I837" s="65"/>
      <c r="J837" s="65"/>
      <c r="K837" s="65"/>
    </row>
    <row r="838">
      <c r="C838" s="65"/>
      <c r="D838" s="65"/>
      <c r="E838" s="65"/>
      <c r="F838" s="65"/>
      <c r="G838" s="65"/>
      <c r="H838" s="65"/>
      <c r="I838" s="65"/>
      <c r="J838" s="65"/>
      <c r="K838" s="65"/>
    </row>
    <row r="839">
      <c r="C839" s="65"/>
      <c r="D839" s="65"/>
      <c r="E839" s="65"/>
      <c r="F839" s="65"/>
      <c r="G839" s="65"/>
      <c r="H839" s="65"/>
      <c r="I839" s="65"/>
      <c r="J839" s="65"/>
      <c r="K839" s="65"/>
    </row>
    <row r="840">
      <c r="C840" s="65"/>
      <c r="D840" s="65"/>
      <c r="E840" s="65"/>
      <c r="F840" s="65"/>
      <c r="G840" s="65"/>
      <c r="H840" s="65"/>
      <c r="I840" s="65"/>
      <c r="J840" s="65"/>
      <c r="K840" s="65"/>
    </row>
    <row r="841">
      <c r="C841" s="65"/>
      <c r="D841" s="65"/>
      <c r="E841" s="65"/>
      <c r="F841" s="65"/>
      <c r="G841" s="65"/>
      <c r="H841" s="65"/>
      <c r="I841" s="65"/>
      <c r="J841" s="65"/>
      <c r="K841" s="65"/>
    </row>
    <row r="842">
      <c r="C842" s="65"/>
      <c r="D842" s="65"/>
      <c r="E842" s="65"/>
      <c r="F842" s="65"/>
      <c r="G842" s="65"/>
      <c r="H842" s="65"/>
      <c r="I842" s="65"/>
      <c r="J842" s="65"/>
      <c r="K842" s="65"/>
    </row>
    <row r="843">
      <c r="C843" s="65"/>
      <c r="D843" s="65"/>
      <c r="E843" s="65"/>
      <c r="F843" s="65"/>
      <c r="G843" s="65"/>
      <c r="H843" s="65"/>
      <c r="I843" s="65"/>
      <c r="J843" s="65"/>
      <c r="K843" s="65"/>
    </row>
    <row r="844">
      <c r="C844" s="65"/>
      <c r="D844" s="65"/>
      <c r="E844" s="65"/>
      <c r="F844" s="65"/>
      <c r="G844" s="65"/>
      <c r="H844" s="65"/>
      <c r="I844" s="65"/>
      <c r="J844" s="65"/>
      <c r="K844" s="65"/>
    </row>
    <row r="845">
      <c r="C845" s="65"/>
      <c r="D845" s="65"/>
      <c r="E845" s="65"/>
      <c r="F845" s="65"/>
      <c r="G845" s="65"/>
      <c r="H845" s="65"/>
      <c r="I845" s="65"/>
      <c r="J845" s="65"/>
      <c r="K845" s="65"/>
    </row>
    <row r="846">
      <c r="C846" s="65"/>
      <c r="D846" s="65"/>
      <c r="E846" s="65"/>
      <c r="F846" s="65"/>
      <c r="G846" s="65"/>
      <c r="H846" s="65"/>
      <c r="I846" s="65"/>
      <c r="J846" s="65"/>
      <c r="K846" s="65"/>
    </row>
    <row r="847">
      <c r="C847" s="65"/>
      <c r="D847" s="65"/>
      <c r="E847" s="65"/>
      <c r="F847" s="65"/>
      <c r="G847" s="65"/>
      <c r="H847" s="65"/>
      <c r="I847" s="65"/>
      <c r="J847" s="65"/>
      <c r="K847" s="65"/>
    </row>
    <row r="848">
      <c r="C848" s="65"/>
      <c r="D848" s="65"/>
      <c r="E848" s="65"/>
      <c r="F848" s="65"/>
      <c r="G848" s="65"/>
      <c r="H848" s="65"/>
      <c r="I848" s="65"/>
      <c r="J848" s="65"/>
      <c r="K848" s="65"/>
    </row>
    <row r="849">
      <c r="C849" s="65"/>
      <c r="D849" s="65"/>
      <c r="E849" s="65"/>
      <c r="F849" s="65"/>
      <c r="G849" s="65"/>
      <c r="H849" s="65"/>
      <c r="I849" s="65"/>
      <c r="J849" s="65"/>
      <c r="K849" s="65"/>
    </row>
    <row r="850">
      <c r="C850" s="65"/>
      <c r="D850" s="65"/>
      <c r="E850" s="65"/>
      <c r="F850" s="65"/>
      <c r="G850" s="65"/>
      <c r="H850" s="65"/>
      <c r="I850" s="65"/>
      <c r="J850" s="65"/>
      <c r="K850" s="65"/>
    </row>
    <row r="851">
      <c r="C851" s="65"/>
      <c r="D851" s="65"/>
      <c r="E851" s="65"/>
      <c r="F851" s="65"/>
      <c r="G851" s="65"/>
      <c r="H851" s="65"/>
      <c r="I851" s="65"/>
      <c r="J851" s="65"/>
      <c r="K851" s="65"/>
    </row>
    <row r="852">
      <c r="C852" s="65"/>
      <c r="D852" s="65"/>
      <c r="E852" s="65"/>
      <c r="F852" s="65"/>
      <c r="G852" s="65"/>
      <c r="H852" s="65"/>
      <c r="I852" s="65"/>
      <c r="J852" s="65"/>
      <c r="K852" s="65"/>
    </row>
    <row r="853">
      <c r="C853" s="65"/>
      <c r="D853" s="65"/>
      <c r="E853" s="65"/>
      <c r="F853" s="65"/>
      <c r="G853" s="65"/>
      <c r="H853" s="65"/>
      <c r="I853" s="65"/>
      <c r="J853" s="65"/>
      <c r="K853" s="65"/>
    </row>
    <row r="854">
      <c r="C854" s="65"/>
      <c r="D854" s="65"/>
      <c r="E854" s="65"/>
      <c r="F854" s="65"/>
      <c r="G854" s="65"/>
      <c r="H854" s="65"/>
      <c r="I854" s="65"/>
      <c r="J854" s="65"/>
      <c r="K854" s="65"/>
    </row>
    <row r="855">
      <c r="C855" s="65"/>
      <c r="D855" s="65"/>
      <c r="E855" s="65"/>
      <c r="F855" s="65"/>
      <c r="G855" s="65"/>
      <c r="H855" s="65"/>
      <c r="I855" s="65"/>
      <c r="J855" s="65"/>
      <c r="K855" s="65"/>
    </row>
    <row r="856">
      <c r="C856" s="65"/>
      <c r="D856" s="65"/>
      <c r="E856" s="65"/>
      <c r="F856" s="65"/>
      <c r="G856" s="65"/>
      <c r="H856" s="65"/>
      <c r="I856" s="65"/>
      <c r="J856" s="65"/>
      <c r="K856" s="65"/>
    </row>
    <row r="857">
      <c r="C857" s="65"/>
      <c r="D857" s="65"/>
      <c r="E857" s="65"/>
      <c r="F857" s="65"/>
      <c r="G857" s="65"/>
      <c r="H857" s="65"/>
      <c r="I857" s="65"/>
      <c r="J857" s="65"/>
      <c r="K857" s="65"/>
    </row>
    <row r="858">
      <c r="C858" s="65"/>
      <c r="D858" s="65"/>
      <c r="E858" s="65"/>
      <c r="F858" s="65"/>
      <c r="G858" s="65"/>
      <c r="H858" s="65"/>
      <c r="I858" s="65"/>
      <c r="J858" s="65"/>
      <c r="K858" s="65"/>
    </row>
    <row r="859">
      <c r="C859" s="65"/>
      <c r="D859" s="65"/>
      <c r="E859" s="65"/>
      <c r="F859" s="65"/>
      <c r="G859" s="65"/>
      <c r="H859" s="65"/>
      <c r="I859" s="65"/>
      <c r="J859" s="65"/>
      <c r="K859" s="65"/>
    </row>
    <row r="860">
      <c r="C860" s="65"/>
      <c r="D860" s="65"/>
      <c r="E860" s="65"/>
      <c r="F860" s="65"/>
      <c r="G860" s="65"/>
      <c r="H860" s="65"/>
      <c r="I860" s="65"/>
      <c r="J860" s="65"/>
      <c r="K860" s="65"/>
    </row>
    <row r="861">
      <c r="C861" s="65"/>
      <c r="D861" s="65"/>
      <c r="E861" s="65"/>
      <c r="F861" s="65"/>
      <c r="G861" s="65"/>
      <c r="H861" s="65"/>
      <c r="I861" s="65"/>
      <c r="J861" s="65"/>
      <c r="K861" s="65"/>
    </row>
    <row r="862">
      <c r="C862" s="65"/>
      <c r="D862" s="65"/>
      <c r="E862" s="65"/>
      <c r="F862" s="65"/>
      <c r="G862" s="65"/>
      <c r="H862" s="65"/>
      <c r="I862" s="65"/>
      <c r="J862" s="65"/>
      <c r="K862" s="65"/>
    </row>
    <row r="863">
      <c r="C863" s="65"/>
      <c r="D863" s="65"/>
      <c r="E863" s="65"/>
      <c r="F863" s="65"/>
      <c r="G863" s="65"/>
      <c r="H863" s="65"/>
      <c r="I863" s="65"/>
      <c r="J863" s="65"/>
      <c r="K863" s="65"/>
    </row>
    <row r="864">
      <c r="C864" s="65"/>
      <c r="D864" s="65"/>
      <c r="E864" s="65"/>
      <c r="F864" s="65"/>
      <c r="G864" s="65"/>
      <c r="H864" s="65"/>
      <c r="I864" s="65"/>
      <c r="J864" s="65"/>
      <c r="K864" s="65"/>
    </row>
    <row r="865">
      <c r="C865" s="65"/>
      <c r="D865" s="65"/>
      <c r="E865" s="65"/>
      <c r="F865" s="65"/>
      <c r="G865" s="65"/>
      <c r="H865" s="65"/>
      <c r="I865" s="65"/>
      <c r="J865" s="65"/>
      <c r="K865" s="65"/>
    </row>
    <row r="866">
      <c r="C866" s="65"/>
      <c r="D866" s="65"/>
      <c r="E866" s="65"/>
      <c r="F866" s="65"/>
      <c r="G866" s="65"/>
      <c r="H866" s="65"/>
      <c r="I866" s="65"/>
      <c r="J866" s="65"/>
      <c r="K866" s="65"/>
    </row>
    <row r="867">
      <c r="C867" s="65"/>
      <c r="D867" s="65"/>
      <c r="E867" s="65"/>
      <c r="F867" s="65"/>
      <c r="G867" s="65"/>
      <c r="H867" s="65"/>
      <c r="I867" s="65"/>
      <c r="J867" s="65"/>
      <c r="K867" s="65"/>
    </row>
    <row r="868">
      <c r="C868" s="65"/>
      <c r="D868" s="65"/>
      <c r="E868" s="65"/>
      <c r="F868" s="65"/>
      <c r="G868" s="65"/>
      <c r="H868" s="65"/>
      <c r="I868" s="65"/>
      <c r="J868" s="65"/>
      <c r="K868" s="65"/>
    </row>
    <row r="869">
      <c r="C869" s="65"/>
      <c r="D869" s="65"/>
      <c r="E869" s="65"/>
      <c r="F869" s="65"/>
      <c r="G869" s="65"/>
      <c r="H869" s="65"/>
      <c r="I869" s="65"/>
      <c r="J869" s="65"/>
      <c r="K869" s="65"/>
    </row>
    <row r="870">
      <c r="C870" s="65"/>
      <c r="D870" s="65"/>
      <c r="E870" s="65"/>
      <c r="F870" s="65"/>
      <c r="G870" s="65"/>
      <c r="H870" s="65"/>
      <c r="I870" s="65"/>
      <c r="J870" s="65"/>
      <c r="K870" s="65"/>
    </row>
    <row r="871">
      <c r="C871" s="65"/>
      <c r="D871" s="65"/>
      <c r="E871" s="65"/>
      <c r="F871" s="65"/>
      <c r="G871" s="65"/>
      <c r="H871" s="65"/>
      <c r="I871" s="65"/>
      <c r="J871" s="65"/>
      <c r="K871" s="65"/>
    </row>
    <row r="872">
      <c r="C872" s="65"/>
      <c r="D872" s="65"/>
      <c r="E872" s="65"/>
      <c r="F872" s="65"/>
      <c r="G872" s="65"/>
      <c r="H872" s="65"/>
      <c r="I872" s="65"/>
      <c r="J872" s="65"/>
      <c r="K872" s="65"/>
    </row>
    <row r="873">
      <c r="C873" s="65"/>
      <c r="D873" s="65"/>
      <c r="E873" s="65"/>
      <c r="F873" s="65"/>
      <c r="G873" s="65"/>
      <c r="H873" s="65"/>
      <c r="I873" s="65"/>
      <c r="J873" s="65"/>
      <c r="K873" s="65"/>
    </row>
    <row r="874">
      <c r="C874" s="65"/>
      <c r="D874" s="65"/>
      <c r="E874" s="65"/>
      <c r="F874" s="65"/>
      <c r="G874" s="65"/>
      <c r="H874" s="65"/>
      <c r="I874" s="65"/>
      <c r="J874" s="65"/>
      <c r="K874" s="65"/>
    </row>
    <row r="875">
      <c r="C875" s="65"/>
      <c r="D875" s="65"/>
      <c r="E875" s="65"/>
      <c r="F875" s="65"/>
      <c r="G875" s="65"/>
      <c r="H875" s="65"/>
      <c r="I875" s="65"/>
      <c r="J875" s="65"/>
      <c r="K875" s="65"/>
    </row>
    <row r="876">
      <c r="C876" s="65"/>
      <c r="D876" s="65"/>
      <c r="E876" s="65"/>
      <c r="F876" s="65"/>
      <c r="G876" s="65"/>
      <c r="H876" s="65"/>
      <c r="I876" s="65"/>
      <c r="J876" s="65"/>
      <c r="K876" s="65"/>
    </row>
    <row r="877">
      <c r="C877" s="65"/>
      <c r="D877" s="65"/>
      <c r="E877" s="65"/>
      <c r="F877" s="65"/>
      <c r="G877" s="65"/>
      <c r="H877" s="65"/>
      <c r="I877" s="65"/>
      <c r="J877" s="65"/>
      <c r="K877" s="65"/>
    </row>
    <row r="878">
      <c r="C878" s="65"/>
      <c r="D878" s="65"/>
      <c r="E878" s="65"/>
      <c r="F878" s="65"/>
      <c r="G878" s="65"/>
      <c r="H878" s="65"/>
      <c r="I878" s="65"/>
      <c r="J878" s="65"/>
      <c r="K878" s="65"/>
    </row>
    <row r="879">
      <c r="C879" s="65"/>
      <c r="D879" s="65"/>
      <c r="E879" s="65"/>
      <c r="F879" s="65"/>
      <c r="G879" s="65"/>
      <c r="H879" s="65"/>
      <c r="I879" s="65"/>
      <c r="J879" s="65"/>
      <c r="K879" s="65"/>
    </row>
    <row r="880">
      <c r="C880" s="65"/>
      <c r="D880" s="65"/>
      <c r="E880" s="65"/>
      <c r="F880" s="65"/>
      <c r="G880" s="65"/>
      <c r="H880" s="65"/>
      <c r="I880" s="65"/>
      <c r="J880" s="65"/>
      <c r="K880" s="65"/>
    </row>
    <row r="881">
      <c r="C881" s="65"/>
      <c r="D881" s="65"/>
      <c r="E881" s="65"/>
      <c r="F881" s="65"/>
      <c r="G881" s="65"/>
      <c r="H881" s="65"/>
      <c r="I881" s="65"/>
      <c r="J881" s="65"/>
      <c r="K881" s="65"/>
    </row>
    <row r="882">
      <c r="C882" s="65"/>
      <c r="D882" s="65"/>
      <c r="E882" s="65"/>
      <c r="F882" s="65"/>
      <c r="G882" s="65"/>
      <c r="H882" s="65"/>
      <c r="I882" s="65"/>
      <c r="J882" s="65"/>
      <c r="K882" s="65"/>
    </row>
    <row r="883">
      <c r="C883" s="65"/>
      <c r="D883" s="65"/>
      <c r="E883" s="65"/>
      <c r="F883" s="65"/>
      <c r="G883" s="65"/>
      <c r="H883" s="65"/>
      <c r="I883" s="65"/>
      <c r="J883" s="65"/>
      <c r="K883" s="65"/>
    </row>
    <row r="884">
      <c r="C884" s="65"/>
      <c r="D884" s="65"/>
      <c r="E884" s="65"/>
      <c r="F884" s="65"/>
      <c r="G884" s="65"/>
      <c r="H884" s="65"/>
      <c r="I884" s="65"/>
      <c r="J884" s="65"/>
      <c r="K884" s="65"/>
    </row>
    <row r="885">
      <c r="C885" s="65"/>
      <c r="D885" s="65"/>
      <c r="E885" s="65"/>
      <c r="F885" s="65"/>
      <c r="G885" s="65"/>
      <c r="H885" s="65"/>
      <c r="I885" s="65"/>
      <c r="J885" s="65"/>
      <c r="K885" s="65"/>
    </row>
    <row r="886">
      <c r="C886" s="65"/>
      <c r="D886" s="65"/>
      <c r="E886" s="65"/>
      <c r="F886" s="65"/>
      <c r="G886" s="65"/>
      <c r="H886" s="65"/>
      <c r="I886" s="65"/>
      <c r="J886" s="65"/>
      <c r="K886" s="65"/>
    </row>
    <row r="887">
      <c r="C887" s="65"/>
      <c r="D887" s="65"/>
      <c r="E887" s="65"/>
      <c r="F887" s="65"/>
      <c r="G887" s="65"/>
      <c r="H887" s="65"/>
      <c r="I887" s="65"/>
      <c r="J887" s="65"/>
      <c r="K887" s="65"/>
    </row>
    <row r="888">
      <c r="C888" s="65"/>
      <c r="D888" s="65"/>
      <c r="E888" s="65"/>
      <c r="F888" s="65"/>
      <c r="G888" s="65"/>
      <c r="H888" s="65"/>
      <c r="I888" s="65"/>
      <c r="J888" s="65"/>
      <c r="K888" s="65"/>
    </row>
    <row r="889">
      <c r="C889" s="65"/>
      <c r="D889" s="65"/>
      <c r="E889" s="65"/>
      <c r="F889" s="65"/>
      <c r="G889" s="65"/>
      <c r="H889" s="65"/>
      <c r="I889" s="65"/>
      <c r="J889" s="65"/>
      <c r="K889" s="65"/>
    </row>
    <row r="890">
      <c r="C890" s="65"/>
      <c r="D890" s="65"/>
      <c r="E890" s="65"/>
      <c r="F890" s="65"/>
      <c r="G890" s="65"/>
      <c r="H890" s="65"/>
      <c r="I890" s="65"/>
      <c r="J890" s="65"/>
      <c r="K890" s="65"/>
    </row>
    <row r="891">
      <c r="C891" s="65"/>
      <c r="D891" s="65"/>
      <c r="E891" s="65"/>
      <c r="F891" s="65"/>
      <c r="G891" s="65"/>
      <c r="H891" s="65"/>
      <c r="I891" s="65"/>
      <c r="J891" s="65"/>
      <c r="K891" s="65"/>
    </row>
    <row r="892">
      <c r="C892" s="65"/>
      <c r="D892" s="65"/>
      <c r="E892" s="65"/>
      <c r="F892" s="65"/>
      <c r="G892" s="65"/>
      <c r="H892" s="65"/>
      <c r="I892" s="65"/>
      <c r="J892" s="65"/>
      <c r="K892" s="65"/>
    </row>
    <row r="893">
      <c r="C893" s="65"/>
      <c r="D893" s="65"/>
      <c r="E893" s="65"/>
      <c r="F893" s="65"/>
      <c r="G893" s="65"/>
      <c r="H893" s="65"/>
      <c r="I893" s="65"/>
      <c r="J893" s="65"/>
      <c r="K893" s="65"/>
    </row>
    <row r="894">
      <c r="C894" s="65"/>
      <c r="D894" s="65"/>
      <c r="E894" s="65"/>
      <c r="F894" s="65"/>
      <c r="G894" s="65"/>
      <c r="H894" s="65"/>
      <c r="I894" s="65"/>
      <c r="J894" s="65"/>
      <c r="K894" s="65"/>
    </row>
    <row r="895">
      <c r="C895" s="65"/>
      <c r="D895" s="65"/>
      <c r="E895" s="65"/>
      <c r="F895" s="65"/>
      <c r="G895" s="65"/>
      <c r="H895" s="65"/>
      <c r="I895" s="65"/>
      <c r="J895" s="65"/>
      <c r="K895" s="65"/>
    </row>
    <row r="896">
      <c r="C896" s="65"/>
      <c r="D896" s="65"/>
      <c r="E896" s="65"/>
      <c r="F896" s="65"/>
      <c r="G896" s="65"/>
      <c r="H896" s="65"/>
      <c r="I896" s="65"/>
      <c r="J896" s="65"/>
      <c r="K896" s="65"/>
    </row>
    <row r="897">
      <c r="C897" s="65"/>
      <c r="D897" s="65"/>
      <c r="E897" s="65"/>
      <c r="F897" s="65"/>
      <c r="G897" s="65"/>
      <c r="H897" s="65"/>
      <c r="I897" s="65"/>
      <c r="J897" s="65"/>
      <c r="K897" s="65"/>
    </row>
    <row r="898">
      <c r="C898" s="65"/>
      <c r="D898" s="65"/>
      <c r="E898" s="65"/>
      <c r="F898" s="65"/>
      <c r="G898" s="65"/>
      <c r="H898" s="65"/>
      <c r="I898" s="65"/>
      <c r="J898" s="65"/>
      <c r="K898" s="65"/>
    </row>
    <row r="899">
      <c r="C899" s="65"/>
      <c r="D899" s="65"/>
      <c r="E899" s="65"/>
      <c r="F899" s="65"/>
      <c r="G899" s="65"/>
      <c r="H899" s="65"/>
      <c r="I899" s="65"/>
      <c r="J899" s="65"/>
      <c r="K899" s="65"/>
    </row>
    <row r="900">
      <c r="C900" s="65"/>
      <c r="D900" s="65"/>
      <c r="E900" s="65"/>
      <c r="F900" s="65"/>
      <c r="G900" s="65"/>
      <c r="H900" s="65"/>
      <c r="I900" s="65"/>
      <c r="J900" s="65"/>
      <c r="K900" s="65"/>
    </row>
    <row r="901">
      <c r="C901" s="65"/>
      <c r="D901" s="65"/>
      <c r="E901" s="65"/>
      <c r="F901" s="65"/>
      <c r="G901" s="65"/>
      <c r="H901" s="65"/>
      <c r="I901" s="65"/>
      <c r="J901" s="65"/>
      <c r="K901" s="65"/>
    </row>
    <row r="902">
      <c r="C902" s="65"/>
      <c r="D902" s="65"/>
      <c r="E902" s="65"/>
      <c r="F902" s="65"/>
      <c r="G902" s="65"/>
      <c r="H902" s="65"/>
      <c r="I902" s="65"/>
      <c r="J902" s="65"/>
      <c r="K902" s="65"/>
    </row>
    <row r="903">
      <c r="C903" s="65"/>
      <c r="D903" s="65"/>
      <c r="E903" s="65"/>
      <c r="F903" s="65"/>
      <c r="G903" s="65"/>
      <c r="H903" s="65"/>
      <c r="I903" s="65"/>
      <c r="J903" s="65"/>
      <c r="K903" s="65"/>
    </row>
    <row r="904">
      <c r="C904" s="65"/>
      <c r="D904" s="65"/>
      <c r="E904" s="65"/>
      <c r="F904" s="65"/>
      <c r="G904" s="65"/>
      <c r="H904" s="65"/>
      <c r="I904" s="65"/>
      <c r="J904" s="65"/>
      <c r="K904" s="65"/>
    </row>
    <row r="905">
      <c r="C905" s="65"/>
      <c r="D905" s="65"/>
      <c r="E905" s="65"/>
      <c r="F905" s="65"/>
      <c r="G905" s="65"/>
      <c r="H905" s="65"/>
      <c r="I905" s="65"/>
      <c r="J905" s="65"/>
      <c r="K905" s="65"/>
    </row>
    <row r="906">
      <c r="C906" s="65"/>
      <c r="D906" s="65"/>
      <c r="E906" s="65"/>
      <c r="F906" s="65"/>
      <c r="G906" s="65"/>
      <c r="H906" s="65"/>
      <c r="I906" s="65"/>
      <c r="J906" s="65"/>
      <c r="K906" s="65"/>
    </row>
    <row r="907">
      <c r="C907" s="65"/>
      <c r="D907" s="65"/>
      <c r="E907" s="65"/>
      <c r="F907" s="65"/>
      <c r="G907" s="65"/>
      <c r="H907" s="65"/>
      <c r="I907" s="65"/>
      <c r="J907" s="65"/>
      <c r="K907" s="65"/>
    </row>
    <row r="908">
      <c r="C908" s="65"/>
      <c r="D908" s="65"/>
      <c r="E908" s="65"/>
      <c r="F908" s="65"/>
      <c r="G908" s="65"/>
      <c r="H908" s="65"/>
      <c r="I908" s="65"/>
      <c r="J908" s="65"/>
      <c r="K908" s="65"/>
    </row>
    <row r="909">
      <c r="C909" s="65"/>
      <c r="D909" s="65"/>
      <c r="E909" s="65"/>
      <c r="F909" s="65"/>
      <c r="G909" s="65"/>
      <c r="H909" s="65"/>
      <c r="I909" s="65"/>
      <c r="J909" s="65"/>
      <c r="K909" s="65"/>
    </row>
    <row r="910">
      <c r="C910" s="65"/>
      <c r="D910" s="65"/>
      <c r="E910" s="65"/>
      <c r="F910" s="65"/>
      <c r="G910" s="65"/>
      <c r="H910" s="65"/>
      <c r="I910" s="65"/>
      <c r="J910" s="65"/>
      <c r="K910" s="65"/>
    </row>
    <row r="911">
      <c r="C911" s="65"/>
      <c r="D911" s="65"/>
      <c r="E911" s="65"/>
      <c r="F911" s="65"/>
      <c r="G911" s="65"/>
      <c r="H911" s="65"/>
      <c r="I911" s="65"/>
      <c r="J911" s="65"/>
      <c r="K911" s="65"/>
    </row>
    <row r="912">
      <c r="C912" s="65"/>
      <c r="D912" s="65"/>
      <c r="E912" s="65"/>
      <c r="F912" s="65"/>
      <c r="G912" s="65"/>
      <c r="H912" s="65"/>
      <c r="I912" s="65"/>
      <c r="J912" s="65"/>
      <c r="K912" s="65"/>
    </row>
    <row r="913">
      <c r="C913" s="65"/>
      <c r="D913" s="65"/>
      <c r="E913" s="65"/>
      <c r="F913" s="65"/>
      <c r="G913" s="65"/>
      <c r="H913" s="65"/>
      <c r="I913" s="65"/>
      <c r="J913" s="65"/>
      <c r="K913" s="65"/>
    </row>
    <row r="914">
      <c r="C914" s="65"/>
      <c r="D914" s="65"/>
      <c r="E914" s="65"/>
      <c r="F914" s="65"/>
      <c r="G914" s="65"/>
      <c r="H914" s="65"/>
      <c r="I914" s="65"/>
      <c r="J914" s="65"/>
      <c r="K914" s="65"/>
    </row>
    <row r="915">
      <c r="C915" s="65"/>
      <c r="D915" s="65"/>
      <c r="E915" s="65"/>
      <c r="F915" s="65"/>
      <c r="G915" s="65"/>
      <c r="H915" s="65"/>
      <c r="I915" s="65"/>
      <c r="J915" s="65"/>
      <c r="K915" s="65"/>
    </row>
    <row r="916">
      <c r="C916" s="65"/>
      <c r="D916" s="65"/>
      <c r="E916" s="65"/>
      <c r="F916" s="65"/>
      <c r="G916" s="65"/>
      <c r="H916" s="65"/>
      <c r="I916" s="65"/>
      <c r="J916" s="65"/>
      <c r="K916" s="65"/>
    </row>
    <row r="917">
      <c r="C917" s="65"/>
      <c r="D917" s="65"/>
      <c r="E917" s="65"/>
      <c r="F917" s="65"/>
      <c r="G917" s="65"/>
      <c r="H917" s="65"/>
      <c r="I917" s="65"/>
      <c r="J917" s="65"/>
      <c r="K917" s="65"/>
    </row>
    <row r="918">
      <c r="C918" s="65"/>
      <c r="D918" s="65"/>
      <c r="E918" s="65"/>
      <c r="F918" s="65"/>
      <c r="G918" s="65"/>
      <c r="H918" s="65"/>
      <c r="I918" s="65"/>
      <c r="J918" s="65"/>
      <c r="K918" s="65"/>
    </row>
    <row r="919">
      <c r="C919" s="65"/>
      <c r="D919" s="65"/>
      <c r="E919" s="65"/>
      <c r="F919" s="65"/>
      <c r="G919" s="65"/>
      <c r="H919" s="65"/>
      <c r="I919" s="65"/>
      <c r="J919" s="65"/>
      <c r="K919" s="65"/>
    </row>
    <row r="920">
      <c r="C920" s="65"/>
      <c r="D920" s="65"/>
      <c r="E920" s="65"/>
      <c r="F920" s="65"/>
      <c r="G920" s="65"/>
      <c r="H920" s="65"/>
      <c r="I920" s="65"/>
      <c r="J920" s="65"/>
      <c r="K920" s="65"/>
    </row>
    <row r="921">
      <c r="C921" s="65"/>
      <c r="D921" s="65"/>
      <c r="E921" s="65"/>
      <c r="F921" s="65"/>
      <c r="G921" s="65"/>
      <c r="H921" s="65"/>
      <c r="I921" s="65"/>
      <c r="J921" s="65"/>
      <c r="K921" s="65"/>
    </row>
    <row r="922">
      <c r="C922" s="65"/>
      <c r="D922" s="65"/>
      <c r="E922" s="65"/>
      <c r="F922" s="65"/>
      <c r="G922" s="65"/>
      <c r="H922" s="65"/>
      <c r="I922" s="65"/>
      <c r="J922" s="65"/>
      <c r="K922" s="65"/>
    </row>
    <row r="923">
      <c r="C923" s="65"/>
      <c r="D923" s="65"/>
      <c r="E923" s="65"/>
      <c r="F923" s="65"/>
      <c r="G923" s="65"/>
      <c r="H923" s="65"/>
      <c r="I923" s="65"/>
      <c r="J923" s="65"/>
      <c r="K923" s="65"/>
    </row>
    <row r="924">
      <c r="C924" s="65"/>
      <c r="D924" s="65"/>
      <c r="E924" s="65"/>
      <c r="F924" s="65"/>
      <c r="G924" s="65"/>
      <c r="H924" s="65"/>
      <c r="I924" s="65"/>
      <c r="J924" s="65"/>
      <c r="K924" s="65"/>
    </row>
    <row r="925">
      <c r="C925" s="65"/>
      <c r="D925" s="65"/>
      <c r="E925" s="65"/>
      <c r="F925" s="65"/>
      <c r="G925" s="65"/>
      <c r="H925" s="65"/>
      <c r="I925" s="65"/>
      <c r="J925" s="65"/>
      <c r="K925" s="65"/>
    </row>
    <row r="926">
      <c r="C926" s="65"/>
      <c r="D926" s="65"/>
      <c r="E926" s="65"/>
      <c r="F926" s="65"/>
      <c r="G926" s="65"/>
      <c r="H926" s="65"/>
      <c r="I926" s="65"/>
      <c r="J926" s="65"/>
      <c r="K926" s="65"/>
    </row>
    <row r="927">
      <c r="C927" s="65"/>
      <c r="D927" s="65"/>
      <c r="E927" s="65"/>
      <c r="F927" s="65"/>
      <c r="G927" s="65"/>
      <c r="H927" s="65"/>
      <c r="I927" s="65"/>
      <c r="J927" s="65"/>
      <c r="K927" s="65"/>
    </row>
    <row r="928">
      <c r="C928" s="65"/>
      <c r="D928" s="65"/>
      <c r="E928" s="65"/>
      <c r="F928" s="65"/>
      <c r="G928" s="65"/>
      <c r="H928" s="65"/>
      <c r="I928" s="65"/>
      <c r="J928" s="65"/>
      <c r="K928" s="65"/>
    </row>
    <row r="929">
      <c r="C929" s="65"/>
      <c r="D929" s="65"/>
      <c r="E929" s="65"/>
      <c r="F929" s="65"/>
      <c r="G929" s="65"/>
      <c r="H929" s="65"/>
      <c r="I929" s="65"/>
      <c r="J929" s="65"/>
      <c r="K929" s="65"/>
    </row>
    <row r="930">
      <c r="C930" s="65"/>
      <c r="D930" s="65"/>
      <c r="E930" s="65"/>
      <c r="F930" s="65"/>
      <c r="G930" s="65"/>
      <c r="H930" s="65"/>
      <c r="I930" s="65"/>
      <c r="J930" s="65"/>
      <c r="K930" s="65"/>
    </row>
    <row r="931">
      <c r="C931" s="65"/>
      <c r="D931" s="65"/>
      <c r="E931" s="65"/>
      <c r="F931" s="65"/>
      <c r="G931" s="65"/>
      <c r="H931" s="65"/>
      <c r="I931" s="65"/>
      <c r="J931" s="65"/>
      <c r="K931" s="65"/>
    </row>
    <row r="932">
      <c r="C932" s="65"/>
      <c r="D932" s="65"/>
      <c r="E932" s="65"/>
      <c r="F932" s="65"/>
      <c r="G932" s="65"/>
      <c r="H932" s="65"/>
      <c r="I932" s="65"/>
      <c r="J932" s="65"/>
      <c r="K932" s="65"/>
    </row>
    <row r="933">
      <c r="C933" s="65"/>
      <c r="D933" s="65"/>
      <c r="E933" s="65"/>
      <c r="F933" s="65"/>
      <c r="G933" s="65"/>
      <c r="H933" s="65"/>
      <c r="I933" s="65"/>
      <c r="J933" s="65"/>
      <c r="K933" s="65"/>
    </row>
    <row r="934">
      <c r="C934" s="65"/>
      <c r="D934" s="65"/>
      <c r="E934" s="65"/>
      <c r="F934" s="65"/>
      <c r="G934" s="65"/>
      <c r="H934" s="65"/>
      <c r="I934" s="65"/>
      <c r="J934" s="65"/>
      <c r="K934" s="65"/>
    </row>
    <row r="935">
      <c r="C935" s="65"/>
      <c r="D935" s="65"/>
      <c r="E935" s="65"/>
      <c r="F935" s="65"/>
      <c r="G935" s="65"/>
      <c r="H935" s="65"/>
      <c r="I935" s="65"/>
      <c r="J935" s="65"/>
      <c r="K935" s="65"/>
    </row>
    <row r="936">
      <c r="C936" s="65"/>
      <c r="D936" s="65"/>
      <c r="E936" s="65"/>
      <c r="F936" s="65"/>
      <c r="G936" s="65"/>
      <c r="H936" s="65"/>
      <c r="I936" s="65"/>
      <c r="J936" s="65"/>
      <c r="K936" s="65"/>
    </row>
    <row r="937">
      <c r="C937" s="65"/>
      <c r="D937" s="65"/>
      <c r="E937" s="65"/>
      <c r="F937" s="65"/>
      <c r="G937" s="65"/>
      <c r="H937" s="65"/>
      <c r="I937" s="65"/>
      <c r="J937" s="65"/>
      <c r="K937" s="65"/>
    </row>
    <row r="938">
      <c r="C938" s="65"/>
      <c r="D938" s="65"/>
      <c r="E938" s="65"/>
      <c r="F938" s="65"/>
      <c r="G938" s="65"/>
      <c r="H938" s="65"/>
      <c r="I938" s="65"/>
      <c r="J938" s="65"/>
      <c r="K938" s="65"/>
    </row>
    <row r="939">
      <c r="C939" s="65"/>
      <c r="D939" s="65"/>
      <c r="E939" s="65"/>
      <c r="F939" s="65"/>
      <c r="G939" s="65"/>
      <c r="H939" s="65"/>
      <c r="I939" s="65"/>
      <c r="J939" s="65"/>
      <c r="K939" s="65"/>
    </row>
    <row r="940">
      <c r="C940" s="65"/>
      <c r="D940" s="65"/>
      <c r="E940" s="65"/>
      <c r="F940" s="65"/>
      <c r="G940" s="65"/>
      <c r="H940" s="65"/>
      <c r="I940" s="65"/>
      <c r="J940" s="65"/>
      <c r="K940" s="65"/>
    </row>
    <row r="941">
      <c r="C941" s="65"/>
      <c r="D941" s="65"/>
      <c r="E941" s="65"/>
      <c r="F941" s="65"/>
      <c r="G941" s="65"/>
      <c r="H941" s="65"/>
      <c r="I941" s="65"/>
      <c r="J941" s="65"/>
      <c r="K941" s="65"/>
    </row>
    <row r="942">
      <c r="C942" s="65"/>
      <c r="D942" s="65"/>
      <c r="E942" s="65"/>
      <c r="F942" s="65"/>
      <c r="G942" s="65"/>
      <c r="H942" s="65"/>
      <c r="I942" s="65"/>
      <c r="J942" s="65"/>
      <c r="K942" s="65"/>
    </row>
    <row r="943">
      <c r="C943" s="65"/>
      <c r="D943" s="65"/>
      <c r="E943" s="65"/>
      <c r="F943" s="65"/>
      <c r="G943" s="65"/>
      <c r="H943" s="65"/>
      <c r="I943" s="65"/>
      <c r="J943" s="65"/>
      <c r="K943" s="65"/>
    </row>
    <row r="944">
      <c r="C944" s="65"/>
      <c r="D944" s="65"/>
      <c r="E944" s="65"/>
      <c r="F944" s="65"/>
      <c r="G944" s="65"/>
      <c r="H944" s="65"/>
      <c r="I944" s="65"/>
      <c r="J944" s="65"/>
      <c r="K944" s="65"/>
    </row>
    <row r="945">
      <c r="C945" s="65"/>
      <c r="D945" s="65"/>
      <c r="E945" s="65"/>
      <c r="F945" s="65"/>
      <c r="G945" s="65"/>
      <c r="H945" s="65"/>
      <c r="I945" s="65"/>
      <c r="J945" s="65"/>
      <c r="K945" s="65"/>
    </row>
    <row r="946">
      <c r="C946" s="65"/>
      <c r="D946" s="65"/>
      <c r="E946" s="65"/>
      <c r="F946" s="65"/>
      <c r="G946" s="65"/>
      <c r="H946" s="65"/>
      <c r="I946" s="65"/>
      <c r="J946" s="65"/>
      <c r="K946" s="65"/>
    </row>
    <row r="947">
      <c r="C947" s="65"/>
      <c r="D947" s="65"/>
      <c r="E947" s="65"/>
      <c r="F947" s="65"/>
      <c r="G947" s="65"/>
      <c r="H947" s="65"/>
      <c r="I947" s="65"/>
      <c r="J947" s="65"/>
      <c r="K947" s="65"/>
    </row>
    <row r="948">
      <c r="C948" s="65"/>
      <c r="D948" s="65"/>
      <c r="E948" s="65"/>
      <c r="F948" s="65"/>
      <c r="G948" s="65"/>
      <c r="H948" s="65"/>
      <c r="I948" s="65"/>
      <c r="J948" s="65"/>
      <c r="K948" s="65"/>
    </row>
    <row r="949">
      <c r="C949" s="65"/>
      <c r="D949" s="65"/>
      <c r="E949" s="65"/>
      <c r="F949" s="65"/>
      <c r="G949" s="65"/>
      <c r="H949" s="65"/>
      <c r="I949" s="65"/>
      <c r="J949" s="65"/>
      <c r="K949" s="65"/>
    </row>
    <row r="950">
      <c r="C950" s="65"/>
      <c r="D950" s="65"/>
      <c r="E950" s="65"/>
      <c r="F950" s="65"/>
      <c r="G950" s="65"/>
      <c r="H950" s="65"/>
      <c r="I950" s="65"/>
      <c r="J950" s="65"/>
      <c r="K950" s="65"/>
    </row>
    <row r="951">
      <c r="C951" s="65"/>
      <c r="D951" s="65"/>
      <c r="E951" s="65"/>
      <c r="F951" s="65"/>
      <c r="G951" s="65"/>
      <c r="H951" s="65"/>
      <c r="I951" s="65"/>
      <c r="J951" s="65"/>
      <c r="K951" s="65"/>
    </row>
    <row r="952">
      <c r="C952" s="65"/>
      <c r="D952" s="65"/>
      <c r="E952" s="65"/>
      <c r="F952" s="65"/>
      <c r="G952" s="65"/>
      <c r="H952" s="65"/>
      <c r="I952" s="65"/>
      <c r="J952" s="65"/>
      <c r="K952" s="65"/>
    </row>
    <row r="953">
      <c r="C953" s="65"/>
      <c r="D953" s="65"/>
      <c r="E953" s="65"/>
      <c r="F953" s="65"/>
      <c r="G953" s="65"/>
      <c r="H953" s="65"/>
      <c r="I953" s="65"/>
      <c r="J953" s="65"/>
      <c r="K953" s="65"/>
    </row>
    <row r="954">
      <c r="C954" s="65"/>
      <c r="D954" s="65"/>
      <c r="E954" s="65"/>
      <c r="F954" s="65"/>
      <c r="G954" s="65"/>
      <c r="H954" s="65"/>
      <c r="I954" s="65"/>
      <c r="J954" s="65"/>
      <c r="K954" s="65"/>
    </row>
    <row r="955">
      <c r="C955" s="65"/>
      <c r="D955" s="65"/>
      <c r="E955" s="65"/>
      <c r="F955" s="65"/>
      <c r="G955" s="65"/>
      <c r="H955" s="65"/>
      <c r="I955" s="65"/>
      <c r="J955" s="65"/>
      <c r="K955" s="65"/>
    </row>
    <row r="956">
      <c r="C956" s="65"/>
      <c r="D956" s="65"/>
      <c r="E956" s="65"/>
      <c r="F956" s="65"/>
      <c r="G956" s="65"/>
      <c r="H956" s="65"/>
      <c r="I956" s="65"/>
      <c r="J956" s="65"/>
      <c r="K956" s="65"/>
    </row>
    <row r="957">
      <c r="C957" s="65"/>
      <c r="D957" s="65"/>
      <c r="E957" s="65"/>
      <c r="F957" s="65"/>
      <c r="G957" s="65"/>
      <c r="H957" s="65"/>
      <c r="I957" s="65"/>
      <c r="J957" s="65"/>
      <c r="K957" s="65"/>
    </row>
    <row r="958">
      <c r="C958" s="65"/>
      <c r="D958" s="65"/>
      <c r="E958" s="65"/>
      <c r="F958" s="65"/>
      <c r="G958" s="65"/>
      <c r="H958" s="65"/>
      <c r="I958" s="65"/>
      <c r="J958" s="65"/>
      <c r="K958" s="65"/>
    </row>
    <row r="959">
      <c r="C959" s="65"/>
      <c r="D959" s="65"/>
      <c r="E959" s="65"/>
      <c r="F959" s="65"/>
      <c r="G959" s="65"/>
      <c r="H959" s="65"/>
      <c r="I959" s="65"/>
      <c r="J959" s="65"/>
      <c r="K959" s="65"/>
    </row>
    <row r="960">
      <c r="C960" s="65"/>
      <c r="D960" s="65"/>
      <c r="E960" s="65"/>
      <c r="F960" s="65"/>
      <c r="G960" s="65"/>
      <c r="H960" s="65"/>
      <c r="I960" s="65"/>
      <c r="J960" s="65"/>
      <c r="K960" s="65"/>
    </row>
    <row r="961">
      <c r="C961" s="65"/>
      <c r="D961" s="65"/>
      <c r="E961" s="65"/>
      <c r="F961" s="65"/>
      <c r="G961" s="65"/>
      <c r="H961" s="65"/>
      <c r="I961" s="65"/>
      <c r="J961" s="65"/>
      <c r="K961" s="65"/>
    </row>
    <row r="962">
      <c r="C962" s="65"/>
      <c r="D962" s="65"/>
      <c r="E962" s="65"/>
      <c r="F962" s="65"/>
      <c r="G962" s="65"/>
      <c r="H962" s="65"/>
      <c r="I962" s="65"/>
      <c r="J962" s="65"/>
      <c r="K962" s="65"/>
    </row>
    <row r="963">
      <c r="C963" s="65"/>
      <c r="D963" s="65"/>
      <c r="E963" s="65"/>
      <c r="F963" s="65"/>
      <c r="G963" s="65"/>
      <c r="H963" s="65"/>
      <c r="I963" s="65"/>
      <c r="J963" s="65"/>
      <c r="K963" s="65"/>
    </row>
    <row r="964">
      <c r="C964" s="65"/>
      <c r="D964" s="65"/>
      <c r="E964" s="65"/>
      <c r="F964" s="65"/>
      <c r="G964" s="65"/>
      <c r="H964" s="65"/>
      <c r="I964" s="65"/>
      <c r="J964" s="65"/>
      <c r="K964" s="65"/>
    </row>
    <row r="965">
      <c r="C965" s="65"/>
      <c r="D965" s="65"/>
      <c r="E965" s="65"/>
      <c r="F965" s="65"/>
      <c r="G965" s="65"/>
      <c r="H965" s="65"/>
      <c r="I965" s="65"/>
      <c r="J965" s="65"/>
      <c r="K965" s="65"/>
    </row>
    <row r="966">
      <c r="C966" s="65"/>
      <c r="D966" s="65"/>
      <c r="E966" s="65"/>
      <c r="F966" s="65"/>
      <c r="G966" s="65"/>
      <c r="H966" s="65"/>
      <c r="I966" s="65"/>
      <c r="J966" s="65"/>
      <c r="K966" s="65"/>
    </row>
    <row r="967">
      <c r="C967" s="65"/>
      <c r="D967" s="65"/>
      <c r="E967" s="65"/>
      <c r="F967" s="65"/>
      <c r="G967" s="65"/>
      <c r="H967" s="65"/>
      <c r="I967" s="65"/>
      <c r="J967" s="65"/>
      <c r="K967" s="65"/>
    </row>
    <row r="968">
      <c r="C968" s="65"/>
      <c r="D968" s="65"/>
      <c r="E968" s="65"/>
      <c r="F968" s="65"/>
      <c r="G968" s="65"/>
      <c r="H968" s="65"/>
      <c r="I968" s="65"/>
      <c r="J968" s="65"/>
      <c r="K968" s="65"/>
    </row>
    <row r="969">
      <c r="C969" s="65"/>
      <c r="D969" s="65"/>
      <c r="E969" s="65"/>
      <c r="F969" s="65"/>
      <c r="G969" s="65"/>
      <c r="H969" s="65"/>
      <c r="I969" s="65"/>
      <c r="J969" s="65"/>
      <c r="K969" s="65"/>
    </row>
    <row r="970">
      <c r="C970" s="65"/>
      <c r="D970" s="65"/>
      <c r="E970" s="65"/>
      <c r="F970" s="65"/>
      <c r="G970" s="65"/>
      <c r="H970" s="65"/>
      <c r="I970" s="65"/>
      <c r="J970" s="65"/>
      <c r="K970" s="65"/>
    </row>
    <row r="971">
      <c r="C971" s="65"/>
      <c r="D971" s="65"/>
      <c r="E971" s="65"/>
      <c r="F971" s="65"/>
      <c r="G971" s="65"/>
      <c r="H971" s="65"/>
      <c r="I971" s="65"/>
      <c r="J971" s="65"/>
      <c r="K971" s="65"/>
    </row>
    <row r="972">
      <c r="C972" s="65"/>
      <c r="D972" s="65"/>
      <c r="E972" s="65"/>
      <c r="F972" s="65"/>
      <c r="G972" s="65"/>
      <c r="H972" s="65"/>
      <c r="I972" s="65"/>
      <c r="J972" s="65"/>
      <c r="K972" s="65"/>
    </row>
    <row r="973">
      <c r="C973" s="65"/>
      <c r="D973" s="65"/>
      <c r="E973" s="65"/>
      <c r="F973" s="65"/>
      <c r="G973" s="65"/>
      <c r="H973" s="65"/>
      <c r="I973" s="65"/>
      <c r="J973" s="65"/>
      <c r="K973" s="65"/>
    </row>
    <row r="974">
      <c r="C974" s="65"/>
      <c r="D974" s="65"/>
      <c r="E974" s="65"/>
      <c r="F974" s="65"/>
      <c r="G974" s="65"/>
      <c r="H974" s="65"/>
      <c r="I974" s="65"/>
      <c r="J974" s="65"/>
      <c r="K974" s="65"/>
    </row>
    <row r="975">
      <c r="C975" s="65"/>
      <c r="D975" s="65"/>
      <c r="E975" s="65"/>
      <c r="F975" s="65"/>
      <c r="G975" s="65"/>
      <c r="H975" s="65"/>
      <c r="I975" s="65"/>
      <c r="J975" s="65"/>
      <c r="K975" s="65"/>
    </row>
    <row r="976">
      <c r="C976" s="65"/>
      <c r="D976" s="65"/>
      <c r="E976" s="65"/>
      <c r="F976" s="65"/>
      <c r="G976" s="65"/>
      <c r="H976" s="65"/>
      <c r="I976" s="65"/>
      <c r="J976" s="65"/>
      <c r="K976" s="65"/>
    </row>
    <row r="977">
      <c r="C977" s="65"/>
      <c r="D977" s="65"/>
      <c r="E977" s="65"/>
      <c r="F977" s="65"/>
      <c r="G977" s="65"/>
      <c r="H977" s="65"/>
      <c r="I977" s="65"/>
      <c r="J977" s="65"/>
      <c r="K977" s="65"/>
    </row>
    <row r="978">
      <c r="C978" s="65"/>
      <c r="D978" s="65"/>
      <c r="E978" s="65"/>
      <c r="F978" s="65"/>
      <c r="G978" s="65"/>
      <c r="H978" s="65"/>
      <c r="I978" s="65"/>
      <c r="J978" s="65"/>
      <c r="K978" s="65"/>
    </row>
    <row r="979">
      <c r="C979" s="65"/>
      <c r="D979" s="65"/>
      <c r="E979" s="65"/>
      <c r="F979" s="65"/>
      <c r="G979" s="65"/>
      <c r="H979" s="65"/>
      <c r="I979" s="65"/>
      <c r="J979" s="65"/>
      <c r="K979" s="65"/>
    </row>
    <row r="980">
      <c r="C980" s="65"/>
      <c r="D980" s="65"/>
      <c r="E980" s="65"/>
      <c r="F980" s="65"/>
      <c r="G980" s="65"/>
      <c r="H980" s="65"/>
      <c r="I980" s="65"/>
      <c r="J980" s="65"/>
      <c r="K980" s="65"/>
    </row>
    <row r="981">
      <c r="C981" s="65"/>
      <c r="D981" s="65"/>
      <c r="E981" s="65"/>
      <c r="F981" s="65"/>
      <c r="G981" s="65"/>
      <c r="H981" s="65"/>
      <c r="I981" s="65"/>
      <c r="J981" s="65"/>
      <c r="K981" s="65"/>
    </row>
    <row r="982">
      <c r="C982" s="65"/>
      <c r="D982" s="65"/>
      <c r="E982" s="65"/>
      <c r="F982" s="65"/>
      <c r="G982" s="65"/>
      <c r="H982" s="65"/>
      <c r="I982" s="65"/>
      <c r="J982" s="65"/>
      <c r="K982" s="65"/>
    </row>
    <row r="983">
      <c r="C983" s="65"/>
      <c r="D983" s="65"/>
      <c r="E983" s="65"/>
      <c r="F983" s="65"/>
      <c r="G983" s="65"/>
      <c r="H983" s="65"/>
      <c r="I983" s="65"/>
      <c r="J983" s="65"/>
      <c r="K983" s="65"/>
    </row>
    <row r="984">
      <c r="C984" s="65"/>
      <c r="D984" s="65"/>
      <c r="E984" s="65"/>
      <c r="F984" s="65"/>
      <c r="G984" s="65"/>
      <c r="H984" s="65"/>
      <c r="I984" s="65"/>
      <c r="J984" s="65"/>
      <c r="K984" s="65"/>
    </row>
    <row r="985">
      <c r="C985" s="65"/>
      <c r="D985" s="65"/>
      <c r="E985" s="65"/>
      <c r="F985" s="65"/>
      <c r="G985" s="65"/>
      <c r="H985" s="65"/>
      <c r="I985" s="65"/>
      <c r="J985" s="65"/>
      <c r="K985" s="65"/>
    </row>
    <row r="986">
      <c r="C986" s="65"/>
      <c r="D986" s="65"/>
      <c r="E986" s="65"/>
      <c r="F986" s="65"/>
      <c r="G986" s="65"/>
      <c r="H986" s="65"/>
      <c r="I986" s="65"/>
      <c r="J986" s="65"/>
      <c r="K986" s="65"/>
    </row>
    <row r="987">
      <c r="C987" s="65"/>
      <c r="D987" s="65"/>
      <c r="E987" s="65"/>
      <c r="F987" s="65"/>
      <c r="G987" s="65"/>
      <c r="H987" s="65"/>
      <c r="I987" s="65"/>
      <c r="J987" s="65"/>
      <c r="K987" s="65"/>
    </row>
    <row r="988">
      <c r="C988" s="65"/>
      <c r="D988" s="65"/>
      <c r="E988" s="65"/>
      <c r="F988" s="65"/>
      <c r="G988" s="65"/>
      <c r="H988" s="65"/>
      <c r="I988" s="65"/>
      <c r="J988" s="65"/>
      <c r="K988" s="65"/>
    </row>
    <row r="989">
      <c r="C989" s="65"/>
      <c r="D989" s="65"/>
      <c r="E989" s="65"/>
      <c r="F989" s="65"/>
      <c r="G989" s="65"/>
      <c r="H989" s="65"/>
      <c r="I989" s="65"/>
      <c r="J989" s="65"/>
      <c r="K989" s="65"/>
    </row>
    <row r="990">
      <c r="C990" s="65"/>
      <c r="D990" s="65"/>
      <c r="E990" s="65"/>
      <c r="F990" s="65"/>
      <c r="G990" s="65"/>
      <c r="H990" s="65"/>
      <c r="I990" s="65"/>
      <c r="J990" s="65"/>
      <c r="K990" s="65"/>
    </row>
    <row r="991">
      <c r="C991" s="65"/>
      <c r="D991" s="65"/>
      <c r="E991" s="65"/>
      <c r="F991" s="65"/>
      <c r="G991" s="65"/>
      <c r="H991" s="65"/>
      <c r="I991" s="65"/>
      <c r="J991" s="65"/>
      <c r="K991" s="65"/>
    </row>
    <row r="992">
      <c r="C992" s="65"/>
      <c r="D992" s="65"/>
      <c r="E992" s="65"/>
      <c r="F992" s="65"/>
      <c r="G992" s="65"/>
      <c r="H992" s="65"/>
      <c r="I992" s="65"/>
      <c r="J992" s="65"/>
      <c r="K992" s="65"/>
    </row>
    <row r="993">
      <c r="C993" s="65"/>
      <c r="D993" s="65"/>
      <c r="E993" s="65"/>
      <c r="F993" s="65"/>
      <c r="G993" s="65"/>
      <c r="H993" s="65"/>
      <c r="I993" s="65"/>
      <c r="J993" s="65"/>
      <c r="K993" s="65"/>
    </row>
    <row r="994">
      <c r="C994" s="65"/>
      <c r="D994" s="65"/>
      <c r="E994" s="65"/>
      <c r="F994" s="65"/>
      <c r="G994" s="65"/>
      <c r="H994" s="65"/>
      <c r="I994" s="65"/>
      <c r="J994" s="65"/>
      <c r="K994" s="65"/>
    </row>
    <row r="995">
      <c r="C995" s="65"/>
      <c r="D995" s="65"/>
      <c r="E995" s="65"/>
      <c r="F995" s="65"/>
      <c r="G995" s="65"/>
      <c r="H995" s="65"/>
      <c r="I995" s="65"/>
      <c r="J995" s="65"/>
      <c r="K995" s="65"/>
    </row>
    <row r="996">
      <c r="C996" s="65"/>
      <c r="D996" s="65"/>
      <c r="E996" s="65"/>
      <c r="F996" s="65"/>
      <c r="G996" s="65"/>
      <c r="H996" s="65"/>
      <c r="I996" s="65"/>
      <c r="J996" s="65"/>
      <c r="K996" s="65"/>
    </row>
    <row r="997">
      <c r="C997" s="65"/>
      <c r="D997" s="65"/>
      <c r="E997" s="65"/>
      <c r="F997" s="65"/>
      <c r="G997" s="65"/>
      <c r="H997" s="65"/>
      <c r="I997" s="65"/>
      <c r="J997" s="65"/>
      <c r="K997" s="65"/>
    </row>
    <row r="998">
      <c r="C998" s="65"/>
      <c r="D998" s="65"/>
      <c r="E998" s="65"/>
      <c r="F998" s="65"/>
      <c r="G998" s="65"/>
      <c r="H998" s="65"/>
      <c r="I998" s="65"/>
      <c r="J998" s="65"/>
      <c r="K998" s="65"/>
    </row>
    <row r="999">
      <c r="C999" s="65"/>
      <c r="D999" s="65"/>
      <c r="E999" s="65"/>
      <c r="F999" s="65"/>
      <c r="G999" s="65"/>
      <c r="H999" s="65"/>
      <c r="I999" s="65"/>
      <c r="J999" s="65"/>
      <c r="K999" s="65"/>
    </row>
  </sheetData>
  <mergeCells count="2">
    <mergeCell ref="A1:B1"/>
    <mergeCell ref="C1:K1"/>
  </mergeCells>
  <conditionalFormatting sqref="J3:J82">
    <cfRule type="cellIs" dxfId="12" priority="1" operator="lessThan">
      <formula>"00:00:00"</formula>
    </cfRule>
  </conditionalFormatting>
  <conditionalFormatting sqref="J3:J82">
    <cfRule type="cellIs" dxfId="7" priority="2" operator="greaterThan">
      <formula>"00:00:00"</formula>
    </cfRule>
  </conditionalFormatting>
  <dataValidations>
    <dataValidation type="list" allowBlank="1" showErrorMessage="1" sqref="C3:C82">
      <formula1>"JetClass,FAMS,DevOps,Voltro,SS,Special Projects"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63"/>
    <col customWidth="1" min="2" max="2" width="3.63"/>
    <col customWidth="1" min="3" max="3" width="23.13"/>
    <col customWidth="1" min="4" max="4" width="10.13"/>
    <col customWidth="1" min="5" max="35" width="10.63"/>
  </cols>
  <sheetData>
    <row r="1">
      <c r="A1" s="132" t="s">
        <v>265</v>
      </c>
      <c r="B1" s="133" t="s">
        <v>1</v>
      </c>
      <c r="C1" s="133" t="s">
        <v>266</v>
      </c>
      <c r="D1" s="133" t="s">
        <v>267</v>
      </c>
      <c r="E1" s="218" t="str">
        <f t="shared" ref="E1:AG1" si="1">text(E2, "ddd")</f>
        <v>Wed</v>
      </c>
      <c r="F1" s="134" t="str">
        <f t="shared" si="1"/>
        <v>Thu</v>
      </c>
      <c r="G1" s="134" t="str">
        <f t="shared" si="1"/>
        <v>Fri</v>
      </c>
      <c r="H1" s="135" t="str">
        <f t="shared" si="1"/>
        <v>Sat</v>
      </c>
      <c r="I1" s="135" t="str">
        <f t="shared" si="1"/>
        <v>Sun</v>
      </c>
      <c r="J1" s="134" t="str">
        <f t="shared" si="1"/>
        <v>Mon</v>
      </c>
      <c r="K1" s="134" t="str">
        <f t="shared" si="1"/>
        <v>Tue</v>
      </c>
      <c r="L1" s="218" t="str">
        <f t="shared" si="1"/>
        <v>Wed</v>
      </c>
      <c r="M1" s="134" t="str">
        <f t="shared" si="1"/>
        <v>Thu</v>
      </c>
      <c r="N1" s="218" t="str">
        <f t="shared" si="1"/>
        <v>Fri</v>
      </c>
      <c r="O1" s="135" t="str">
        <f t="shared" si="1"/>
        <v>Sat</v>
      </c>
      <c r="P1" s="135" t="str">
        <f t="shared" si="1"/>
        <v>Sun</v>
      </c>
      <c r="Q1" s="134" t="str">
        <f t="shared" si="1"/>
        <v>Mon</v>
      </c>
      <c r="R1" s="134" t="str">
        <f t="shared" si="1"/>
        <v>Tue</v>
      </c>
      <c r="S1" s="134" t="str">
        <f t="shared" si="1"/>
        <v>Wed</v>
      </c>
      <c r="T1" s="134" t="str">
        <f t="shared" si="1"/>
        <v>Thu</v>
      </c>
      <c r="U1" s="134" t="str">
        <f t="shared" si="1"/>
        <v>Fri</v>
      </c>
      <c r="V1" s="135" t="str">
        <f t="shared" si="1"/>
        <v>Sat</v>
      </c>
      <c r="W1" s="135" t="str">
        <f t="shared" si="1"/>
        <v>Sun</v>
      </c>
      <c r="X1" s="134" t="str">
        <f t="shared" si="1"/>
        <v>Mon</v>
      </c>
      <c r="Y1" s="134" t="str">
        <f t="shared" si="1"/>
        <v>Tue</v>
      </c>
      <c r="Z1" s="134" t="str">
        <f t="shared" si="1"/>
        <v>Wed</v>
      </c>
      <c r="AA1" s="134" t="str">
        <f t="shared" si="1"/>
        <v>Thu</v>
      </c>
      <c r="AB1" s="134" t="str">
        <f t="shared" si="1"/>
        <v>Fri</v>
      </c>
      <c r="AC1" s="135" t="str">
        <f t="shared" si="1"/>
        <v>Sat</v>
      </c>
      <c r="AD1" s="135" t="str">
        <f t="shared" si="1"/>
        <v>Sun</v>
      </c>
      <c r="AE1" s="218" t="str">
        <f t="shared" si="1"/>
        <v>Mon</v>
      </c>
      <c r="AF1" s="134" t="str">
        <f t="shared" si="1"/>
        <v>Tue</v>
      </c>
      <c r="AG1" s="134" t="str">
        <f t="shared" si="1"/>
        <v>Wed</v>
      </c>
      <c r="AH1" s="134" t="s">
        <v>309</v>
      </c>
      <c r="AI1" s="134" t="str">
        <f>text(AI2, "ddd")</f>
        <v>Fri</v>
      </c>
    </row>
    <row r="2">
      <c r="B2" s="15"/>
      <c r="C2" s="15"/>
      <c r="D2" s="15"/>
      <c r="E2" s="219">
        <v>45931.0</v>
      </c>
      <c r="F2" s="136">
        <v>45932.0</v>
      </c>
      <c r="G2" s="136">
        <v>45933.0</v>
      </c>
      <c r="H2" s="137">
        <v>45934.0</v>
      </c>
      <c r="I2" s="137">
        <v>45935.0</v>
      </c>
      <c r="J2" s="136">
        <v>45936.0</v>
      </c>
      <c r="K2" s="136">
        <v>45937.0</v>
      </c>
      <c r="L2" s="219">
        <v>45938.0</v>
      </c>
      <c r="M2" s="136">
        <v>45939.0</v>
      </c>
      <c r="N2" s="136">
        <v>45940.0</v>
      </c>
      <c r="O2" s="137">
        <v>45941.0</v>
      </c>
      <c r="P2" s="137">
        <v>45942.0</v>
      </c>
      <c r="Q2" s="136">
        <v>45943.0</v>
      </c>
      <c r="R2" s="136">
        <v>45944.0</v>
      </c>
      <c r="S2" s="136">
        <v>45945.0</v>
      </c>
      <c r="T2" s="136">
        <v>45946.0</v>
      </c>
      <c r="U2" s="136">
        <v>45947.0</v>
      </c>
      <c r="V2" s="137">
        <v>45948.0</v>
      </c>
      <c r="W2" s="137">
        <v>45949.0</v>
      </c>
      <c r="X2" s="136">
        <v>45950.0</v>
      </c>
      <c r="Y2" s="136">
        <v>45951.0</v>
      </c>
      <c r="Z2" s="136">
        <v>45952.0</v>
      </c>
      <c r="AA2" s="136">
        <v>45953.0</v>
      </c>
      <c r="AB2" s="136">
        <v>45954.0</v>
      </c>
      <c r="AC2" s="137">
        <v>45955.0</v>
      </c>
      <c r="AD2" s="137">
        <v>45956.0</v>
      </c>
      <c r="AE2" s="219">
        <v>45957.0</v>
      </c>
      <c r="AF2" s="136">
        <v>45958.0</v>
      </c>
      <c r="AG2" s="136">
        <v>45959.0</v>
      </c>
      <c r="AH2" s="136">
        <v>45960.0</v>
      </c>
      <c r="AI2" s="136">
        <v>45961.0</v>
      </c>
    </row>
    <row r="3">
      <c r="A3" s="138">
        <v>45452.0</v>
      </c>
      <c r="B3" s="139">
        <v>1.0</v>
      </c>
      <c r="C3" s="197" t="s">
        <v>222</v>
      </c>
      <c r="D3" s="22">
        <f t="shared" ref="D3:D87" si="2">sum(E3:AI3)</f>
        <v>4.459722222</v>
      </c>
      <c r="E3" s="223" t="s">
        <v>316</v>
      </c>
      <c r="F3" s="223" t="s">
        <v>269</v>
      </c>
      <c r="G3" s="224">
        <v>0.36180555555555555</v>
      </c>
      <c r="H3" s="244"/>
      <c r="I3" s="244"/>
      <c r="J3" s="222">
        <v>0.3729166666666667</v>
      </c>
      <c r="K3" s="222">
        <v>0.4270833333333333</v>
      </c>
      <c r="L3" s="223" t="s">
        <v>316</v>
      </c>
      <c r="M3" s="222">
        <v>0.34791666666666665</v>
      </c>
      <c r="N3" s="223" t="s">
        <v>316</v>
      </c>
      <c r="O3" s="222"/>
      <c r="P3" s="222"/>
      <c r="Q3" s="222">
        <v>0.4270833333333333</v>
      </c>
      <c r="R3" s="222">
        <v>0.42083333333333334</v>
      </c>
      <c r="S3" s="223" t="s">
        <v>316</v>
      </c>
      <c r="T3" s="222">
        <v>0.32916666666666666</v>
      </c>
      <c r="U3" s="223" t="s">
        <v>316</v>
      </c>
      <c r="V3" s="222"/>
      <c r="W3" s="222"/>
      <c r="X3" s="222">
        <v>0.33958333333333335</v>
      </c>
      <c r="Y3" s="222">
        <v>0.39444444444444443</v>
      </c>
      <c r="Z3" s="223" t="s">
        <v>316</v>
      </c>
      <c r="AA3" s="222">
        <v>0.32083333333333336</v>
      </c>
      <c r="AB3" s="223" t="s">
        <v>316</v>
      </c>
      <c r="AC3" s="222"/>
      <c r="AD3" s="222"/>
      <c r="AE3" s="223" t="s">
        <v>316</v>
      </c>
      <c r="AF3" s="223" t="s">
        <v>316</v>
      </c>
      <c r="AG3" s="222">
        <v>0.34930555555555554</v>
      </c>
      <c r="AH3" s="222">
        <v>0.36875</v>
      </c>
      <c r="AI3" s="223" t="s">
        <v>316</v>
      </c>
    </row>
    <row r="4">
      <c r="A4" s="15"/>
      <c r="B4" s="139">
        <v>2.0</v>
      </c>
      <c r="C4" s="197" t="s">
        <v>41</v>
      </c>
      <c r="D4" s="22">
        <f t="shared" si="2"/>
        <v>4.420138889</v>
      </c>
      <c r="E4" s="224">
        <v>0.39861111111111114</v>
      </c>
      <c r="F4" s="222">
        <v>0.3659722222222222</v>
      </c>
      <c r="G4" s="223" t="s">
        <v>316</v>
      </c>
      <c r="H4" s="244"/>
      <c r="I4" s="244"/>
      <c r="J4" s="224">
        <v>0.4048611111111111</v>
      </c>
      <c r="K4" s="223" t="s">
        <v>316</v>
      </c>
      <c r="L4" s="224">
        <v>0.3854166666666667</v>
      </c>
      <c r="M4" s="224">
        <v>0.4013888888888889</v>
      </c>
      <c r="N4" s="223" t="s">
        <v>316</v>
      </c>
      <c r="O4" s="222"/>
      <c r="P4" s="222"/>
      <c r="Q4" s="223" t="s">
        <v>316</v>
      </c>
      <c r="R4" s="223" t="s">
        <v>316</v>
      </c>
      <c r="S4" s="224">
        <v>0.3923611111111111</v>
      </c>
      <c r="T4" s="223" t="s">
        <v>316</v>
      </c>
      <c r="U4" s="223" t="s">
        <v>316</v>
      </c>
      <c r="V4" s="222"/>
      <c r="W4" s="222"/>
      <c r="X4" s="224">
        <v>0.3715277777777778</v>
      </c>
      <c r="Y4" s="223" t="s">
        <v>316</v>
      </c>
      <c r="Z4" s="224">
        <v>0.21319444444444444</v>
      </c>
      <c r="AA4" s="224">
        <v>0.3645833333333333</v>
      </c>
      <c r="AB4" s="223" t="s">
        <v>316</v>
      </c>
      <c r="AC4" s="222"/>
      <c r="AD4" s="222"/>
      <c r="AE4" s="224">
        <v>0.3645833333333333</v>
      </c>
      <c r="AF4" s="224">
        <v>0.3715277777777778</v>
      </c>
      <c r="AG4" s="224">
        <v>0.3861111111111111</v>
      </c>
      <c r="AH4" s="223" t="s">
        <v>316</v>
      </c>
      <c r="AI4" s="223" t="s">
        <v>316</v>
      </c>
    </row>
    <row r="5">
      <c r="A5" s="144">
        <v>45483.0</v>
      </c>
      <c r="B5" s="145">
        <v>3.0</v>
      </c>
      <c r="C5" s="198" t="s">
        <v>234</v>
      </c>
      <c r="D5" s="22">
        <f t="shared" si="2"/>
        <v>4.238194444</v>
      </c>
      <c r="E5" s="224">
        <v>0.3625</v>
      </c>
      <c r="F5" s="223" t="s">
        <v>316</v>
      </c>
      <c r="G5" s="224">
        <v>0.37777777777777777</v>
      </c>
      <c r="H5" s="244"/>
      <c r="I5" s="244"/>
      <c r="J5" s="223" t="s">
        <v>271</v>
      </c>
      <c r="K5" s="224">
        <v>0.3736111111111111</v>
      </c>
      <c r="L5" s="225">
        <v>0.37569444444444444</v>
      </c>
      <c r="M5" s="223" t="s">
        <v>316</v>
      </c>
      <c r="N5" s="225">
        <v>0.3638888888888889</v>
      </c>
      <c r="O5" s="222"/>
      <c r="P5" s="222"/>
      <c r="Q5" s="223" t="s">
        <v>316</v>
      </c>
      <c r="R5" s="223" t="s">
        <v>316</v>
      </c>
      <c r="S5" s="224">
        <v>0.3645833333333333</v>
      </c>
      <c r="T5" s="223" t="s">
        <v>316</v>
      </c>
      <c r="U5" s="224">
        <v>0.38333333333333336</v>
      </c>
      <c r="V5" s="222"/>
      <c r="W5" s="222"/>
      <c r="X5" s="224">
        <v>0.36736111111111114</v>
      </c>
      <c r="Y5" s="223" t="s">
        <v>316</v>
      </c>
      <c r="Z5" s="224">
        <v>0.3597222222222222</v>
      </c>
      <c r="AA5" s="223" t="s">
        <v>316</v>
      </c>
      <c r="AB5" s="224">
        <v>0.16666666666666666</v>
      </c>
      <c r="AC5" s="222"/>
      <c r="AD5" s="222"/>
      <c r="AE5" s="224">
        <v>0.3611111111111111</v>
      </c>
      <c r="AF5" s="223" t="s">
        <v>316</v>
      </c>
      <c r="AG5" s="224">
        <v>0.3819444444444444</v>
      </c>
      <c r="AH5" s="223" t="s">
        <v>272</v>
      </c>
      <c r="AI5" s="223" t="s">
        <v>272</v>
      </c>
    </row>
    <row r="6">
      <c r="A6" s="32"/>
      <c r="B6" s="186">
        <v>4.0</v>
      </c>
      <c r="C6" s="198" t="s">
        <v>201</v>
      </c>
      <c r="D6" s="22">
        <f t="shared" si="2"/>
        <v>5.161111111</v>
      </c>
      <c r="E6" s="222">
        <v>0.3972222222222222</v>
      </c>
      <c r="F6" s="222">
        <v>0.3506944444444444</v>
      </c>
      <c r="G6" s="223" t="s">
        <v>316</v>
      </c>
      <c r="H6" s="244"/>
      <c r="I6" s="244"/>
      <c r="J6" s="222">
        <v>0.3194444444444444</v>
      </c>
      <c r="K6" s="222">
        <v>0.3680555555555556</v>
      </c>
      <c r="L6" s="222">
        <v>0.37777777777777777</v>
      </c>
      <c r="M6" s="222">
        <v>0.38472222222222224</v>
      </c>
      <c r="N6" s="223" t="s">
        <v>316</v>
      </c>
      <c r="O6" s="222"/>
      <c r="P6" s="222"/>
      <c r="Q6" s="223" t="s">
        <v>316</v>
      </c>
      <c r="R6" s="223" t="s">
        <v>316</v>
      </c>
      <c r="S6" s="223" t="s">
        <v>316</v>
      </c>
      <c r="T6" s="223" t="s">
        <v>316</v>
      </c>
      <c r="U6" s="223" t="s">
        <v>316</v>
      </c>
      <c r="V6" s="222"/>
      <c r="W6" s="222"/>
      <c r="X6" s="222">
        <v>0.37083333333333335</v>
      </c>
      <c r="Y6" s="222">
        <v>0.44513888888888886</v>
      </c>
      <c r="Z6" s="224">
        <v>0.3729166666666667</v>
      </c>
      <c r="AA6" s="222">
        <v>0.3590277777777778</v>
      </c>
      <c r="AB6" s="223" t="s">
        <v>316</v>
      </c>
      <c r="AC6" s="222"/>
      <c r="AD6" s="222"/>
      <c r="AE6" s="224">
        <v>0.35</v>
      </c>
      <c r="AF6" s="222">
        <v>0.3375</v>
      </c>
      <c r="AG6" s="222">
        <v>0.35</v>
      </c>
      <c r="AH6" s="223" t="s">
        <v>271</v>
      </c>
      <c r="AI6" s="222">
        <v>0.37777777777777777</v>
      </c>
    </row>
    <row r="7">
      <c r="A7" s="32"/>
      <c r="B7" s="186">
        <v>5.0</v>
      </c>
      <c r="C7" s="198" t="s">
        <v>246</v>
      </c>
      <c r="D7" s="22">
        <f t="shared" si="2"/>
        <v>0</v>
      </c>
      <c r="E7" s="223" t="s">
        <v>316</v>
      </c>
      <c r="F7" s="223" t="s">
        <v>316</v>
      </c>
      <c r="G7" s="223" t="s">
        <v>316</v>
      </c>
      <c r="H7" s="244"/>
      <c r="I7" s="244"/>
      <c r="J7" s="223" t="s">
        <v>316</v>
      </c>
      <c r="K7" s="223" t="s">
        <v>316</v>
      </c>
      <c r="L7" s="223" t="s">
        <v>316</v>
      </c>
      <c r="M7" s="223" t="s">
        <v>316</v>
      </c>
      <c r="N7" s="223" t="s">
        <v>316</v>
      </c>
      <c r="O7" s="222"/>
      <c r="P7" s="222"/>
      <c r="Q7" s="223" t="s">
        <v>316</v>
      </c>
      <c r="R7" s="223" t="s">
        <v>316</v>
      </c>
      <c r="S7" s="223" t="s">
        <v>316</v>
      </c>
      <c r="T7" s="223" t="s">
        <v>316</v>
      </c>
      <c r="U7" s="223" t="s">
        <v>316</v>
      </c>
      <c r="V7" s="222"/>
      <c r="W7" s="222"/>
      <c r="X7" s="223" t="s">
        <v>316</v>
      </c>
      <c r="Y7" s="223" t="s">
        <v>316</v>
      </c>
      <c r="Z7" s="223" t="s">
        <v>316</v>
      </c>
      <c r="AA7" s="223" t="s">
        <v>316</v>
      </c>
      <c r="AB7" s="223" t="s">
        <v>271</v>
      </c>
      <c r="AC7" s="222"/>
      <c r="AD7" s="222"/>
      <c r="AE7" s="223" t="s">
        <v>316</v>
      </c>
      <c r="AF7" s="223" t="s">
        <v>316</v>
      </c>
      <c r="AG7" s="223" t="s">
        <v>316</v>
      </c>
      <c r="AH7" s="223" t="s">
        <v>316</v>
      </c>
      <c r="AI7" s="223" t="s">
        <v>316</v>
      </c>
    </row>
    <row r="8">
      <c r="A8" s="32"/>
      <c r="B8" s="145">
        <v>6.0</v>
      </c>
      <c r="C8" s="200" t="s">
        <v>421</v>
      </c>
      <c r="D8" s="22">
        <f t="shared" si="2"/>
        <v>2.432638889</v>
      </c>
      <c r="E8" s="222">
        <v>0.29930555555555555</v>
      </c>
      <c r="F8" s="222">
        <v>0.33819444444444446</v>
      </c>
      <c r="G8" s="223" t="s">
        <v>316</v>
      </c>
      <c r="H8" s="244"/>
      <c r="I8" s="244"/>
      <c r="J8" s="223" t="s">
        <v>316</v>
      </c>
      <c r="K8" s="222">
        <v>0.36944444444444446</v>
      </c>
      <c r="L8" s="222">
        <v>0.35694444444444445</v>
      </c>
      <c r="M8" s="223" t="s">
        <v>316</v>
      </c>
      <c r="N8" s="223" t="s">
        <v>316</v>
      </c>
      <c r="O8" s="222"/>
      <c r="P8" s="222"/>
      <c r="Q8" s="223" t="s">
        <v>316</v>
      </c>
      <c r="R8" s="223" t="s">
        <v>316</v>
      </c>
      <c r="S8" s="223" t="s">
        <v>316</v>
      </c>
      <c r="T8" s="223" t="s">
        <v>316</v>
      </c>
      <c r="U8" s="223" t="s">
        <v>316</v>
      </c>
      <c r="V8" s="222"/>
      <c r="W8" s="222"/>
      <c r="X8" s="223" t="s">
        <v>316</v>
      </c>
      <c r="Y8" s="223" t="s">
        <v>316</v>
      </c>
      <c r="Z8" s="223" t="s">
        <v>316</v>
      </c>
      <c r="AA8" s="223" t="s">
        <v>316</v>
      </c>
      <c r="AB8" s="223" t="s">
        <v>316</v>
      </c>
      <c r="AC8" s="222"/>
      <c r="AD8" s="222"/>
      <c r="AE8" s="224">
        <v>0.3229166666666667</v>
      </c>
      <c r="AF8" s="223" t="s">
        <v>316</v>
      </c>
      <c r="AG8" s="224">
        <v>0.3506944444444444</v>
      </c>
      <c r="AH8" s="224">
        <v>0.3951388888888889</v>
      </c>
      <c r="AI8" s="223" t="s">
        <v>316</v>
      </c>
    </row>
    <row r="9">
      <c r="A9" s="32"/>
      <c r="B9" s="186">
        <v>7.0</v>
      </c>
      <c r="C9" s="199" t="s">
        <v>147</v>
      </c>
      <c r="D9" s="22">
        <f t="shared" si="2"/>
        <v>8.240277778</v>
      </c>
      <c r="E9" s="222">
        <v>0.3638888888888889</v>
      </c>
      <c r="F9" s="222">
        <v>0.38472222222222224</v>
      </c>
      <c r="G9" s="222">
        <v>0.3958333333333333</v>
      </c>
      <c r="H9" s="244"/>
      <c r="I9" s="244"/>
      <c r="J9" s="222">
        <v>0.36041666666666666</v>
      </c>
      <c r="K9" s="222">
        <v>0.3736111111111111</v>
      </c>
      <c r="L9" s="222">
        <v>0.38055555555555554</v>
      </c>
      <c r="M9" s="222">
        <v>0.3701388888888889</v>
      </c>
      <c r="N9" s="224">
        <v>0.34375</v>
      </c>
      <c r="O9" s="222"/>
      <c r="P9" s="222"/>
      <c r="Q9" s="222">
        <v>0.34791666666666665</v>
      </c>
      <c r="R9" s="222">
        <v>0.35833333333333334</v>
      </c>
      <c r="S9" s="222">
        <v>0.1986111111111111</v>
      </c>
      <c r="T9" s="222">
        <v>0.3625</v>
      </c>
      <c r="U9" s="222">
        <v>0.3347222222222222</v>
      </c>
      <c r="V9" s="222"/>
      <c r="W9" s="222"/>
      <c r="X9" s="222">
        <v>0.3611111111111111</v>
      </c>
      <c r="Y9" s="222">
        <v>0.36180555555555555</v>
      </c>
      <c r="Z9" s="224">
        <v>0.3902777777777778</v>
      </c>
      <c r="AA9" s="222">
        <v>0.36041666666666666</v>
      </c>
      <c r="AB9" s="222">
        <v>0.35138888888888886</v>
      </c>
      <c r="AC9" s="222"/>
      <c r="AD9" s="222"/>
      <c r="AE9" s="224">
        <v>0.36527777777777776</v>
      </c>
      <c r="AF9" s="222">
        <v>0.3680555555555556</v>
      </c>
      <c r="AG9" s="224">
        <v>0.37569444444444444</v>
      </c>
      <c r="AH9" s="222">
        <v>0.3680555555555556</v>
      </c>
      <c r="AI9" s="222">
        <v>0.36319444444444443</v>
      </c>
    </row>
    <row r="10">
      <c r="A10" s="32"/>
      <c r="B10" s="186">
        <v>8.0</v>
      </c>
      <c r="C10" s="198" t="s">
        <v>177</v>
      </c>
      <c r="D10" s="22">
        <f t="shared" si="2"/>
        <v>3.155555556</v>
      </c>
      <c r="E10" s="222">
        <v>0.3486111111111111</v>
      </c>
      <c r="F10" s="222">
        <v>0.34930555555555554</v>
      </c>
      <c r="G10" s="223" t="s">
        <v>316</v>
      </c>
      <c r="H10" s="244"/>
      <c r="I10" s="244"/>
      <c r="J10" s="222">
        <v>0.33958333333333335</v>
      </c>
      <c r="K10" s="222">
        <v>0.3548611111111111</v>
      </c>
      <c r="L10" s="222">
        <v>0.3645833333333333</v>
      </c>
      <c r="M10" s="222">
        <v>0.3472222222222222</v>
      </c>
      <c r="N10" s="223" t="s">
        <v>316</v>
      </c>
      <c r="O10" s="222"/>
      <c r="P10" s="222"/>
      <c r="Q10" s="223" t="s">
        <v>316</v>
      </c>
      <c r="R10" s="223" t="s">
        <v>316</v>
      </c>
      <c r="S10" s="223" t="s">
        <v>316</v>
      </c>
      <c r="T10" s="223" t="s">
        <v>316</v>
      </c>
      <c r="U10" s="223" t="s">
        <v>316</v>
      </c>
      <c r="V10" s="222"/>
      <c r="W10" s="222"/>
      <c r="X10" s="222">
        <v>0.3659722222222222</v>
      </c>
      <c r="Y10" s="222">
        <v>0.34097222222222223</v>
      </c>
      <c r="Z10" s="224">
        <v>0.34444444444444444</v>
      </c>
      <c r="AA10" s="223" t="s">
        <v>422</v>
      </c>
      <c r="AB10" s="223" t="s">
        <v>272</v>
      </c>
      <c r="AC10" s="222"/>
      <c r="AD10" s="222"/>
      <c r="AE10" s="223" t="s">
        <v>272</v>
      </c>
      <c r="AF10" s="223" t="s">
        <v>272</v>
      </c>
      <c r="AG10" s="223" t="s">
        <v>272</v>
      </c>
      <c r="AH10" s="223" t="s">
        <v>272</v>
      </c>
      <c r="AI10" s="223" t="s">
        <v>272</v>
      </c>
    </row>
    <row r="11">
      <c r="A11" s="32"/>
      <c r="B11" s="145">
        <v>9.0</v>
      </c>
      <c r="C11" s="199" t="s">
        <v>216</v>
      </c>
      <c r="D11" s="22">
        <f t="shared" si="2"/>
        <v>0</v>
      </c>
      <c r="E11" s="223" t="s">
        <v>316</v>
      </c>
      <c r="F11" s="223" t="s">
        <v>316</v>
      </c>
      <c r="G11" s="223" t="s">
        <v>316</v>
      </c>
      <c r="H11" s="244"/>
      <c r="I11" s="244"/>
      <c r="J11" s="223" t="s">
        <v>316</v>
      </c>
      <c r="K11" s="223" t="s">
        <v>316</v>
      </c>
      <c r="L11" s="223" t="s">
        <v>316</v>
      </c>
      <c r="M11" s="223" t="s">
        <v>316</v>
      </c>
      <c r="N11" s="223" t="s">
        <v>316</v>
      </c>
      <c r="O11" s="222"/>
      <c r="P11" s="222"/>
      <c r="Q11" s="223" t="s">
        <v>316</v>
      </c>
      <c r="R11" s="223" t="s">
        <v>316</v>
      </c>
      <c r="S11" s="223" t="s">
        <v>271</v>
      </c>
      <c r="T11" s="223" t="s">
        <v>316</v>
      </c>
      <c r="U11" s="223" t="s">
        <v>316</v>
      </c>
      <c r="V11" s="222"/>
      <c r="W11" s="222"/>
      <c r="X11" s="223" t="s">
        <v>316</v>
      </c>
      <c r="Y11" s="223" t="s">
        <v>316</v>
      </c>
      <c r="Z11" s="223" t="s">
        <v>316</v>
      </c>
      <c r="AA11" s="223" t="s">
        <v>316</v>
      </c>
      <c r="AB11" s="223" t="s">
        <v>316</v>
      </c>
      <c r="AC11" s="222"/>
      <c r="AD11" s="222"/>
      <c r="AE11" s="223" t="s">
        <v>316</v>
      </c>
      <c r="AF11" s="223" t="s">
        <v>271</v>
      </c>
      <c r="AG11" s="223" t="s">
        <v>316</v>
      </c>
      <c r="AH11" s="223" t="s">
        <v>316</v>
      </c>
      <c r="AI11" s="223" t="s">
        <v>316</v>
      </c>
    </row>
    <row r="12">
      <c r="A12" s="32"/>
      <c r="B12" s="186">
        <v>10.0</v>
      </c>
      <c r="C12" s="198" t="s">
        <v>385</v>
      </c>
      <c r="D12" s="22">
        <f t="shared" si="2"/>
        <v>3.673611111</v>
      </c>
      <c r="E12" s="222">
        <v>0.3701388888888889</v>
      </c>
      <c r="F12" s="222">
        <v>0.3173611111111111</v>
      </c>
      <c r="G12" s="224">
        <v>0.32569444444444445</v>
      </c>
      <c r="H12" s="244"/>
      <c r="I12" s="244"/>
      <c r="J12" s="223" t="s">
        <v>316</v>
      </c>
      <c r="K12" s="222">
        <v>0.49444444444444446</v>
      </c>
      <c r="L12" s="224">
        <v>0.49444444444444446</v>
      </c>
      <c r="M12" s="223" t="s">
        <v>316</v>
      </c>
      <c r="N12" s="223" t="s">
        <v>316</v>
      </c>
      <c r="O12" s="222"/>
      <c r="P12" s="222"/>
      <c r="Q12" s="223" t="s">
        <v>316</v>
      </c>
      <c r="R12" s="223" t="s">
        <v>316</v>
      </c>
      <c r="S12" s="223" t="s">
        <v>316</v>
      </c>
      <c r="T12" s="223" t="s">
        <v>316</v>
      </c>
      <c r="U12" s="223" t="s">
        <v>316</v>
      </c>
      <c r="V12" s="222"/>
      <c r="W12" s="222"/>
      <c r="X12" s="223" t="s">
        <v>316</v>
      </c>
      <c r="Y12" s="222">
        <v>0.3840277777777778</v>
      </c>
      <c r="Z12" s="224">
        <v>0.16666666666666666</v>
      </c>
      <c r="AA12" s="224">
        <v>0.16666666666666666</v>
      </c>
      <c r="AB12" s="223" t="s">
        <v>316</v>
      </c>
      <c r="AC12" s="222"/>
      <c r="AD12" s="222"/>
      <c r="AE12" s="222">
        <v>0.33055555555555555</v>
      </c>
      <c r="AF12" s="223" t="s">
        <v>271</v>
      </c>
      <c r="AG12" s="222">
        <v>0.33958333333333335</v>
      </c>
      <c r="AH12" s="222">
        <v>0.28402777777777777</v>
      </c>
      <c r="AI12" s="223" t="s">
        <v>316</v>
      </c>
    </row>
    <row r="13">
      <c r="A13" s="32"/>
      <c r="B13" s="186">
        <v>11.0</v>
      </c>
      <c r="C13" s="198" t="s">
        <v>386</v>
      </c>
      <c r="D13" s="22">
        <f t="shared" si="2"/>
        <v>5.139583333</v>
      </c>
      <c r="E13" s="222">
        <v>0.3854166666666667</v>
      </c>
      <c r="F13" s="222">
        <v>0.3576388888888889</v>
      </c>
      <c r="G13" s="223" t="s">
        <v>316</v>
      </c>
      <c r="H13" s="244"/>
      <c r="I13" s="244"/>
      <c r="J13" s="222">
        <v>0.4152777777777778</v>
      </c>
      <c r="K13" s="222">
        <v>0.3770833333333333</v>
      </c>
      <c r="L13" s="222">
        <v>0.3951388888888889</v>
      </c>
      <c r="M13" s="222">
        <v>0.3590277777777778</v>
      </c>
      <c r="N13" s="223" t="s">
        <v>316</v>
      </c>
      <c r="O13" s="222"/>
      <c r="P13" s="222"/>
      <c r="Q13" s="223" t="s">
        <v>316</v>
      </c>
      <c r="R13" s="223" t="s">
        <v>271</v>
      </c>
      <c r="S13" s="223" t="s">
        <v>271</v>
      </c>
      <c r="T13" s="223" t="s">
        <v>330</v>
      </c>
      <c r="U13" s="223" t="s">
        <v>330</v>
      </c>
      <c r="V13" s="222"/>
      <c r="W13" s="222"/>
      <c r="X13" s="222">
        <v>0.3090277777777778</v>
      </c>
      <c r="Y13" s="222">
        <v>0.34930555555555554</v>
      </c>
      <c r="Z13" s="222">
        <v>0.3638888888888889</v>
      </c>
      <c r="AA13" s="222">
        <v>0.41597222222222224</v>
      </c>
      <c r="AB13" s="223" t="s">
        <v>316</v>
      </c>
      <c r="AC13" s="222"/>
      <c r="AD13" s="222"/>
      <c r="AE13" s="222">
        <v>0.34305555555555556</v>
      </c>
      <c r="AF13" s="222">
        <v>0.35138888888888886</v>
      </c>
      <c r="AG13" s="222">
        <v>0.34930555555555554</v>
      </c>
      <c r="AH13" s="222">
        <v>0.3680555555555556</v>
      </c>
      <c r="AI13" s="223" t="s">
        <v>316</v>
      </c>
    </row>
    <row r="14">
      <c r="A14" s="32"/>
      <c r="B14" s="145">
        <v>12.0</v>
      </c>
      <c r="C14" s="198" t="s">
        <v>387</v>
      </c>
      <c r="D14" s="22">
        <f t="shared" si="2"/>
        <v>5.140277778</v>
      </c>
      <c r="E14" s="222">
        <v>0.3548611111111111</v>
      </c>
      <c r="F14" s="222">
        <v>0.38055555555555554</v>
      </c>
      <c r="G14" s="223" t="s">
        <v>316</v>
      </c>
      <c r="H14" s="244"/>
      <c r="I14" s="244"/>
      <c r="J14" s="222">
        <v>0.3909722222222222</v>
      </c>
      <c r="K14" s="222">
        <v>0.36041666666666666</v>
      </c>
      <c r="L14" s="222">
        <v>0.3486111111111111</v>
      </c>
      <c r="M14" s="222">
        <v>0.35138888888888886</v>
      </c>
      <c r="N14" s="223" t="s">
        <v>316</v>
      </c>
      <c r="O14" s="222"/>
      <c r="P14" s="222"/>
      <c r="Q14" s="223" t="s">
        <v>330</v>
      </c>
      <c r="R14" s="223" t="s">
        <v>316</v>
      </c>
      <c r="S14" s="223" t="s">
        <v>316</v>
      </c>
      <c r="T14" s="223" t="s">
        <v>316</v>
      </c>
      <c r="U14" s="223" t="s">
        <v>316</v>
      </c>
      <c r="V14" s="222"/>
      <c r="W14" s="222"/>
      <c r="X14" s="222">
        <v>0.39791666666666664</v>
      </c>
      <c r="Y14" s="222">
        <v>0.3861111111111111</v>
      </c>
      <c r="Z14" s="222">
        <v>0.3645833333333333</v>
      </c>
      <c r="AA14" s="222">
        <v>0.36666666666666664</v>
      </c>
      <c r="AB14" s="223" t="s">
        <v>316</v>
      </c>
      <c r="AC14" s="222"/>
      <c r="AD14" s="222"/>
      <c r="AE14" s="222">
        <v>0.37430555555555556</v>
      </c>
      <c r="AF14" s="224">
        <v>0.36180555555555555</v>
      </c>
      <c r="AG14" s="222">
        <v>0.3590277777777778</v>
      </c>
      <c r="AH14" s="222">
        <v>0.34305555555555556</v>
      </c>
      <c r="AI14" s="223" t="s">
        <v>316</v>
      </c>
    </row>
    <row r="15">
      <c r="A15" s="32"/>
      <c r="B15" s="186">
        <v>13.0</v>
      </c>
      <c r="C15" s="200" t="s">
        <v>400</v>
      </c>
      <c r="D15" s="22">
        <f t="shared" si="2"/>
        <v>4.01875</v>
      </c>
      <c r="E15" s="222">
        <v>0.33611111111111114</v>
      </c>
      <c r="F15" s="222">
        <v>0.3902777777777778</v>
      </c>
      <c r="G15" s="223" t="s">
        <v>316</v>
      </c>
      <c r="H15" s="244"/>
      <c r="I15" s="244"/>
      <c r="J15" s="223" t="s">
        <v>316</v>
      </c>
      <c r="K15" s="222">
        <v>0.37083333333333335</v>
      </c>
      <c r="L15" s="224">
        <v>0.5569444444444445</v>
      </c>
      <c r="M15" s="223" t="s">
        <v>315</v>
      </c>
      <c r="N15" s="223" t="s">
        <v>315</v>
      </c>
      <c r="O15" s="222"/>
      <c r="P15" s="222"/>
      <c r="Q15" s="223" t="s">
        <v>315</v>
      </c>
      <c r="R15" s="223" t="s">
        <v>316</v>
      </c>
      <c r="S15" s="223" t="s">
        <v>316</v>
      </c>
      <c r="T15" s="223" t="s">
        <v>316</v>
      </c>
      <c r="U15" s="223" t="s">
        <v>316</v>
      </c>
      <c r="V15" s="222"/>
      <c r="W15" s="222"/>
      <c r="X15" s="222">
        <v>0.39861111111111114</v>
      </c>
      <c r="Y15" s="222">
        <v>0.3298611111111111</v>
      </c>
      <c r="Z15" s="222">
        <v>0.41944444444444445</v>
      </c>
      <c r="AA15" s="222">
        <v>0.34097222222222223</v>
      </c>
      <c r="AB15" s="223" t="s">
        <v>316</v>
      </c>
      <c r="AC15" s="222"/>
      <c r="AD15" s="222"/>
      <c r="AE15" s="222">
        <v>0.4340277777777778</v>
      </c>
      <c r="AF15" s="223" t="s">
        <v>269</v>
      </c>
      <c r="AG15" s="223" t="s">
        <v>269</v>
      </c>
      <c r="AH15" s="222">
        <v>0.44166666666666665</v>
      </c>
      <c r="AI15" s="223" t="s">
        <v>316</v>
      </c>
    </row>
    <row r="16">
      <c r="A16" s="32"/>
      <c r="B16" s="186">
        <v>14.0</v>
      </c>
      <c r="C16" s="198" t="s">
        <v>389</v>
      </c>
      <c r="D16" s="22">
        <f t="shared" si="2"/>
        <v>5.145833333</v>
      </c>
      <c r="E16" s="222">
        <v>0.38680555555555557</v>
      </c>
      <c r="F16" s="224">
        <v>0.16666666666666666</v>
      </c>
      <c r="G16" s="222">
        <v>0.3770833333333333</v>
      </c>
      <c r="H16" s="244"/>
      <c r="I16" s="244"/>
      <c r="J16" s="222">
        <v>0.4826388888888889</v>
      </c>
      <c r="K16" s="222">
        <v>0.3701388888888889</v>
      </c>
      <c r="L16" s="222">
        <v>0.35555555555555557</v>
      </c>
      <c r="M16" s="222">
        <v>0.36666666666666664</v>
      </c>
      <c r="N16" s="223" t="s">
        <v>316</v>
      </c>
      <c r="O16" s="222"/>
      <c r="P16" s="222"/>
      <c r="Q16" s="223" t="s">
        <v>316</v>
      </c>
      <c r="R16" s="223" t="s">
        <v>316</v>
      </c>
      <c r="S16" s="223" t="s">
        <v>316</v>
      </c>
      <c r="T16" s="223" t="s">
        <v>316</v>
      </c>
      <c r="U16" s="223" t="s">
        <v>316</v>
      </c>
      <c r="V16" s="222"/>
      <c r="W16" s="222"/>
      <c r="X16" s="222">
        <v>0.2743055555555556</v>
      </c>
      <c r="Y16" s="222">
        <v>0.4131944444444444</v>
      </c>
      <c r="Z16" s="224">
        <v>0.16666666666666666</v>
      </c>
      <c r="AA16" s="222">
        <v>0.3263888888888889</v>
      </c>
      <c r="AB16" s="223" t="s">
        <v>316</v>
      </c>
      <c r="AC16" s="222"/>
      <c r="AD16" s="222"/>
      <c r="AE16" s="222">
        <v>0.39375</v>
      </c>
      <c r="AF16" s="222">
        <v>0.32222222222222224</v>
      </c>
      <c r="AG16" s="222">
        <v>0.3993055555555556</v>
      </c>
      <c r="AH16" s="222">
        <v>0.34444444444444444</v>
      </c>
      <c r="AI16" s="223" t="s">
        <v>316</v>
      </c>
    </row>
    <row r="17">
      <c r="A17" s="32"/>
      <c r="B17" s="145">
        <v>15.0</v>
      </c>
      <c r="C17" s="198" t="s">
        <v>390</v>
      </c>
      <c r="D17" s="22">
        <f t="shared" si="2"/>
        <v>5.957638889</v>
      </c>
      <c r="E17" s="222">
        <v>0.3680555555555556</v>
      </c>
      <c r="F17" s="222">
        <v>0.42430555555555555</v>
      </c>
      <c r="G17" s="222">
        <v>0.47638888888888886</v>
      </c>
      <c r="H17" s="244"/>
      <c r="I17" s="244"/>
      <c r="J17" s="222">
        <v>0.36319444444444443</v>
      </c>
      <c r="K17" s="222">
        <v>0.3590277777777778</v>
      </c>
      <c r="L17" s="222">
        <v>0.3659722222222222</v>
      </c>
      <c r="M17" s="222">
        <v>0.36666666666666664</v>
      </c>
      <c r="N17" s="223" t="s">
        <v>316</v>
      </c>
      <c r="O17" s="222"/>
      <c r="P17" s="222"/>
      <c r="Q17" s="223" t="s">
        <v>316</v>
      </c>
      <c r="R17" s="223" t="s">
        <v>316</v>
      </c>
      <c r="S17" s="223" t="s">
        <v>316</v>
      </c>
      <c r="T17" s="223" t="s">
        <v>316</v>
      </c>
      <c r="U17" s="223" t="s">
        <v>316</v>
      </c>
      <c r="V17" s="222"/>
      <c r="W17" s="222"/>
      <c r="X17" s="223" t="s">
        <v>269</v>
      </c>
      <c r="Y17" s="222">
        <v>0.4048611111111111</v>
      </c>
      <c r="Z17" s="222">
        <v>0.36666666666666664</v>
      </c>
      <c r="AA17" s="222">
        <v>0.4152777777777778</v>
      </c>
      <c r="AB17" s="224">
        <v>0.16666666666666666</v>
      </c>
      <c r="AC17" s="222"/>
      <c r="AD17" s="222"/>
      <c r="AE17" s="222">
        <v>0.41875</v>
      </c>
      <c r="AF17" s="222">
        <v>0.3972222222222222</v>
      </c>
      <c r="AG17" s="222">
        <v>0.43194444444444446</v>
      </c>
      <c r="AH17" s="222">
        <v>0.3993055555555556</v>
      </c>
      <c r="AI17" s="222">
        <v>0.23333333333333334</v>
      </c>
    </row>
    <row r="18">
      <c r="A18" s="32"/>
      <c r="B18" s="186">
        <v>16.0</v>
      </c>
      <c r="C18" s="198" t="s">
        <v>391</v>
      </c>
      <c r="D18" s="22">
        <f t="shared" si="2"/>
        <v>9.65625</v>
      </c>
      <c r="E18" s="222">
        <v>0.4048611111111111</v>
      </c>
      <c r="F18" s="222">
        <v>0.47152777777777777</v>
      </c>
      <c r="G18" s="222">
        <v>0.45069444444444445</v>
      </c>
      <c r="H18" s="244"/>
      <c r="I18" s="244"/>
      <c r="J18" s="222">
        <v>0.4479166666666667</v>
      </c>
      <c r="K18" s="222">
        <v>0.4847222222222222</v>
      </c>
      <c r="L18" s="222">
        <v>0.4395833333333333</v>
      </c>
      <c r="M18" s="222">
        <v>0.45555555555555555</v>
      </c>
      <c r="N18" s="224">
        <v>0.37430555555555556</v>
      </c>
      <c r="O18" s="222"/>
      <c r="P18" s="222"/>
      <c r="Q18" s="223" t="s">
        <v>320</v>
      </c>
      <c r="R18" s="222">
        <v>0.2881944444444444</v>
      </c>
      <c r="S18" s="222">
        <v>0.49722222222222223</v>
      </c>
      <c r="T18" s="222">
        <v>0.4201388888888889</v>
      </c>
      <c r="U18" s="222">
        <v>0.4444444444444444</v>
      </c>
      <c r="V18" s="222"/>
      <c r="W18" s="222"/>
      <c r="X18" s="222">
        <v>0.4284722222222222</v>
      </c>
      <c r="Y18" s="222">
        <v>0.44375</v>
      </c>
      <c r="Z18" s="222">
        <v>0.45</v>
      </c>
      <c r="AA18" s="222">
        <v>0.44513888888888886</v>
      </c>
      <c r="AB18" s="222">
        <v>0.46458333333333335</v>
      </c>
      <c r="AC18" s="222"/>
      <c r="AD18" s="222"/>
      <c r="AE18" s="222">
        <v>0.4777777777777778</v>
      </c>
      <c r="AF18" s="222">
        <v>0.4673611111111111</v>
      </c>
      <c r="AG18" s="222">
        <v>0.47430555555555554</v>
      </c>
      <c r="AH18" s="222">
        <v>0.3680555555555556</v>
      </c>
      <c r="AI18" s="222">
        <v>0.4576388888888889</v>
      </c>
    </row>
    <row r="19">
      <c r="A19" s="32"/>
      <c r="B19" s="186">
        <v>17.0</v>
      </c>
      <c r="C19" s="198" t="s">
        <v>392</v>
      </c>
      <c r="D19" s="22">
        <f t="shared" si="2"/>
        <v>5.804166667</v>
      </c>
      <c r="E19" s="222">
        <v>0.32430555555555557</v>
      </c>
      <c r="F19" s="224">
        <v>0.3638888888888889</v>
      </c>
      <c r="G19" s="222">
        <v>0.3909722222222222</v>
      </c>
      <c r="H19" s="244"/>
      <c r="I19" s="244"/>
      <c r="J19" s="223" t="s">
        <v>320</v>
      </c>
      <c r="K19" s="222">
        <v>0.35555555555555557</v>
      </c>
      <c r="L19" s="224">
        <v>0.16666666666666666</v>
      </c>
      <c r="M19" s="222">
        <v>0.3402777777777778</v>
      </c>
      <c r="N19" s="224">
        <v>0.24444444444444444</v>
      </c>
      <c r="O19" s="222"/>
      <c r="P19" s="222"/>
      <c r="Q19" s="223" t="s">
        <v>316</v>
      </c>
      <c r="R19" s="224">
        <v>0.16666666666666666</v>
      </c>
      <c r="S19" s="223" t="s">
        <v>316</v>
      </c>
      <c r="T19" s="223" t="s">
        <v>316</v>
      </c>
      <c r="U19" s="223" t="s">
        <v>316</v>
      </c>
      <c r="V19" s="222"/>
      <c r="W19" s="222"/>
      <c r="X19" s="222">
        <v>0.30486111111111114</v>
      </c>
      <c r="Y19" s="222">
        <v>0.35625</v>
      </c>
      <c r="Z19" s="222">
        <v>0.32013888888888886</v>
      </c>
      <c r="AA19" s="222">
        <v>0.40347222222222223</v>
      </c>
      <c r="AB19" s="224">
        <v>0.37569444444444444</v>
      </c>
      <c r="AC19" s="222"/>
      <c r="AD19" s="222"/>
      <c r="AE19" s="222">
        <v>0.18263888888888888</v>
      </c>
      <c r="AF19" s="222">
        <v>0.4166666666666667</v>
      </c>
      <c r="AG19" s="222">
        <v>0.41388888888888886</v>
      </c>
      <c r="AH19" s="222">
        <v>0.3548611111111111</v>
      </c>
      <c r="AI19" s="222">
        <v>0.3229166666666667</v>
      </c>
    </row>
    <row r="20">
      <c r="A20" s="32"/>
      <c r="B20" s="145">
        <v>18.0</v>
      </c>
      <c r="C20" s="198" t="s">
        <v>150</v>
      </c>
      <c r="D20" s="22">
        <f t="shared" si="2"/>
        <v>5.358333333</v>
      </c>
      <c r="E20" s="222">
        <v>0.38680555555555557</v>
      </c>
      <c r="F20" s="222">
        <v>0.3819444444444444</v>
      </c>
      <c r="G20" s="224">
        <v>0.16666666666666666</v>
      </c>
      <c r="H20" s="244"/>
      <c r="I20" s="244"/>
      <c r="J20" s="222">
        <v>0.3770833333333333</v>
      </c>
      <c r="K20" s="222">
        <v>0.40069444444444446</v>
      </c>
      <c r="L20" s="224">
        <v>0.16666666666666666</v>
      </c>
      <c r="M20" s="222">
        <v>0.375</v>
      </c>
      <c r="N20" s="224">
        <v>0.375</v>
      </c>
      <c r="O20" s="222"/>
      <c r="P20" s="222"/>
      <c r="Q20" s="223" t="s">
        <v>316</v>
      </c>
      <c r="R20" s="223" t="s">
        <v>316</v>
      </c>
      <c r="S20" s="222">
        <v>0.40555555555555556</v>
      </c>
      <c r="T20" s="223" t="s">
        <v>316</v>
      </c>
      <c r="U20" s="223" t="s">
        <v>316</v>
      </c>
      <c r="V20" s="222"/>
      <c r="W20" s="222"/>
      <c r="X20" s="222">
        <v>0.33125</v>
      </c>
      <c r="Y20" s="223" t="s">
        <v>316</v>
      </c>
      <c r="Z20" s="224">
        <v>0.34791666666666665</v>
      </c>
      <c r="AA20" s="222">
        <v>0.29791666666666666</v>
      </c>
      <c r="AB20" s="223" t="s">
        <v>316</v>
      </c>
      <c r="AC20" s="222"/>
      <c r="AD20" s="222"/>
      <c r="AE20" s="224">
        <v>0.45208333333333334</v>
      </c>
      <c r="AF20" s="222">
        <v>0.4513888888888889</v>
      </c>
      <c r="AG20" s="222">
        <v>0.4423611111111111</v>
      </c>
      <c r="AH20" s="223" t="s">
        <v>316</v>
      </c>
      <c r="AI20" s="223" t="s">
        <v>316</v>
      </c>
    </row>
    <row r="21">
      <c r="A21" s="32"/>
      <c r="B21" s="186">
        <v>19.0</v>
      </c>
      <c r="C21" s="200" t="s">
        <v>403</v>
      </c>
      <c r="D21" s="22">
        <f t="shared" si="2"/>
        <v>7.134027778</v>
      </c>
      <c r="E21" s="222">
        <v>0.4361111111111111</v>
      </c>
      <c r="F21" s="222">
        <v>0.3854166666666667</v>
      </c>
      <c r="G21" s="222">
        <v>0.4083333333333333</v>
      </c>
      <c r="H21" s="244"/>
      <c r="I21" s="244"/>
      <c r="J21" s="222">
        <v>0.3784722222222222</v>
      </c>
      <c r="K21" s="222">
        <v>0.3736111111111111</v>
      </c>
      <c r="L21" s="222">
        <v>0.40347222222222223</v>
      </c>
      <c r="M21" s="222">
        <v>0.38055555555555554</v>
      </c>
      <c r="N21" s="224">
        <v>0.4409722222222222</v>
      </c>
      <c r="O21" s="222"/>
      <c r="P21" s="222"/>
      <c r="Q21" s="223" t="s">
        <v>316</v>
      </c>
      <c r="R21" s="223" t="s">
        <v>316</v>
      </c>
      <c r="S21" s="223" t="s">
        <v>316</v>
      </c>
      <c r="T21" s="223" t="s">
        <v>316</v>
      </c>
      <c r="U21" s="224">
        <v>0.16666666666666666</v>
      </c>
      <c r="V21" s="222"/>
      <c r="W21" s="222"/>
      <c r="X21" s="222">
        <v>0.48055555555555557</v>
      </c>
      <c r="Y21" s="222">
        <v>0.38958333333333334</v>
      </c>
      <c r="Z21" s="222">
        <v>0.38958333333333334</v>
      </c>
      <c r="AA21" s="222">
        <v>0.40347222222222223</v>
      </c>
      <c r="AB21" s="222">
        <v>0.3715277777777778</v>
      </c>
      <c r="AC21" s="222"/>
      <c r="AD21" s="222"/>
      <c r="AE21" s="222">
        <v>0.41805555555555557</v>
      </c>
      <c r="AF21" s="222">
        <v>0.3951388888888889</v>
      </c>
      <c r="AG21" s="224">
        <v>0.16666666666666666</v>
      </c>
      <c r="AH21" s="222">
        <v>0.3763888888888889</v>
      </c>
      <c r="AI21" s="222">
        <v>0.36944444444444446</v>
      </c>
    </row>
    <row r="22">
      <c r="A22" s="32"/>
      <c r="B22" s="186">
        <v>20.0</v>
      </c>
      <c r="C22" s="200" t="s">
        <v>404</v>
      </c>
      <c r="D22" s="22">
        <f t="shared" si="2"/>
        <v>6.122222222</v>
      </c>
      <c r="E22" s="222">
        <v>0.3638888888888889</v>
      </c>
      <c r="F22" s="222">
        <v>0.35833333333333334</v>
      </c>
      <c r="G22" s="224">
        <v>0.3625</v>
      </c>
      <c r="H22" s="244"/>
      <c r="I22" s="244"/>
      <c r="J22" s="222">
        <v>0.3486111111111111</v>
      </c>
      <c r="K22" s="222">
        <v>0.37222222222222223</v>
      </c>
      <c r="L22" s="222">
        <v>0.36666666666666664</v>
      </c>
      <c r="M22" s="223" t="s">
        <v>269</v>
      </c>
      <c r="N22" s="224">
        <v>0.3715277777777778</v>
      </c>
      <c r="O22" s="222"/>
      <c r="P22" s="222"/>
      <c r="Q22" s="223" t="s">
        <v>316</v>
      </c>
      <c r="R22" s="223" t="s">
        <v>316</v>
      </c>
      <c r="S22" s="223" t="s">
        <v>316</v>
      </c>
      <c r="T22" s="222">
        <v>0.36180555555555555</v>
      </c>
      <c r="U22" s="224">
        <v>0.3125</v>
      </c>
      <c r="V22" s="222"/>
      <c r="W22" s="222"/>
      <c r="X22" s="222">
        <v>0.36319444444444443</v>
      </c>
      <c r="Y22" s="224">
        <v>0.37222222222222223</v>
      </c>
      <c r="Z22" s="222">
        <v>0.3625</v>
      </c>
      <c r="AA22" s="222">
        <v>0.3625</v>
      </c>
      <c r="AB22" s="223" t="s">
        <v>271</v>
      </c>
      <c r="AC22" s="222"/>
      <c r="AD22" s="222"/>
      <c r="AE22" s="222">
        <v>0.3680555555555556</v>
      </c>
      <c r="AF22" s="224">
        <v>0.36180555555555555</v>
      </c>
      <c r="AG22" s="224">
        <v>0.3597222222222222</v>
      </c>
      <c r="AH22" s="223" t="s">
        <v>316</v>
      </c>
      <c r="AI22" s="224">
        <v>0.3541666666666667</v>
      </c>
    </row>
    <row r="23">
      <c r="A23" s="32"/>
      <c r="B23" s="145">
        <v>21.0</v>
      </c>
      <c r="C23" s="200" t="s">
        <v>405</v>
      </c>
      <c r="D23" s="22">
        <f t="shared" si="2"/>
        <v>5.593055556</v>
      </c>
      <c r="E23" s="222">
        <v>0.3701388888888889</v>
      </c>
      <c r="F23" s="222">
        <v>0.37222222222222223</v>
      </c>
      <c r="G23" s="222">
        <v>0.3680555555555556</v>
      </c>
      <c r="H23" s="244"/>
      <c r="I23" s="244"/>
      <c r="J23" s="222">
        <v>0.29930555555555555</v>
      </c>
      <c r="K23" s="222">
        <v>0.3527777777777778</v>
      </c>
      <c r="L23" s="222">
        <v>0.37569444444444444</v>
      </c>
      <c r="M23" s="222">
        <v>0.3625</v>
      </c>
      <c r="N23" s="223" t="s">
        <v>316</v>
      </c>
      <c r="O23" s="222"/>
      <c r="P23" s="222"/>
      <c r="Q23" s="224">
        <v>0.16666666666666666</v>
      </c>
      <c r="R23" s="223" t="s">
        <v>316</v>
      </c>
      <c r="S23" s="223" t="s">
        <v>316</v>
      </c>
      <c r="T23" s="223" t="s">
        <v>316</v>
      </c>
      <c r="U23" s="223" t="s">
        <v>316</v>
      </c>
      <c r="V23" s="222"/>
      <c r="W23" s="222"/>
      <c r="X23" s="222">
        <v>0.3923611111111111</v>
      </c>
      <c r="Y23" s="222">
        <v>0.37083333333333335</v>
      </c>
      <c r="Z23" s="222">
        <v>0.33958333333333335</v>
      </c>
      <c r="AA23" s="222">
        <v>0.34930555555555554</v>
      </c>
      <c r="AB23" s="223" t="s">
        <v>316</v>
      </c>
      <c r="AC23" s="222"/>
      <c r="AD23" s="222"/>
      <c r="AE23" s="222">
        <v>0.39444444444444443</v>
      </c>
      <c r="AF23" s="224">
        <v>0.3638888888888889</v>
      </c>
      <c r="AG23" s="222">
        <v>0.35833333333333334</v>
      </c>
      <c r="AH23" s="222">
        <v>0.35694444444444445</v>
      </c>
      <c r="AI23" s="223" t="s">
        <v>269</v>
      </c>
    </row>
    <row r="24">
      <c r="A24" s="32"/>
      <c r="B24" s="186">
        <v>22.0</v>
      </c>
      <c r="C24" s="200" t="s">
        <v>406</v>
      </c>
      <c r="D24" s="22">
        <f t="shared" si="2"/>
        <v>5.168055556</v>
      </c>
      <c r="E24" s="222">
        <v>0.38680555555555557</v>
      </c>
      <c r="F24" s="222">
        <v>0.3958333333333333</v>
      </c>
      <c r="G24" s="223" t="s">
        <v>316</v>
      </c>
      <c r="H24" s="244"/>
      <c r="I24" s="244"/>
      <c r="J24" s="222">
        <v>0.5090277777777777</v>
      </c>
      <c r="K24" s="222">
        <v>0.39861111111111114</v>
      </c>
      <c r="L24" s="222">
        <v>0.41458333333333336</v>
      </c>
      <c r="M24" s="224">
        <v>0.4013888888888889</v>
      </c>
      <c r="N24" s="223" t="s">
        <v>316</v>
      </c>
      <c r="O24" s="222"/>
      <c r="P24" s="222"/>
      <c r="Q24" s="223" t="s">
        <v>316</v>
      </c>
      <c r="R24" s="223" t="s">
        <v>316</v>
      </c>
      <c r="S24" s="223" t="s">
        <v>316</v>
      </c>
      <c r="T24" s="223" t="s">
        <v>316</v>
      </c>
      <c r="U24" s="223" t="s">
        <v>316</v>
      </c>
      <c r="V24" s="222"/>
      <c r="W24" s="222"/>
      <c r="X24" s="222">
        <v>0.35555555555555557</v>
      </c>
      <c r="Y24" s="222">
        <v>0.39791666666666664</v>
      </c>
      <c r="Z24" s="222">
        <v>0.38055555555555554</v>
      </c>
      <c r="AA24" s="222">
        <v>0.3840277777777778</v>
      </c>
      <c r="AB24" s="223" t="s">
        <v>316</v>
      </c>
      <c r="AC24" s="222"/>
      <c r="AD24" s="222"/>
      <c r="AE24" s="222">
        <v>0.36319444444444443</v>
      </c>
      <c r="AF24" s="222">
        <v>0.3972222222222222</v>
      </c>
      <c r="AG24" s="224">
        <v>0.38333333333333336</v>
      </c>
      <c r="AH24" s="223" t="s">
        <v>316</v>
      </c>
      <c r="AI24" s="223" t="s">
        <v>316</v>
      </c>
    </row>
    <row r="25">
      <c r="A25" s="32"/>
      <c r="B25" s="186">
        <v>23.0</v>
      </c>
      <c r="C25" s="200" t="s">
        <v>407</v>
      </c>
      <c r="D25" s="22">
        <f t="shared" si="2"/>
        <v>6.802083333</v>
      </c>
      <c r="E25" s="224">
        <v>0.16666666666666666</v>
      </c>
      <c r="F25" s="222">
        <v>0.38680555555555557</v>
      </c>
      <c r="G25" s="222">
        <v>0.3972222222222222</v>
      </c>
      <c r="H25" s="244"/>
      <c r="I25" s="244"/>
      <c r="J25" s="222">
        <v>0.3958333333333333</v>
      </c>
      <c r="K25" s="222">
        <v>0.38472222222222224</v>
      </c>
      <c r="L25" s="222">
        <v>0.4111111111111111</v>
      </c>
      <c r="M25" s="222">
        <v>0.3909722222222222</v>
      </c>
      <c r="N25" s="224">
        <v>0.30486111111111114</v>
      </c>
      <c r="O25" s="222"/>
      <c r="P25" s="222"/>
      <c r="Q25" s="223" t="s">
        <v>316</v>
      </c>
      <c r="R25" s="223" t="s">
        <v>316</v>
      </c>
      <c r="S25" s="223" t="s">
        <v>316</v>
      </c>
      <c r="T25" s="223" t="s">
        <v>316</v>
      </c>
      <c r="U25" s="223" t="s">
        <v>316</v>
      </c>
      <c r="V25" s="222"/>
      <c r="W25" s="222"/>
      <c r="X25" s="222">
        <v>0.3909722222222222</v>
      </c>
      <c r="Y25" s="222">
        <v>0.3840277777777778</v>
      </c>
      <c r="Z25" s="222">
        <v>0.40208333333333335</v>
      </c>
      <c r="AA25" s="222">
        <v>0.38263888888888886</v>
      </c>
      <c r="AB25" s="222">
        <v>0.4236111111111111</v>
      </c>
      <c r="AC25" s="222"/>
      <c r="AD25" s="222"/>
      <c r="AE25" s="222">
        <v>0.40069444444444446</v>
      </c>
      <c r="AF25" s="222">
        <v>0.3909722222222222</v>
      </c>
      <c r="AG25" s="222">
        <v>0.3951388888888889</v>
      </c>
      <c r="AH25" s="222">
        <v>0.3819444444444444</v>
      </c>
      <c r="AI25" s="222">
        <v>0.41180555555555554</v>
      </c>
    </row>
    <row r="26">
      <c r="A26" s="32"/>
      <c r="B26" s="145">
        <v>24.0</v>
      </c>
      <c r="C26" s="200" t="s">
        <v>408</v>
      </c>
      <c r="D26" s="22">
        <f t="shared" si="2"/>
        <v>6.025694444</v>
      </c>
      <c r="E26" s="222">
        <v>0.4111111111111111</v>
      </c>
      <c r="F26" s="222">
        <v>0.3486111111111111</v>
      </c>
      <c r="G26" s="222">
        <v>0.3854166666666667</v>
      </c>
      <c r="H26" s="244"/>
      <c r="I26" s="244"/>
      <c r="J26" s="222">
        <v>0.35555555555555557</v>
      </c>
      <c r="K26" s="222">
        <v>0.3597222222222222</v>
      </c>
      <c r="L26" s="222">
        <v>0.16944444444444445</v>
      </c>
      <c r="M26" s="222">
        <v>0.38472222222222224</v>
      </c>
      <c r="N26" s="224">
        <v>0.3729166666666667</v>
      </c>
      <c r="O26" s="222"/>
      <c r="P26" s="222"/>
      <c r="Q26" s="223" t="s">
        <v>316</v>
      </c>
      <c r="R26" s="223" t="s">
        <v>316</v>
      </c>
      <c r="S26" s="223" t="s">
        <v>316</v>
      </c>
      <c r="T26" s="223" t="s">
        <v>316</v>
      </c>
      <c r="U26" s="223" t="s">
        <v>316</v>
      </c>
      <c r="V26" s="222"/>
      <c r="W26" s="222"/>
      <c r="X26" s="222">
        <v>0.3645833333333333</v>
      </c>
      <c r="Y26" s="222">
        <v>0.37777777777777777</v>
      </c>
      <c r="Z26" s="222">
        <v>0.36041666666666666</v>
      </c>
      <c r="AA26" s="222">
        <v>0.35138888888888886</v>
      </c>
      <c r="AB26" s="222">
        <v>0.27152777777777776</v>
      </c>
      <c r="AC26" s="222"/>
      <c r="AD26" s="222"/>
      <c r="AE26" s="222">
        <v>0.39861111111111114</v>
      </c>
      <c r="AF26" s="222">
        <v>0.39861111111111114</v>
      </c>
      <c r="AG26" s="222">
        <v>0.3423611111111111</v>
      </c>
      <c r="AH26" s="223" t="s">
        <v>269</v>
      </c>
      <c r="AI26" s="222">
        <v>0.3729166666666667</v>
      </c>
    </row>
    <row r="27">
      <c r="A27" s="32"/>
      <c r="B27" s="186">
        <v>25.0</v>
      </c>
      <c r="C27" s="200" t="s">
        <v>423</v>
      </c>
      <c r="D27" s="22">
        <f t="shared" si="2"/>
        <v>5.886111111</v>
      </c>
      <c r="E27" s="222">
        <v>0.22083333333333333</v>
      </c>
      <c r="F27" s="222">
        <v>0.38125</v>
      </c>
      <c r="G27" s="222">
        <v>0.3854166666666667</v>
      </c>
      <c r="H27" s="244"/>
      <c r="I27" s="244"/>
      <c r="J27" s="222">
        <v>0.36944444444444446</v>
      </c>
      <c r="K27" s="222">
        <v>0.3333333333333333</v>
      </c>
      <c r="L27" s="222">
        <v>0.3875</v>
      </c>
      <c r="M27" s="224">
        <v>0.16666666666666666</v>
      </c>
      <c r="N27" s="224">
        <v>0.3020833333333333</v>
      </c>
      <c r="O27" s="222"/>
      <c r="P27" s="222"/>
      <c r="Q27" s="223" t="s">
        <v>316</v>
      </c>
      <c r="R27" s="223" t="s">
        <v>316</v>
      </c>
      <c r="S27" s="223" t="s">
        <v>316</v>
      </c>
      <c r="T27" s="223" t="s">
        <v>316</v>
      </c>
      <c r="U27" s="223" t="s">
        <v>316</v>
      </c>
      <c r="V27" s="222"/>
      <c r="W27" s="222"/>
      <c r="X27" s="222">
        <v>0.3472222222222222</v>
      </c>
      <c r="Y27" s="222">
        <v>0.37222222222222223</v>
      </c>
      <c r="Z27" s="222">
        <v>0.3625</v>
      </c>
      <c r="AA27" s="222">
        <v>0.34791666666666665</v>
      </c>
      <c r="AB27" s="223" t="s">
        <v>271</v>
      </c>
      <c r="AC27" s="222"/>
      <c r="AD27" s="222"/>
      <c r="AE27" s="222">
        <v>0.3736111111111111</v>
      </c>
      <c r="AF27" s="222">
        <v>0.3784722222222222</v>
      </c>
      <c r="AG27" s="222">
        <v>0.38263888888888886</v>
      </c>
      <c r="AH27" s="222">
        <v>0.3902777777777778</v>
      </c>
      <c r="AI27" s="222">
        <v>0.38472222222222224</v>
      </c>
    </row>
    <row r="28">
      <c r="A28" s="32"/>
      <c r="B28" s="186">
        <v>26.0</v>
      </c>
      <c r="C28" s="200" t="s">
        <v>424</v>
      </c>
      <c r="D28" s="22">
        <f t="shared" si="2"/>
        <v>3.190277778</v>
      </c>
      <c r="E28" s="223" t="s">
        <v>425</v>
      </c>
      <c r="F28" s="222"/>
      <c r="G28" s="222"/>
      <c r="H28" s="244"/>
      <c r="I28" s="244"/>
      <c r="J28" s="224">
        <v>0.3625</v>
      </c>
      <c r="K28" s="224">
        <v>0.36666666666666664</v>
      </c>
      <c r="L28" s="223" t="s">
        <v>401</v>
      </c>
      <c r="M28" s="224">
        <v>0.16666666666666666</v>
      </c>
      <c r="N28" s="223" t="s">
        <v>316</v>
      </c>
      <c r="O28" s="222"/>
      <c r="P28" s="222"/>
      <c r="Q28" s="223" t="s">
        <v>316</v>
      </c>
      <c r="R28" s="223" t="s">
        <v>316</v>
      </c>
      <c r="S28" s="223" t="s">
        <v>316</v>
      </c>
      <c r="T28" s="223" t="s">
        <v>316</v>
      </c>
      <c r="U28" s="223" t="s">
        <v>316</v>
      </c>
      <c r="V28" s="222"/>
      <c r="W28" s="222"/>
      <c r="X28" s="224">
        <v>0.16666666666666666</v>
      </c>
      <c r="Y28" s="224">
        <v>0.16666666666666666</v>
      </c>
      <c r="Z28" s="222">
        <v>0.3902777777777778</v>
      </c>
      <c r="AA28" s="222">
        <v>0.3909722222222222</v>
      </c>
      <c r="AB28" s="223" t="s">
        <v>316</v>
      </c>
      <c r="AC28" s="222"/>
      <c r="AD28" s="222"/>
      <c r="AE28" s="223" t="s">
        <v>271</v>
      </c>
      <c r="AF28" s="222">
        <v>0.39791666666666664</v>
      </c>
      <c r="AG28" s="222">
        <v>0.4270833333333333</v>
      </c>
      <c r="AH28" s="222">
        <v>0.3548611111111111</v>
      </c>
      <c r="AI28" s="223" t="s">
        <v>316</v>
      </c>
    </row>
    <row r="29">
      <c r="A29" s="32"/>
      <c r="B29" s="145">
        <v>27.0</v>
      </c>
      <c r="C29" s="200" t="s">
        <v>426</v>
      </c>
      <c r="D29" s="22">
        <f t="shared" si="2"/>
        <v>4.1625</v>
      </c>
      <c r="E29" s="222"/>
      <c r="F29" s="222"/>
      <c r="G29" s="222"/>
      <c r="H29" s="244"/>
      <c r="I29" s="244"/>
      <c r="J29" s="222"/>
      <c r="K29" s="222"/>
      <c r="L29" s="222"/>
      <c r="M29" s="223"/>
      <c r="N29" s="244"/>
      <c r="O29" s="222"/>
      <c r="P29" s="222"/>
      <c r="Q29" s="222"/>
      <c r="R29" s="222"/>
      <c r="S29" s="224">
        <v>0.3763888888888889</v>
      </c>
      <c r="T29" s="224">
        <v>0.36666666666666664</v>
      </c>
      <c r="U29" s="224">
        <v>0.37569444444444444</v>
      </c>
      <c r="V29" s="222"/>
      <c r="W29" s="222"/>
      <c r="X29" s="224">
        <v>0.3763888888888889</v>
      </c>
      <c r="Y29" s="222">
        <v>0.3770833333333333</v>
      </c>
      <c r="Z29" s="222">
        <v>0.38125</v>
      </c>
      <c r="AA29" s="222">
        <v>0.3819444444444444</v>
      </c>
      <c r="AB29" s="222">
        <v>0.3840277777777778</v>
      </c>
      <c r="AC29" s="222"/>
      <c r="AD29" s="222"/>
      <c r="AE29" s="222">
        <v>0.38263888888888886</v>
      </c>
      <c r="AF29" s="222">
        <v>0.37222222222222223</v>
      </c>
      <c r="AG29" s="222">
        <v>0.38819444444444445</v>
      </c>
      <c r="AH29" s="223" t="s">
        <v>316</v>
      </c>
      <c r="AI29" s="223" t="s">
        <v>316</v>
      </c>
    </row>
    <row r="30">
      <c r="A30" s="32"/>
      <c r="B30" s="186">
        <v>28.0</v>
      </c>
      <c r="C30" s="200" t="s">
        <v>427</v>
      </c>
      <c r="D30" s="22">
        <f t="shared" si="2"/>
        <v>3.184027778</v>
      </c>
      <c r="E30" s="222"/>
      <c r="F30" s="222"/>
      <c r="G30" s="222"/>
      <c r="H30" s="244"/>
      <c r="I30" s="244"/>
      <c r="J30" s="222"/>
      <c r="K30" s="222"/>
      <c r="L30" s="222"/>
      <c r="M30" s="223"/>
      <c r="N30" s="244"/>
      <c r="O30" s="222"/>
      <c r="P30" s="222"/>
      <c r="Q30" s="222"/>
      <c r="R30" s="222"/>
      <c r="S30" s="222"/>
      <c r="T30" s="222"/>
      <c r="U30" s="222"/>
      <c r="V30" s="222"/>
      <c r="W30" s="222"/>
      <c r="X30" s="222">
        <v>0.2048611111111111</v>
      </c>
      <c r="Y30" s="222">
        <v>0.3798611111111111</v>
      </c>
      <c r="Z30" s="222">
        <v>0.38472222222222224</v>
      </c>
      <c r="AA30" s="222">
        <v>0.3763888888888889</v>
      </c>
      <c r="AB30" s="222">
        <v>0.3798611111111111</v>
      </c>
      <c r="AC30" s="222"/>
      <c r="AD30" s="222"/>
      <c r="AE30" s="222">
        <v>0.3854166666666667</v>
      </c>
      <c r="AF30" s="222">
        <v>0.33194444444444443</v>
      </c>
      <c r="AG30" s="222">
        <v>0.37430555555555556</v>
      </c>
      <c r="AH30" s="223" t="s">
        <v>330</v>
      </c>
      <c r="AI30" s="222">
        <v>0.36666666666666664</v>
      </c>
    </row>
    <row r="31">
      <c r="A31" s="32"/>
      <c r="B31" s="194">
        <v>29.0</v>
      </c>
      <c r="C31" s="200" t="s">
        <v>409</v>
      </c>
      <c r="D31" s="22">
        <f t="shared" si="2"/>
        <v>1.102083333</v>
      </c>
      <c r="E31" s="222"/>
      <c r="F31" s="222"/>
      <c r="G31" s="222"/>
      <c r="H31" s="244"/>
      <c r="I31" s="244"/>
      <c r="J31" s="222"/>
      <c r="K31" s="222"/>
      <c r="L31" s="222"/>
      <c r="M31" s="223"/>
      <c r="N31" s="244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4">
        <v>0.3541666666666667</v>
      </c>
      <c r="AF31" s="223" t="s">
        <v>330</v>
      </c>
      <c r="AG31" s="223" t="s">
        <v>330</v>
      </c>
      <c r="AH31" s="224">
        <v>0.3763888888888889</v>
      </c>
      <c r="AI31" s="224">
        <v>0.3715277777777778</v>
      </c>
    </row>
    <row r="32">
      <c r="A32" s="153" t="s">
        <v>274</v>
      </c>
      <c r="B32" s="139">
        <v>29.0</v>
      </c>
      <c r="C32" s="201" t="s">
        <v>393</v>
      </c>
      <c r="D32" s="22">
        <f t="shared" si="2"/>
        <v>5.627777778</v>
      </c>
      <c r="E32" s="222">
        <v>0.3423611111111111</v>
      </c>
      <c r="F32" s="222">
        <v>0.38263888888888886</v>
      </c>
      <c r="G32" s="222">
        <v>0.3486111111111111</v>
      </c>
      <c r="H32" s="244"/>
      <c r="I32" s="244"/>
      <c r="J32" s="223" t="s">
        <v>316</v>
      </c>
      <c r="K32" s="222">
        <v>0.4895833333333333</v>
      </c>
      <c r="L32" s="222">
        <v>0.36666666666666664</v>
      </c>
      <c r="M32" s="222">
        <v>0.35833333333333334</v>
      </c>
      <c r="N32" s="224">
        <v>0.2673611111111111</v>
      </c>
      <c r="O32" s="222"/>
      <c r="P32" s="222"/>
      <c r="Q32" s="222">
        <v>0.06805555555555555</v>
      </c>
      <c r="R32" s="223" t="s">
        <v>316</v>
      </c>
      <c r="S32" s="223" t="s">
        <v>316</v>
      </c>
      <c r="T32" s="223" t="s">
        <v>316</v>
      </c>
      <c r="U32" s="223" t="s">
        <v>316</v>
      </c>
      <c r="V32" s="222"/>
      <c r="W32" s="222"/>
      <c r="X32" s="222">
        <v>0.37777777777777777</v>
      </c>
      <c r="Y32" s="222">
        <v>0.39375</v>
      </c>
      <c r="Z32" s="222">
        <v>0.40208333333333335</v>
      </c>
      <c r="AA32" s="222">
        <v>0.3993055555555556</v>
      </c>
      <c r="AB32" s="223" t="s">
        <v>316</v>
      </c>
      <c r="AC32" s="222"/>
      <c r="AD32" s="222"/>
      <c r="AE32" s="222">
        <v>0.35208333333333336</v>
      </c>
      <c r="AF32" s="222">
        <v>0.35347222222222224</v>
      </c>
      <c r="AG32" s="223" t="s">
        <v>315</v>
      </c>
      <c r="AH32" s="222">
        <v>0.38333333333333336</v>
      </c>
      <c r="AI32" s="222">
        <v>0.3423611111111111</v>
      </c>
    </row>
    <row r="33">
      <c r="A33" s="32"/>
      <c r="B33" s="188">
        <v>30.0</v>
      </c>
      <c r="C33" s="201" t="s">
        <v>213</v>
      </c>
      <c r="D33" s="22">
        <f t="shared" si="2"/>
        <v>2.439583333</v>
      </c>
      <c r="E33" s="222">
        <v>0.3958333333333333</v>
      </c>
      <c r="F33" s="222">
        <v>0.3</v>
      </c>
      <c r="G33" s="223" t="s">
        <v>316</v>
      </c>
      <c r="H33" s="244"/>
      <c r="I33" s="244"/>
      <c r="J33" s="223" t="s">
        <v>316</v>
      </c>
      <c r="K33" s="223" t="s">
        <v>316</v>
      </c>
      <c r="L33" s="222">
        <v>0.3701388888888889</v>
      </c>
      <c r="M33" s="222">
        <v>0.31875</v>
      </c>
      <c r="N33" s="223" t="s">
        <v>316</v>
      </c>
      <c r="O33" s="222"/>
      <c r="P33" s="222"/>
      <c r="Q33" s="223" t="s">
        <v>316</v>
      </c>
      <c r="R33" s="223" t="s">
        <v>316</v>
      </c>
      <c r="S33" s="223" t="s">
        <v>316</v>
      </c>
      <c r="T33" s="223" t="s">
        <v>316</v>
      </c>
      <c r="U33" s="223" t="s">
        <v>316</v>
      </c>
      <c r="V33" s="222"/>
      <c r="W33" s="222"/>
      <c r="X33" s="223" t="s">
        <v>316</v>
      </c>
      <c r="Y33" s="223" t="s">
        <v>316</v>
      </c>
      <c r="Z33" s="224">
        <v>0.35138888888888886</v>
      </c>
      <c r="AA33" s="223" t="s">
        <v>269</v>
      </c>
      <c r="AB33" s="223" t="s">
        <v>316</v>
      </c>
      <c r="AC33" s="222"/>
      <c r="AD33" s="222"/>
      <c r="AE33" s="223" t="s">
        <v>316</v>
      </c>
      <c r="AF33" s="223" t="s">
        <v>316</v>
      </c>
      <c r="AG33" s="222">
        <v>0.35347222222222224</v>
      </c>
      <c r="AH33" s="222">
        <v>0.35</v>
      </c>
      <c r="AI33" s="223" t="s">
        <v>316</v>
      </c>
    </row>
    <row r="34">
      <c r="A34" s="32"/>
      <c r="B34" s="139">
        <v>31.0</v>
      </c>
      <c r="C34" s="201" t="s">
        <v>54</v>
      </c>
      <c r="D34" s="22">
        <f t="shared" si="2"/>
        <v>2.095833333</v>
      </c>
      <c r="E34" s="223" t="s">
        <v>316</v>
      </c>
      <c r="F34" s="223" t="s">
        <v>316</v>
      </c>
      <c r="G34" s="223" t="s">
        <v>316</v>
      </c>
      <c r="H34" s="244"/>
      <c r="I34" s="244"/>
      <c r="J34" s="224">
        <v>0.16666666666666666</v>
      </c>
      <c r="K34" s="222">
        <v>0.42083333333333334</v>
      </c>
      <c r="L34" s="224">
        <v>0.16666666666666666</v>
      </c>
      <c r="M34" s="223" t="s">
        <v>316</v>
      </c>
      <c r="N34" s="223" t="s">
        <v>316</v>
      </c>
      <c r="O34" s="222"/>
      <c r="P34" s="222"/>
      <c r="Q34" s="223" t="s">
        <v>316</v>
      </c>
      <c r="R34" s="223" t="s">
        <v>316</v>
      </c>
      <c r="S34" s="223" t="s">
        <v>316</v>
      </c>
      <c r="T34" s="223" t="s">
        <v>316</v>
      </c>
      <c r="U34" s="223" t="s">
        <v>316</v>
      </c>
      <c r="V34" s="222"/>
      <c r="W34" s="222"/>
      <c r="X34" s="222">
        <v>0.33402777777777776</v>
      </c>
      <c r="Y34" s="222">
        <v>0.32708333333333334</v>
      </c>
      <c r="Z34" s="223" t="s">
        <v>316</v>
      </c>
      <c r="AA34" s="223" t="s">
        <v>316</v>
      </c>
      <c r="AB34" s="223" t="s">
        <v>316</v>
      </c>
      <c r="AC34" s="222"/>
      <c r="AD34" s="222"/>
      <c r="AE34" s="224">
        <v>0.3402777777777778</v>
      </c>
      <c r="AF34" s="222">
        <v>0.3402777777777778</v>
      </c>
      <c r="AG34" s="223" t="s">
        <v>316</v>
      </c>
      <c r="AH34" s="223" t="s">
        <v>316</v>
      </c>
      <c r="AI34" s="223" t="s">
        <v>316</v>
      </c>
    </row>
    <row r="35">
      <c r="A35" s="32"/>
      <c r="B35" s="139">
        <v>32.0</v>
      </c>
      <c r="C35" s="201" t="s">
        <v>159</v>
      </c>
      <c r="D35" s="22">
        <f t="shared" si="2"/>
        <v>1.929166667</v>
      </c>
      <c r="E35" s="222">
        <v>0.37083333333333335</v>
      </c>
      <c r="F35" s="223" t="s">
        <v>316</v>
      </c>
      <c r="G35" s="223" t="s">
        <v>316</v>
      </c>
      <c r="H35" s="244"/>
      <c r="I35" s="244"/>
      <c r="J35" s="223" t="s">
        <v>316</v>
      </c>
      <c r="K35" s="222">
        <v>0.3701388888888889</v>
      </c>
      <c r="L35" s="222">
        <v>0.38333333333333336</v>
      </c>
      <c r="M35" s="223" t="s">
        <v>316</v>
      </c>
      <c r="N35" s="223" t="s">
        <v>316</v>
      </c>
      <c r="O35" s="222"/>
      <c r="P35" s="222"/>
      <c r="Q35" s="223" t="s">
        <v>316</v>
      </c>
      <c r="R35" s="223" t="s">
        <v>316</v>
      </c>
      <c r="S35" s="223" t="s">
        <v>316</v>
      </c>
      <c r="T35" s="223" t="s">
        <v>316</v>
      </c>
      <c r="U35" s="223" t="s">
        <v>316</v>
      </c>
      <c r="V35" s="222"/>
      <c r="W35" s="222"/>
      <c r="X35" s="223" t="s">
        <v>271</v>
      </c>
      <c r="Y35" s="223" t="s">
        <v>271</v>
      </c>
      <c r="Z35" s="223" t="s">
        <v>316</v>
      </c>
      <c r="AA35" s="223" t="s">
        <v>316</v>
      </c>
      <c r="AB35" s="223" t="s">
        <v>316</v>
      </c>
      <c r="AC35" s="222"/>
      <c r="AD35" s="222"/>
      <c r="AE35" s="223" t="s">
        <v>316</v>
      </c>
      <c r="AF35" s="222">
        <v>0.4354166666666667</v>
      </c>
      <c r="AG35" s="224">
        <v>0.36944444444444446</v>
      </c>
      <c r="AH35" s="223" t="s">
        <v>316</v>
      </c>
      <c r="AI35" s="223" t="s">
        <v>316</v>
      </c>
    </row>
    <row r="36">
      <c r="A36" s="32"/>
      <c r="B36" s="188">
        <v>33.0</v>
      </c>
      <c r="C36" s="201" t="s">
        <v>156</v>
      </c>
      <c r="D36" s="22">
        <f t="shared" si="2"/>
        <v>2.954861111</v>
      </c>
      <c r="E36" s="223" t="s">
        <v>316</v>
      </c>
      <c r="F36" s="222">
        <v>0.45069444444444445</v>
      </c>
      <c r="G36" s="223" t="s">
        <v>316</v>
      </c>
      <c r="H36" s="244"/>
      <c r="I36" s="244"/>
      <c r="J36" s="222">
        <v>0.3659722222222222</v>
      </c>
      <c r="K36" s="223"/>
      <c r="L36" s="223" t="s">
        <v>316</v>
      </c>
      <c r="M36" s="222">
        <v>0.36666666666666664</v>
      </c>
      <c r="N36" s="223" t="s">
        <v>316</v>
      </c>
      <c r="O36" s="222"/>
      <c r="P36" s="222"/>
      <c r="Q36" s="223" t="s">
        <v>316</v>
      </c>
      <c r="R36" s="223" t="s">
        <v>316</v>
      </c>
      <c r="S36" s="223" t="s">
        <v>316</v>
      </c>
      <c r="T36" s="223" t="s">
        <v>316</v>
      </c>
      <c r="U36" s="223" t="s">
        <v>316</v>
      </c>
      <c r="V36" s="222"/>
      <c r="W36" s="222"/>
      <c r="X36" s="222">
        <v>0.40208333333333335</v>
      </c>
      <c r="Y36" s="223" t="s">
        <v>316</v>
      </c>
      <c r="Z36" s="223" t="s">
        <v>316</v>
      </c>
      <c r="AA36" s="222">
        <v>0.39861111111111114</v>
      </c>
      <c r="AB36" s="223" t="s">
        <v>316</v>
      </c>
      <c r="AC36" s="222"/>
      <c r="AD36" s="222"/>
      <c r="AE36" s="224">
        <v>0.5541666666666667</v>
      </c>
      <c r="AF36" s="223" t="s">
        <v>269</v>
      </c>
      <c r="AG36" s="223" t="s">
        <v>316</v>
      </c>
      <c r="AH36" s="222">
        <v>0.4166666666666667</v>
      </c>
      <c r="AI36" s="223" t="s">
        <v>316</v>
      </c>
    </row>
    <row r="37">
      <c r="A37" s="32"/>
      <c r="B37" s="139">
        <v>34.0</v>
      </c>
      <c r="C37" s="201" t="s">
        <v>57</v>
      </c>
      <c r="D37" s="22">
        <f t="shared" si="2"/>
        <v>2.946527778</v>
      </c>
      <c r="E37" s="222">
        <v>0.3375</v>
      </c>
      <c r="F37" s="223" t="s">
        <v>316</v>
      </c>
      <c r="G37" s="223" t="s">
        <v>316</v>
      </c>
      <c r="H37" s="244"/>
      <c r="I37" s="244"/>
      <c r="J37" s="222">
        <v>0.34791666666666665</v>
      </c>
      <c r="K37" s="223" t="s">
        <v>316</v>
      </c>
      <c r="L37" s="222">
        <v>0.41805555555555557</v>
      </c>
      <c r="M37" s="223" t="s">
        <v>316</v>
      </c>
      <c r="N37" s="223" t="s">
        <v>316</v>
      </c>
      <c r="O37" s="222"/>
      <c r="P37" s="222"/>
      <c r="Q37" s="224">
        <v>0.38333333333333336</v>
      </c>
      <c r="R37" s="223" t="s">
        <v>316</v>
      </c>
      <c r="S37" s="224">
        <v>0.16666666666666666</v>
      </c>
      <c r="T37" s="223" t="s">
        <v>316</v>
      </c>
      <c r="U37" s="223" t="s">
        <v>316</v>
      </c>
      <c r="V37" s="222"/>
      <c r="W37" s="222"/>
      <c r="X37" s="222">
        <v>0.36875</v>
      </c>
      <c r="Y37" s="223" t="s">
        <v>316</v>
      </c>
      <c r="Z37" s="224">
        <v>0.3145833333333333</v>
      </c>
      <c r="AA37" s="223" t="s">
        <v>316</v>
      </c>
      <c r="AB37" s="223" t="s">
        <v>316</v>
      </c>
      <c r="AC37" s="222"/>
      <c r="AD37" s="222"/>
      <c r="AE37" s="224">
        <v>0.20972222222222223</v>
      </c>
      <c r="AF37" s="223" t="s">
        <v>316</v>
      </c>
      <c r="AG37" s="222">
        <v>0.4</v>
      </c>
      <c r="AH37" s="223" t="s">
        <v>316</v>
      </c>
      <c r="AI37" s="223" t="s">
        <v>316</v>
      </c>
    </row>
    <row r="38">
      <c r="A38" s="32"/>
      <c r="B38" s="139">
        <v>35.0</v>
      </c>
      <c r="C38" s="201" t="s">
        <v>263</v>
      </c>
      <c r="D38" s="22">
        <f t="shared" si="2"/>
        <v>3.552777778</v>
      </c>
      <c r="E38" s="222">
        <v>0.3229166666666667</v>
      </c>
      <c r="F38" s="222">
        <v>0.4048611111111111</v>
      </c>
      <c r="G38" s="223" t="s">
        <v>316</v>
      </c>
      <c r="H38" s="244"/>
      <c r="I38" s="244"/>
      <c r="J38" s="222">
        <v>0.2569444444444444</v>
      </c>
      <c r="K38" s="222">
        <v>0.3701388888888889</v>
      </c>
      <c r="L38" s="223" t="s">
        <v>316</v>
      </c>
      <c r="M38" s="222">
        <v>0.34375</v>
      </c>
      <c r="N38" s="223" t="s">
        <v>316</v>
      </c>
      <c r="O38" s="222"/>
      <c r="P38" s="222"/>
      <c r="Q38" s="223" t="s">
        <v>316</v>
      </c>
      <c r="R38" s="223" t="s">
        <v>316</v>
      </c>
      <c r="S38" s="223" t="s">
        <v>316</v>
      </c>
      <c r="T38" s="223" t="s">
        <v>316</v>
      </c>
      <c r="U38" s="223" t="s">
        <v>316</v>
      </c>
      <c r="V38" s="222"/>
      <c r="W38" s="222"/>
      <c r="X38" s="223" t="s">
        <v>316</v>
      </c>
      <c r="Y38" s="222">
        <v>0.34097222222222223</v>
      </c>
      <c r="Z38" s="222">
        <v>0.3013888888888889</v>
      </c>
      <c r="AA38" s="222">
        <v>0.33541666666666664</v>
      </c>
      <c r="AB38" s="223" t="s">
        <v>316</v>
      </c>
      <c r="AC38" s="222"/>
      <c r="AD38" s="222"/>
      <c r="AE38" s="222">
        <v>0.34652777777777777</v>
      </c>
      <c r="AF38" s="222">
        <v>0.26458333333333334</v>
      </c>
      <c r="AG38" s="223" t="s">
        <v>269</v>
      </c>
      <c r="AH38" s="222">
        <v>0.2652777777777778</v>
      </c>
      <c r="AI38" s="223" t="s">
        <v>316</v>
      </c>
    </row>
    <row r="39">
      <c r="A39" s="32"/>
      <c r="B39" s="188">
        <v>36.0</v>
      </c>
      <c r="C39" s="202" t="s">
        <v>339</v>
      </c>
      <c r="D39" s="22">
        <f t="shared" si="2"/>
        <v>4.336805556</v>
      </c>
      <c r="E39" s="222">
        <v>0.33611111111111114</v>
      </c>
      <c r="F39" s="222">
        <v>0.2965277777777778</v>
      </c>
      <c r="G39" s="223" t="s">
        <v>316</v>
      </c>
      <c r="H39" s="244"/>
      <c r="I39" s="244"/>
      <c r="J39" s="222">
        <v>0.3111111111111111</v>
      </c>
      <c r="K39" s="222">
        <v>0.37083333333333335</v>
      </c>
      <c r="L39" s="224">
        <v>0.5520833333333334</v>
      </c>
      <c r="M39" s="223" t="s">
        <v>269</v>
      </c>
      <c r="N39" s="223" t="s">
        <v>316</v>
      </c>
      <c r="O39" s="222"/>
      <c r="P39" s="222"/>
      <c r="Q39" s="222">
        <v>0.3472222222222222</v>
      </c>
      <c r="R39" s="223" t="s">
        <v>316</v>
      </c>
      <c r="S39" s="223" t="s">
        <v>316</v>
      </c>
      <c r="T39" s="223" t="s">
        <v>316</v>
      </c>
      <c r="U39" s="223" t="s">
        <v>316</v>
      </c>
      <c r="V39" s="222"/>
      <c r="W39" s="222"/>
      <c r="X39" s="222">
        <v>0.35694444444444445</v>
      </c>
      <c r="Y39" s="222">
        <v>0.29791666666666666</v>
      </c>
      <c r="Z39" s="222">
        <v>0.33194444444444443</v>
      </c>
      <c r="AA39" s="222">
        <v>0.3715277777777778</v>
      </c>
      <c r="AB39" s="223" t="s">
        <v>316</v>
      </c>
      <c r="AC39" s="222"/>
      <c r="AD39" s="222"/>
      <c r="AE39" s="223" t="s">
        <v>316</v>
      </c>
      <c r="AF39" s="222">
        <v>0.43194444444444446</v>
      </c>
      <c r="AG39" s="222">
        <v>0.3326388888888889</v>
      </c>
      <c r="AH39" s="223" t="s">
        <v>316</v>
      </c>
      <c r="AI39" s="223" t="s">
        <v>316</v>
      </c>
    </row>
    <row r="40">
      <c r="A40" s="32"/>
      <c r="B40" s="139">
        <v>37.0</v>
      </c>
      <c r="C40" s="201" t="s">
        <v>257</v>
      </c>
      <c r="D40" s="22">
        <f t="shared" si="2"/>
        <v>1.388888889</v>
      </c>
      <c r="E40" s="224">
        <v>0.16666666666666666</v>
      </c>
      <c r="F40" s="223" t="s">
        <v>316</v>
      </c>
      <c r="G40" s="223" t="s">
        <v>316</v>
      </c>
      <c r="H40" s="244"/>
      <c r="I40" s="244"/>
      <c r="J40" s="222">
        <v>0.3451388888888889</v>
      </c>
      <c r="K40" s="223" t="s">
        <v>316</v>
      </c>
      <c r="L40" s="222">
        <v>0.34652777777777777</v>
      </c>
      <c r="M40" s="223" t="s">
        <v>316</v>
      </c>
      <c r="N40" s="223" t="s">
        <v>316</v>
      </c>
      <c r="O40" s="222"/>
      <c r="P40" s="222"/>
      <c r="Q40" s="223" t="s">
        <v>316</v>
      </c>
      <c r="R40" s="223" t="s">
        <v>316</v>
      </c>
      <c r="S40" s="223" t="s">
        <v>316</v>
      </c>
      <c r="T40" s="223" t="s">
        <v>316</v>
      </c>
      <c r="U40" s="223" t="s">
        <v>316</v>
      </c>
      <c r="V40" s="222"/>
      <c r="W40" s="222"/>
      <c r="X40" s="224">
        <v>0.16666666666666666</v>
      </c>
      <c r="Y40" s="223" t="s">
        <v>316</v>
      </c>
      <c r="Z40" s="223" t="s">
        <v>269</v>
      </c>
      <c r="AA40" s="223" t="s">
        <v>316</v>
      </c>
      <c r="AB40" s="223" t="s">
        <v>316</v>
      </c>
      <c r="AC40" s="222"/>
      <c r="AD40" s="222"/>
      <c r="AE40" s="223" t="s">
        <v>316</v>
      </c>
      <c r="AF40" s="223" t="s">
        <v>316</v>
      </c>
      <c r="AG40" s="222">
        <v>0.3638888888888889</v>
      </c>
      <c r="AH40" s="223" t="s">
        <v>316</v>
      </c>
      <c r="AI40" s="223" t="s">
        <v>316</v>
      </c>
    </row>
    <row r="41">
      <c r="A41" s="32"/>
      <c r="B41" s="189">
        <v>38.0</v>
      </c>
      <c r="C41" s="203" t="s">
        <v>132</v>
      </c>
      <c r="D41" s="22">
        <f t="shared" si="2"/>
        <v>4.998611111</v>
      </c>
      <c r="E41" s="222">
        <v>0.24861111111111112</v>
      </c>
      <c r="F41" s="222">
        <v>0.41597222222222224</v>
      </c>
      <c r="G41" s="223" t="s">
        <v>316</v>
      </c>
      <c r="H41" s="244"/>
      <c r="I41" s="244"/>
      <c r="J41" s="222">
        <v>0.5055555555555555</v>
      </c>
      <c r="K41" s="222">
        <v>0.3701388888888889</v>
      </c>
      <c r="L41" s="224">
        <v>0.45</v>
      </c>
      <c r="M41" s="224">
        <v>0.4166666666666667</v>
      </c>
      <c r="N41" s="223" t="s">
        <v>316</v>
      </c>
      <c r="O41" s="222"/>
      <c r="P41" s="222"/>
      <c r="Q41" s="223" t="s">
        <v>316</v>
      </c>
      <c r="R41" s="223" t="s">
        <v>316</v>
      </c>
      <c r="S41" s="223" t="s">
        <v>316</v>
      </c>
      <c r="T41" s="223" t="s">
        <v>316</v>
      </c>
      <c r="U41" s="223" t="s">
        <v>316</v>
      </c>
      <c r="V41" s="222"/>
      <c r="W41" s="222"/>
      <c r="X41" s="222">
        <v>0.35694444444444445</v>
      </c>
      <c r="Y41" s="222">
        <v>0.3972222222222222</v>
      </c>
      <c r="Z41" s="224">
        <v>0.4125</v>
      </c>
      <c r="AA41" s="222">
        <v>0.3611111111111111</v>
      </c>
      <c r="AB41" s="223" t="s">
        <v>316</v>
      </c>
      <c r="AC41" s="222"/>
      <c r="AD41" s="222"/>
      <c r="AE41" s="224">
        <v>0.31180555555555556</v>
      </c>
      <c r="AF41" s="222">
        <v>0.4340277777777778</v>
      </c>
      <c r="AG41" s="223" t="s">
        <v>316</v>
      </c>
      <c r="AH41" s="222">
        <v>0.31805555555555554</v>
      </c>
      <c r="AI41" s="223" t="s">
        <v>316</v>
      </c>
    </row>
    <row r="42">
      <c r="A42" s="32"/>
      <c r="B42" s="187">
        <v>39.0</v>
      </c>
      <c r="C42" s="203" t="s">
        <v>99</v>
      </c>
      <c r="D42" s="22">
        <f t="shared" si="2"/>
        <v>4.008333333</v>
      </c>
      <c r="E42" s="222">
        <v>0.3159722222222222</v>
      </c>
      <c r="F42" s="222">
        <v>0.44722222222222224</v>
      </c>
      <c r="G42" s="223" t="s">
        <v>316</v>
      </c>
      <c r="H42" s="244"/>
      <c r="I42" s="244"/>
      <c r="J42" s="223" t="s">
        <v>316</v>
      </c>
      <c r="K42" s="222">
        <v>0.45555555555555555</v>
      </c>
      <c r="L42" s="224">
        <v>0.5</v>
      </c>
      <c r="M42" s="222">
        <v>0.37430555555555556</v>
      </c>
      <c r="N42" s="223" t="s">
        <v>316</v>
      </c>
      <c r="O42" s="222"/>
      <c r="P42" s="222"/>
      <c r="Q42" s="223" t="s">
        <v>316</v>
      </c>
      <c r="R42" s="223" t="s">
        <v>316</v>
      </c>
      <c r="S42" s="223" t="s">
        <v>316</v>
      </c>
      <c r="T42" s="223" t="s">
        <v>316</v>
      </c>
      <c r="U42" s="223" t="s">
        <v>316</v>
      </c>
      <c r="V42" s="222"/>
      <c r="W42" s="222"/>
      <c r="X42" s="222">
        <v>0.30972222222222223</v>
      </c>
      <c r="Y42" s="222">
        <v>0.2972222222222222</v>
      </c>
      <c r="Z42" s="224">
        <v>0.43680555555555556</v>
      </c>
      <c r="AA42" s="223" t="s">
        <v>316</v>
      </c>
      <c r="AB42" s="223" t="s">
        <v>316</v>
      </c>
      <c r="AC42" s="222"/>
      <c r="AD42" s="222"/>
      <c r="AE42" s="224">
        <v>0.3020833333333333</v>
      </c>
      <c r="AF42" s="222">
        <v>0.29097222222222224</v>
      </c>
      <c r="AG42" s="222">
        <v>0.27847222222222223</v>
      </c>
      <c r="AH42" s="223" t="s">
        <v>316</v>
      </c>
      <c r="AI42" s="223" t="s">
        <v>316</v>
      </c>
    </row>
    <row r="43">
      <c r="A43" s="32"/>
      <c r="B43" s="189">
        <v>40.0</v>
      </c>
      <c r="C43" s="203" t="s">
        <v>93</v>
      </c>
      <c r="D43" s="22">
        <f t="shared" si="2"/>
        <v>5.9875</v>
      </c>
      <c r="E43" s="222">
        <v>0.39305555555555555</v>
      </c>
      <c r="F43" s="222">
        <v>0.49583333333333335</v>
      </c>
      <c r="G43" s="223" t="s">
        <v>316</v>
      </c>
      <c r="H43" s="244"/>
      <c r="I43" s="244"/>
      <c r="J43" s="222">
        <v>0.42986111111111114</v>
      </c>
      <c r="K43" s="222">
        <v>0.35694444444444445</v>
      </c>
      <c r="L43" s="222">
        <v>0.37083333333333335</v>
      </c>
      <c r="M43" s="222">
        <v>0.4409722222222222</v>
      </c>
      <c r="N43" s="223" t="s">
        <v>316</v>
      </c>
      <c r="O43" s="222"/>
      <c r="P43" s="222"/>
      <c r="Q43" s="223" t="s">
        <v>316</v>
      </c>
      <c r="R43" s="223" t="s">
        <v>316</v>
      </c>
      <c r="S43" s="223" t="s">
        <v>316</v>
      </c>
      <c r="T43" s="223" t="s">
        <v>316</v>
      </c>
      <c r="U43" s="223" t="s">
        <v>316</v>
      </c>
      <c r="V43" s="222"/>
      <c r="W43" s="222"/>
      <c r="X43" s="224">
        <v>0.16666666666666666</v>
      </c>
      <c r="Y43" s="222">
        <v>0.4479166666666667</v>
      </c>
      <c r="Z43" s="224">
        <v>0.45</v>
      </c>
      <c r="AA43" s="222">
        <v>0.49027777777777776</v>
      </c>
      <c r="AB43" s="222">
        <v>0.4666666666666667</v>
      </c>
      <c r="AC43" s="222"/>
      <c r="AD43" s="222"/>
      <c r="AE43" s="224">
        <v>0.4423611111111111</v>
      </c>
      <c r="AF43" s="222">
        <v>0.4423611111111111</v>
      </c>
      <c r="AG43" s="224">
        <v>0.16666666666666666</v>
      </c>
      <c r="AH43" s="222">
        <v>0.4270833333333333</v>
      </c>
      <c r="AI43" s="223" t="s">
        <v>316</v>
      </c>
    </row>
    <row r="44">
      <c r="A44" s="32"/>
      <c r="B44" s="189">
        <v>41.0</v>
      </c>
      <c r="C44" s="203" t="s">
        <v>135</v>
      </c>
      <c r="D44" s="22">
        <f t="shared" si="2"/>
        <v>4.026388889</v>
      </c>
      <c r="E44" s="222">
        <v>0.45</v>
      </c>
      <c r="F44" s="223" t="s">
        <v>269</v>
      </c>
      <c r="G44" s="223" t="s">
        <v>316</v>
      </c>
      <c r="H44" s="244"/>
      <c r="I44" s="244"/>
      <c r="J44" s="222">
        <v>0.41875</v>
      </c>
      <c r="K44" s="223" t="s">
        <v>316</v>
      </c>
      <c r="L44" s="223" t="s">
        <v>269</v>
      </c>
      <c r="M44" s="222">
        <v>0.41805555555555557</v>
      </c>
      <c r="N44" s="223" t="s">
        <v>316</v>
      </c>
      <c r="O44" s="222"/>
      <c r="P44" s="222"/>
      <c r="Q44" s="223" t="s">
        <v>316</v>
      </c>
      <c r="R44" s="223" t="s">
        <v>316</v>
      </c>
      <c r="S44" s="223" t="s">
        <v>316</v>
      </c>
      <c r="T44" s="223" t="s">
        <v>316</v>
      </c>
      <c r="U44" s="223" t="s">
        <v>316</v>
      </c>
      <c r="V44" s="222"/>
      <c r="W44" s="222"/>
      <c r="X44" s="224">
        <v>0.16666666666666666</v>
      </c>
      <c r="Y44" s="222">
        <v>0.4597222222222222</v>
      </c>
      <c r="Z44" s="224">
        <v>0.45208333333333334</v>
      </c>
      <c r="AA44" s="222">
        <v>0.46805555555555556</v>
      </c>
      <c r="AB44" s="223" t="s">
        <v>316</v>
      </c>
      <c r="AC44" s="222"/>
      <c r="AD44" s="222"/>
      <c r="AE44" s="224">
        <v>0.425</v>
      </c>
      <c r="AF44" s="222">
        <v>0.38472222222222224</v>
      </c>
      <c r="AG44" s="223" t="s">
        <v>316</v>
      </c>
      <c r="AH44" s="224">
        <v>0.38333333333333336</v>
      </c>
      <c r="AI44" s="223" t="s">
        <v>316</v>
      </c>
    </row>
    <row r="45">
      <c r="A45" s="32"/>
      <c r="B45" s="187">
        <v>42.0</v>
      </c>
      <c r="C45" s="203" t="s">
        <v>183</v>
      </c>
      <c r="D45" s="22">
        <f t="shared" si="2"/>
        <v>4.673611111</v>
      </c>
      <c r="E45" s="222">
        <v>0.3645833333333333</v>
      </c>
      <c r="F45" s="222">
        <v>0.5013888888888889</v>
      </c>
      <c r="G45" s="223" t="s">
        <v>316</v>
      </c>
      <c r="H45" s="244"/>
      <c r="I45" s="244"/>
      <c r="J45" s="222">
        <v>0.3347222222222222</v>
      </c>
      <c r="K45" s="222">
        <v>0.33125</v>
      </c>
      <c r="L45" s="224">
        <v>0.5513888888888889</v>
      </c>
      <c r="M45" s="223" t="s">
        <v>316</v>
      </c>
      <c r="N45" s="223" t="s">
        <v>316</v>
      </c>
      <c r="O45" s="222"/>
      <c r="P45" s="222"/>
      <c r="Q45" s="223" t="s">
        <v>272</v>
      </c>
      <c r="R45" s="223" t="s">
        <v>272</v>
      </c>
      <c r="S45" s="223" t="s">
        <v>272</v>
      </c>
      <c r="T45" s="223" t="s">
        <v>272</v>
      </c>
      <c r="U45" s="223" t="s">
        <v>272</v>
      </c>
      <c r="V45" s="222"/>
      <c r="W45" s="222"/>
      <c r="X45" s="223" t="s">
        <v>272</v>
      </c>
      <c r="Y45" s="223" t="s">
        <v>272</v>
      </c>
      <c r="Z45" s="224">
        <v>0.42430555555555555</v>
      </c>
      <c r="AA45" s="222">
        <v>0.45555555555555555</v>
      </c>
      <c r="AB45" s="224">
        <v>0.16666666666666666</v>
      </c>
      <c r="AC45" s="222"/>
      <c r="AD45" s="222"/>
      <c r="AE45" s="224">
        <v>0.33194444444444443</v>
      </c>
      <c r="AF45" s="222">
        <v>0.43333333333333335</v>
      </c>
      <c r="AG45" s="222">
        <v>0.32430555555555557</v>
      </c>
      <c r="AH45" s="222">
        <v>0.45416666666666666</v>
      </c>
      <c r="AI45" s="223" t="s">
        <v>316</v>
      </c>
    </row>
    <row r="46">
      <c r="A46" s="32"/>
      <c r="B46" s="189">
        <v>43.0</v>
      </c>
      <c r="C46" s="203" t="s">
        <v>186</v>
      </c>
      <c r="D46" s="22">
        <f t="shared" si="2"/>
        <v>3.790972222</v>
      </c>
      <c r="E46" s="222">
        <v>0.44513888888888886</v>
      </c>
      <c r="F46" s="223" t="s">
        <v>425</v>
      </c>
      <c r="G46" s="223" t="s">
        <v>316</v>
      </c>
      <c r="H46" s="244"/>
      <c r="I46" s="244"/>
      <c r="J46" s="222">
        <v>0.39166666666666666</v>
      </c>
      <c r="K46" s="222">
        <v>0.4284722222222222</v>
      </c>
      <c r="L46" s="222">
        <v>0.37569444444444444</v>
      </c>
      <c r="M46" s="222">
        <v>0.40902777777777777</v>
      </c>
      <c r="N46" s="223" t="s">
        <v>316</v>
      </c>
      <c r="O46" s="222"/>
      <c r="P46" s="222"/>
      <c r="Q46" s="223" t="s">
        <v>269</v>
      </c>
      <c r="R46" s="223" t="s">
        <v>316</v>
      </c>
      <c r="S46" s="223" t="s">
        <v>316</v>
      </c>
      <c r="T46" s="222">
        <v>0.4875</v>
      </c>
      <c r="U46" s="223" t="s">
        <v>316</v>
      </c>
      <c r="V46" s="222"/>
      <c r="W46" s="222"/>
      <c r="X46" s="222">
        <v>0.3736111111111111</v>
      </c>
      <c r="Y46" s="222">
        <v>0.4305555555555556</v>
      </c>
      <c r="Z46" s="223" t="s">
        <v>316</v>
      </c>
      <c r="AA46" s="222">
        <v>0.44930555555555557</v>
      </c>
      <c r="AB46" s="223" t="s">
        <v>316</v>
      </c>
      <c r="AC46" s="222"/>
      <c r="AD46" s="222"/>
      <c r="AE46" s="223" t="s">
        <v>422</v>
      </c>
      <c r="AF46" s="223" t="s">
        <v>422</v>
      </c>
      <c r="AG46" s="223" t="s">
        <v>422</v>
      </c>
      <c r="AH46" s="223" t="s">
        <v>422</v>
      </c>
      <c r="AI46" s="223" t="s">
        <v>272</v>
      </c>
    </row>
    <row r="47">
      <c r="A47" s="32"/>
      <c r="B47" s="189">
        <v>44.0</v>
      </c>
      <c r="C47" s="203" t="s">
        <v>141</v>
      </c>
      <c r="D47" s="22">
        <f t="shared" si="2"/>
        <v>4.0375</v>
      </c>
      <c r="E47" s="222">
        <v>0.35138888888888886</v>
      </c>
      <c r="F47" s="222">
        <v>0.37777777777777777</v>
      </c>
      <c r="G47" s="223" t="s">
        <v>316</v>
      </c>
      <c r="H47" s="244"/>
      <c r="I47" s="244"/>
      <c r="J47" s="223" t="s">
        <v>316</v>
      </c>
      <c r="K47" s="222">
        <v>0.35555555555555557</v>
      </c>
      <c r="L47" s="222">
        <v>0.3736111111111111</v>
      </c>
      <c r="M47" s="222">
        <v>0.41180555555555554</v>
      </c>
      <c r="N47" s="223" t="s">
        <v>316</v>
      </c>
      <c r="O47" s="222"/>
      <c r="P47" s="222"/>
      <c r="Q47" s="223" t="s">
        <v>316</v>
      </c>
      <c r="R47" s="223" t="s">
        <v>316</v>
      </c>
      <c r="S47" s="223" t="s">
        <v>316</v>
      </c>
      <c r="T47" s="223" t="s">
        <v>316</v>
      </c>
      <c r="U47" s="223" t="s">
        <v>316</v>
      </c>
      <c r="V47" s="222"/>
      <c r="W47" s="222"/>
      <c r="X47" s="223" t="s">
        <v>269</v>
      </c>
      <c r="Y47" s="222">
        <v>0.3770833333333333</v>
      </c>
      <c r="Z47" s="224">
        <v>0.34791666666666665</v>
      </c>
      <c r="AA47" s="223" t="s">
        <v>269</v>
      </c>
      <c r="AB47" s="223" t="s">
        <v>316</v>
      </c>
      <c r="AC47" s="222"/>
      <c r="AD47" s="222"/>
      <c r="AE47" s="224">
        <v>0.3284722222222222</v>
      </c>
      <c r="AF47" s="222">
        <v>0.3680555555555556</v>
      </c>
      <c r="AG47" s="222">
        <v>0.35208333333333336</v>
      </c>
      <c r="AH47" s="222">
        <v>0.39375</v>
      </c>
      <c r="AI47" s="223" t="s">
        <v>316</v>
      </c>
    </row>
    <row r="48">
      <c r="A48" s="15"/>
      <c r="B48" s="187">
        <v>45.0</v>
      </c>
      <c r="C48" s="203" t="s">
        <v>207</v>
      </c>
      <c r="D48" s="22">
        <f t="shared" si="2"/>
        <v>3.744444444</v>
      </c>
      <c r="E48" s="222">
        <v>0.3034722222222222</v>
      </c>
      <c r="F48" s="222">
        <v>0.34305555555555556</v>
      </c>
      <c r="G48" s="223" t="s">
        <v>316</v>
      </c>
      <c r="H48" s="244"/>
      <c r="I48" s="244"/>
      <c r="J48" s="222">
        <v>0.30833333333333335</v>
      </c>
      <c r="K48" s="222">
        <v>0.24930555555555556</v>
      </c>
      <c r="L48" s="222">
        <v>0.2111111111111111</v>
      </c>
      <c r="M48" s="222">
        <v>0.3298611111111111</v>
      </c>
      <c r="N48" s="223" t="s">
        <v>316</v>
      </c>
      <c r="O48" s="222"/>
      <c r="P48" s="222"/>
      <c r="Q48" s="223" t="s">
        <v>316</v>
      </c>
      <c r="R48" s="223" t="s">
        <v>316</v>
      </c>
      <c r="S48" s="223" t="s">
        <v>316</v>
      </c>
      <c r="T48" s="223" t="s">
        <v>316</v>
      </c>
      <c r="U48" s="223" t="s">
        <v>316</v>
      </c>
      <c r="V48" s="222"/>
      <c r="W48" s="222"/>
      <c r="X48" s="222">
        <v>0.3611111111111111</v>
      </c>
      <c r="Y48" s="222">
        <v>0.3298611111111111</v>
      </c>
      <c r="Z48" s="224">
        <v>0.3861111111111111</v>
      </c>
      <c r="AA48" s="222">
        <v>0.2743055555555556</v>
      </c>
      <c r="AB48" s="223" t="s">
        <v>316</v>
      </c>
      <c r="AC48" s="222"/>
      <c r="AD48" s="222"/>
      <c r="AE48" s="224">
        <v>0.2861111111111111</v>
      </c>
      <c r="AF48" s="222">
        <v>0.36180555555555555</v>
      </c>
      <c r="AG48" s="223" t="s">
        <v>316</v>
      </c>
      <c r="AH48" s="223" t="s">
        <v>316</v>
      </c>
      <c r="AI48" s="223" t="s">
        <v>316</v>
      </c>
    </row>
    <row r="49">
      <c r="A49" s="161" t="s">
        <v>278</v>
      </c>
      <c r="B49" s="189">
        <v>46.0</v>
      </c>
      <c r="C49" s="203" t="s">
        <v>78</v>
      </c>
      <c r="D49" s="22">
        <f t="shared" si="2"/>
        <v>7.132638889</v>
      </c>
      <c r="E49" s="222">
        <v>0.20694444444444443</v>
      </c>
      <c r="F49" s="222">
        <v>0.36944444444444446</v>
      </c>
      <c r="G49" s="224">
        <v>0.38819444444444445</v>
      </c>
      <c r="H49" s="244"/>
      <c r="I49" s="244"/>
      <c r="J49" s="222">
        <v>0.35625</v>
      </c>
      <c r="K49" s="222">
        <v>0.4013888888888889</v>
      </c>
      <c r="L49" s="222">
        <v>0.3819444444444444</v>
      </c>
      <c r="M49" s="222">
        <v>0.4131944444444444</v>
      </c>
      <c r="N49" s="224">
        <v>0.3701388888888889</v>
      </c>
      <c r="O49" s="222"/>
      <c r="P49" s="222"/>
      <c r="Q49" s="222">
        <v>0.3645833333333333</v>
      </c>
      <c r="R49" s="222">
        <v>0.3423611111111111</v>
      </c>
      <c r="S49" s="223" t="s">
        <v>316</v>
      </c>
      <c r="T49" s="224">
        <v>0.16666666666666666</v>
      </c>
      <c r="U49" s="222">
        <v>0.3277777777777778</v>
      </c>
      <c r="V49" s="222"/>
      <c r="W49" s="222"/>
      <c r="X49" s="222">
        <v>0.3854166666666667</v>
      </c>
      <c r="Y49" s="224">
        <v>0.16666666666666666</v>
      </c>
      <c r="Z49" s="224">
        <v>0.36319444444444443</v>
      </c>
      <c r="AA49" s="222">
        <v>0.3277777777777778</v>
      </c>
      <c r="AB49" s="222">
        <v>0.35555555555555557</v>
      </c>
      <c r="AC49" s="222"/>
      <c r="AD49" s="222"/>
      <c r="AE49" s="224">
        <v>0.3506944444444444</v>
      </c>
      <c r="AF49" s="222">
        <v>0.36875</v>
      </c>
      <c r="AG49" s="222">
        <v>0.3659722222222222</v>
      </c>
      <c r="AH49" s="223" t="s">
        <v>316</v>
      </c>
      <c r="AI49" s="222">
        <v>0.3597222222222222</v>
      </c>
    </row>
    <row r="50">
      <c r="A50" s="32"/>
      <c r="B50" s="189">
        <v>47.0</v>
      </c>
      <c r="C50" s="203" t="s">
        <v>14</v>
      </c>
      <c r="D50" s="22">
        <f t="shared" si="2"/>
        <v>5.970833333</v>
      </c>
      <c r="E50" s="222">
        <v>0.3993055555555556</v>
      </c>
      <c r="F50" s="224">
        <v>0.16666666666666666</v>
      </c>
      <c r="G50" s="223" t="s">
        <v>316</v>
      </c>
      <c r="H50" s="244"/>
      <c r="I50" s="244"/>
      <c r="J50" s="224">
        <v>0.5145833333333333</v>
      </c>
      <c r="K50" s="222">
        <v>0.3763888888888889</v>
      </c>
      <c r="L50" s="224">
        <v>0.5652777777777778</v>
      </c>
      <c r="M50" s="222">
        <v>0.42986111111111114</v>
      </c>
      <c r="N50" s="223" t="s">
        <v>316</v>
      </c>
      <c r="O50" s="222"/>
      <c r="P50" s="222"/>
      <c r="Q50" s="223" t="s">
        <v>316</v>
      </c>
      <c r="R50" s="223" t="s">
        <v>316</v>
      </c>
      <c r="S50" s="222">
        <v>0.4465277777777778</v>
      </c>
      <c r="T50" s="222">
        <v>0.38819444444444445</v>
      </c>
      <c r="U50" s="223" t="s">
        <v>316</v>
      </c>
      <c r="V50" s="222"/>
      <c r="W50" s="222"/>
      <c r="X50" s="222">
        <v>0.4548611111111111</v>
      </c>
      <c r="Y50" s="222">
        <v>0.36736111111111114</v>
      </c>
      <c r="Z50" s="223" t="s">
        <v>316</v>
      </c>
      <c r="AA50" s="222">
        <v>0.3326388888888889</v>
      </c>
      <c r="AB50" s="223" t="s">
        <v>316</v>
      </c>
      <c r="AC50" s="222"/>
      <c r="AD50" s="222"/>
      <c r="AE50" s="224">
        <v>0.5</v>
      </c>
      <c r="AF50" s="222">
        <v>0.3923611111111111</v>
      </c>
      <c r="AG50" s="224">
        <v>0.16666666666666666</v>
      </c>
      <c r="AH50" s="222">
        <v>0.4701388888888889</v>
      </c>
      <c r="AI50" s="223" t="s">
        <v>316</v>
      </c>
    </row>
    <row r="51">
      <c r="A51" s="32"/>
      <c r="B51" s="187">
        <v>48.0</v>
      </c>
      <c r="C51" s="203" t="s">
        <v>105</v>
      </c>
      <c r="D51" s="22">
        <f t="shared" si="2"/>
        <v>0</v>
      </c>
      <c r="E51" s="223" t="s">
        <v>316</v>
      </c>
      <c r="F51" s="223" t="s">
        <v>316</v>
      </c>
      <c r="G51" s="223" t="s">
        <v>316</v>
      </c>
      <c r="H51" s="244"/>
      <c r="I51" s="244"/>
      <c r="J51" s="223" t="s">
        <v>316</v>
      </c>
      <c r="K51" s="223" t="s">
        <v>316</v>
      </c>
      <c r="L51" s="223" t="s">
        <v>316</v>
      </c>
      <c r="M51" s="223" t="s">
        <v>316</v>
      </c>
      <c r="N51" s="223" t="s">
        <v>316</v>
      </c>
      <c r="O51" s="222"/>
      <c r="P51" s="222"/>
      <c r="Q51" s="223" t="s">
        <v>316</v>
      </c>
      <c r="R51" s="223" t="s">
        <v>316</v>
      </c>
      <c r="S51" s="223" t="s">
        <v>316</v>
      </c>
      <c r="T51" s="223" t="s">
        <v>316</v>
      </c>
      <c r="U51" s="223" t="s">
        <v>316</v>
      </c>
      <c r="V51" s="222"/>
      <c r="W51" s="222"/>
      <c r="X51" s="223" t="s">
        <v>316</v>
      </c>
      <c r="Y51" s="223" t="s">
        <v>316</v>
      </c>
      <c r="Z51" s="223" t="s">
        <v>316</v>
      </c>
      <c r="AA51" s="223" t="s">
        <v>316</v>
      </c>
      <c r="AB51" s="223" t="s">
        <v>316</v>
      </c>
      <c r="AC51" s="222"/>
      <c r="AD51" s="222"/>
      <c r="AE51" s="223" t="s">
        <v>316</v>
      </c>
      <c r="AF51" s="223" t="s">
        <v>316</v>
      </c>
      <c r="AG51" s="223" t="s">
        <v>316</v>
      </c>
      <c r="AH51" s="223" t="s">
        <v>316</v>
      </c>
      <c r="AI51" s="223" t="s">
        <v>316</v>
      </c>
    </row>
    <row r="52">
      <c r="A52" s="32"/>
      <c r="B52" s="189">
        <v>49.0</v>
      </c>
      <c r="C52" s="203" t="s">
        <v>29</v>
      </c>
      <c r="D52" s="22">
        <f t="shared" si="2"/>
        <v>0</v>
      </c>
      <c r="E52" s="223" t="s">
        <v>316</v>
      </c>
      <c r="F52" s="223" t="s">
        <v>316</v>
      </c>
      <c r="G52" s="223" t="s">
        <v>316</v>
      </c>
      <c r="H52" s="244"/>
      <c r="I52" s="244"/>
      <c r="J52" s="223" t="s">
        <v>316</v>
      </c>
      <c r="K52" s="223" t="s">
        <v>316</v>
      </c>
      <c r="L52" s="223" t="s">
        <v>316</v>
      </c>
      <c r="M52" s="223" t="s">
        <v>316</v>
      </c>
      <c r="N52" s="223" t="s">
        <v>316</v>
      </c>
      <c r="O52" s="222"/>
      <c r="P52" s="222"/>
      <c r="Q52" s="223" t="s">
        <v>316</v>
      </c>
      <c r="R52" s="223" t="s">
        <v>316</v>
      </c>
      <c r="S52" s="223" t="s">
        <v>316</v>
      </c>
      <c r="T52" s="223" t="s">
        <v>316</v>
      </c>
      <c r="U52" s="223" t="s">
        <v>316</v>
      </c>
      <c r="V52" s="222"/>
      <c r="W52" s="222"/>
      <c r="X52" s="223" t="s">
        <v>316</v>
      </c>
      <c r="Y52" s="223" t="s">
        <v>316</v>
      </c>
      <c r="Z52" s="223" t="s">
        <v>316</v>
      </c>
      <c r="AA52" s="223" t="s">
        <v>316</v>
      </c>
      <c r="AB52" s="223" t="s">
        <v>271</v>
      </c>
      <c r="AC52" s="222"/>
      <c r="AD52" s="222"/>
      <c r="AE52" s="223" t="s">
        <v>316</v>
      </c>
      <c r="AF52" s="223" t="s">
        <v>316</v>
      </c>
      <c r="AG52" s="223" t="s">
        <v>316</v>
      </c>
      <c r="AH52" s="223" t="s">
        <v>316</v>
      </c>
      <c r="AI52" s="223" t="s">
        <v>316</v>
      </c>
    </row>
    <row r="53">
      <c r="A53" s="32"/>
      <c r="B53" s="189">
        <v>50.0</v>
      </c>
      <c r="C53" s="203" t="s">
        <v>17</v>
      </c>
      <c r="D53" s="22">
        <f t="shared" si="2"/>
        <v>5.95</v>
      </c>
      <c r="E53" s="222">
        <v>0.3875</v>
      </c>
      <c r="F53" s="222">
        <v>0.42569444444444443</v>
      </c>
      <c r="G53" s="223" t="s">
        <v>316</v>
      </c>
      <c r="H53" s="244"/>
      <c r="I53" s="244"/>
      <c r="J53" s="223" t="s">
        <v>269</v>
      </c>
      <c r="K53" s="222">
        <v>0.37916666666666665</v>
      </c>
      <c r="L53" s="222">
        <v>0.4013888888888889</v>
      </c>
      <c r="M53" s="222">
        <v>0.3715277777777778</v>
      </c>
      <c r="N53" s="224">
        <v>0.4041666666666667</v>
      </c>
      <c r="O53" s="222"/>
      <c r="P53" s="222"/>
      <c r="Q53" s="223" t="s">
        <v>316</v>
      </c>
      <c r="R53" s="224">
        <v>0.16666666666666666</v>
      </c>
      <c r="S53" s="224">
        <v>0.16666666666666666</v>
      </c>
      <c r="T53" s="223" t="s">
        <v>316</v>
      </c>
      <c r="U53" s="223" t="s">
        <v>316</v>
      </c>
      <c r="V53" s="222"/>
      <c r="W53" s="222"/>
      <c r="X53" s="222">
        <v>0.4895833333333333</v>
      </c>
      <c r="Y53" s="222">
        <v>0.39166666666666666</v>
      </c>
      <c r="Z53" s="224">
        <v>0.42430555555555555</v>
      </c>
      <c r="AA53" s="222">
        <v>0.3819444444444444</v>
      </c>
      <c r="AB53" s="222">
        <v>0.3229166666666667</v>
      </c>
      <c r="AC53" s="222"/>
      <c r="AD53" s="222"/>
      <c r="AE53" s="224">
        <v>0.4201388888888889</v>
      </c>
      <c r="AF53" s="222">
        <v>0.4284722222222222</v>
      </c>
      <c r="AG53" s="223" t="s">
        <v>316</v>
      </c>
      <c r="AH53" s="222">
        <v>0.38819444444444445</v>
      </c>
      <c r="AI53" s="223" t="s">
        <v>316</v>
      </c>
    </row>
    <row r="54">
      <c r="A54" s="32"/>
      <c r="B54" s="145">
        <v>51.0</v>
      </c>
      <c r="C54" s="198" t="s">
        <v>249</v>
      </c>
      <c r="D54" s="22">
        <f t="shared" si="2"/>
        <v>4.652777778</v>
      </c>
      <c r="E54" s="222">
        <v>0.35347222222222224</v>
      </c>
      <c r="F54" s="222">
        <v>0.3597222222222222</v>
      </c>
      <c r="G54" s="223" t="s">
        <v>316</v>
      </c>
      <c r="H54" s="244"/>
      <c r="I54" s="244"/>
      <c r="J54" s="223" t="s">
        <v>269</v>
      </c>
      <c r="K54" s="222">
        <v>0.3729166666666667</v>
      </c>
      <c r="L54" s="222">
        <v>0.3840277777777778</v>
      </c>
      <c r="M54" s="222">
        <v>0.35</v>
      </c>
      <c r="N54" s="223" t="s">
        <v>316</v>
      </c>
      <c r="O54" s="222"/>
      <c r="P54" s="222"/>
      <c r="Q54" s="223" t="s">
        <v>316</v>
      </c>
      <c r="R54" s="223" t="s">
        <v>316</v>
      </c>
      <c r="S54" s="223" t="s">
        <v>316</v>
      </c>
      <c r="T54" s="223" t="s">
        <v>316</v>
      </c>
      <c r="U54" s="223" t="s">
        <v>316</v>
      </c>
      <c r="V54" s="222"/>
      <c r="W54" s="222"/>
      <c r="X54" s="222">
        <v>0.3541666666666667</v>
      </c>
      <c r="Y54" s="222">
        <v>0.3416666666666667</v>
      </c>
      <c r="Z54" s="222">
        <v>0.3548611111111111</v>
      </c>
      <c r="AA54" s="222">
        <v>0.3486111111111111</v>
      </c>
      <c r="AB54" s="223" t="s">
        <v>316</v>
      </c>
      <c r="AC54" s="222"/>
      <c r="AD54" s="222"/>
      <c r="AE54" s="222">
        <v>0.34097222222222223</v>
      </c>
      <c r="AF54" s="222">
        <v>0.3597222222222222</v>
      </c>
      <c r="AG54" s="222">
        <v>0.3590277777777778</v>
      </c>
      <c r="AH54" s="222">
        <v>0.3736111111111111</v>
      </c>
      <c r="AI54" s="223" t="s">
        <v>316</v>
      </c>
    </row>
    <row r="55">
      <c r="A55" s="32"/>
      <c r="B55" s="186">
        <v>52.0</v>
      </c>
      <c r="C55" s="198" t="s">
        <v>394</v>
      </c>
      <c r="D55" s="22">
        <f t="shared" si="2"/>
        <v>4.83125</v>
      </c>
      <c r="E55" s="222">
        <v>0.36180555555555555</v>
      </c>
      <c r="F55" s="222">
        <v>0.3729166666666667</v>
      </c>
      <c r="G55" s="223" t="s">
        <v>316</v>
      </c>
      <c r="H55" s="244"/>
      <c r="I55" s="244"/>
      <c r="J55" s="223" t="s">
        <v>316</v>
      </c>
      <c r="K55" s="222">
        <v>0.3659722222222222</v>
      </c>
      <c r="L55" s="222">
        <v>0.37430555555555556</v>
      </c>
      <c r="M55" s="222">
        <v>0.36944444444444446</v>
      </c>
      <c r="N55" s="224">
        <v>0.38333333333333336</v>
      </c>
      <c r="O55" s="222"/>
      <c r="P55" s="222"/>
      <c r="Q55" s="223" t="s">
        <v>316</v>
      </c>
      <c r="R55" s="223" t="s">
        <v>316</v>
      </c>
      <c r="S55" s="223" t="s">
        <v>316</v>
      </c>
      <c r="T55" s="223" t="s">
        <v>316</v>
      </c>
      <c r="U55" s="223" t="s">
        <v>316</v>
      </c>
      <c r="V55" s="222"/>
      <c r="W55" s="222"/>
      <c r="X55" s="222">
        <v>0.36319444444444443</v>
      </c>
      <c r="Y55" s="222">
        <v>0.36041666666666666</v>
      </c>
      <c r="Z55" s="222">
        <v>0.4951388888888889</v>
      </c>
      <c r="AA55" s="223" t="s">
        <v>316</v>
      </c>
      <c r="AB55" s="222">
        <v>0.37430555555555556</v>
      </c>
      <c r="AC55" s="222"/>
      <c r="AD55" s="222"/>
      <c r="AE55" s="223" t="s">
        <v>316</v>
      </c>
      <c r="AF55" s="222">
        <v>0.37777777777777777</v>
      </c>
      <c r="AG55" s="222">
        <v>0.26458333333333334</v>
      </c>
      <c r="AH55" s="223" t="s">
        <v>271</v>
      </c>
      <c r="AI55" s="222">
        <v>0.3680555555555556</v>
      </c>
    </row>
    <row r="56">
      <c r="A56" s="32"/>
      <c r="B56" s="186">
        <v>53.0</v>
      </c>
      <c r="C56" s="198" t="s">
        <v>72</v>
      </c>
      <c r="D56" s="22">
        <f t="shared" si="2"/>
        <v>5.775694444</v>
      </c>
      <c r="E56" s="222">
        <v>0.40625</v>
      </c>
      <c r="F56" s="222">
        <v>0.39791666666666664</v>
      </c>
      <c r="G56" s="223" t="s">
        <v>316</v>
      </c>
      <c r="H56" s="244"/>
      <c r="I56" s="244"/>
      <c r="J56" s="222">
        <v>0.42430555555555555</v>
      </c>
      <c r="K56" s="222">
        <v>0.425</v>
      </c>
      <c r="L56" s="222">
        <v>0.3972222222222222</v>
      </c>
      <c r="M56" s="222">
        <v>0.44166666666666665</v>
      </c>
      <c r="N56" s="223" t="s">
        <v>316</v>
      </c>
      <c r="O56" s="222"/>
      <c r="P56" s="222"/>
      <c r="Q56" s="223" t="s">
        <v>316</v>
      </c>
      <c r="R56" s="223" t="s">
        <v>316</v>
      </c>
      <c r="S56" s="223" t="s">
        <v>316</v>
      </c>
      <c r="T56" s="223" t="s">
        <v>316</v>
      </c>
      <c r="U56" s="223" t="s">
        <v>316</v>
      </c>
      <c r="V56" s="222"/>
      <c r="W56" s="222"/>
      <c r="X56" s="222">
        <v>0.40625</v>
      </c>
      <c r="Y56" s="222">
        <v>0.4534722222222222</v>
      </c>
      <c r="Z56" s="224">
        <v>0.45416666666666666</v>
      </c>
      <c r="AA56" s="222">
        <v>0.49722222222222223</v>
      </c>
      <c r="AB56" s="223" t="s">
        <v>316</v>
      </c>
      <c r="AC56" s="222"/>
      <c r="AD56" s="222"/>
      <c r="AE56" s="224">
        <v>0.4284722222222222</v>
      </c>
      <c r="AF56" s="224">
        <v>0.16666666666666666</v>
      </c>
      <c r="AG56" s="222">
        <v>0.4361111111111111</v>
      </c>
      <c r="AH56" s="222">
        <v>0.4409722222222222</v>
      </c>
      <c r="AI56" s="223" t="s">
        <v>316</v>
      </c>
    </row>
    <row r="57">
      <c r="A57" s="32"/>
      <c r="B57" s="145">
        <v>54.0</v>
      </c>
      <c r="C57" s="198" t="s">
        <v>204</v>
      </c>
      <c r="D57" s="22">
        <f t="shared" si="2"/>
        <v>0</v>
      </c>
      <c r="E57" s="223" t="s">
        <v>316</v>
      </c>
      <c r="F57" s="223" t="s">
        <v>316</v>
      </c>
      <c r="G57" s="223" t="s">
        <v>316</v>
      </c>
      <c r="H57" s="244"/>
      <c r="I57" s="244"/>
      <c r="J57" s="223" t="s">
        <v>316</v>
      </c>
      <c r="K57" s="223" t="s">
        <v>316</v>
      </c>
      <c r="L57" s="223" t="s">
        <v>316</v>
      </c>
      <c r="M57" s="223" t="s">
        <v>316</v>
      </c>
      <c r="N57" s="223" t="s">
        <v>316</v>
      </c>
      <c r="O57" s="222"/>
      <c r="P57" s="222"/>
      <c r="Q57" s="223" t="s">
        <v>316</v>
      </c>
      <c r="R57" s="223" t="s">
        <v>316</v>
      </c>
      <c r="S57" s="223" t="s">
        <v>316</v>
      </c>
      <c r="T57" s="223" t="s">
        <v>316</v>
      </c>
      <c r="U57" s="223" t="s">
        <v>316</v>
      </c>
      <c r="V57" s="222"/>
      <c r="W57" s="222"/>
      <c r="X57" s="223" t="s">
        <v>316</v>
      </c>
      <c r="Y57" s="223" t="s">
        <v>316</v>
      </c>
      <c r="Z57" s="223" t="s">
        <v>316</v>
      </c>
      <c r="AA57" s="223" t="s">
        <v>316</v>
      </c>
      <c r="AB57" s="223" t="s">
        <v>316</v>
      </c>
      <c r="AC57" s="222"/>
      <c r="AD57" s="222"/>
      <c r="AE57" s="223" t="s">
        <v>316</v>
      </c>
      <c r="AF57" s="223" t="s">
        <v>316</v>
      </c>
      <c r="AG57" s="223" t="s">
        <v>316</v>
      </c>
      <c r="AH57" s="223" t="s">
        <v>316</v>
      </c>
      <c r="AI57" s="223" t="s">
        <v>316</v>
      </c>
    </row>
    <row r="58">
      <c r="A58" s="32"/>
      <c r="B58" s="186">
        <v>55.0</v>
      </c>
      <c r="C58" s="200" t="s">
        <v>410</v>
      </c>
      <c r="D58" s="22">
        <f t="shared" si="2"/>
        <v>6.058333333</v>
      </c>
      <c r="E58" s="222">
        <v>0.34930555555555554</v>
      </c>
      <c r="F58" s="222">
        <v>0.34444444444444444</v>
      </c>
      <c r="G58" s="224">
        <v>0.16666666666666666</v>
      </c>
      <c r="H58" s="244"/>
      <c r="I58" s="244"/>
      <c r="J58" s="222">
        <v>0.35138888888888886</v>
      </c>
      <c r="K58" s="222">
        <v>0.3680555555555556</v>
      </c>
      <c r="L58" s="222">
        <v>0.38125</v>
      </c>
      <c r="M58" s="222">
        <v>0.3527777777777778</v>
      </c>
      <c r="N58" s="224">
        <v>0.16666666666666666</v>
      </c>
      <c r="O58" s="222"/>
      <c r="P58" s="222"/>
      <c r="Q58" s="223" t="s">
        <v>316</v>
      </c>
      <c r="R58" s="223" t="s">
        <v>316</v>
      </c>
      <c r="S58" s="223" t="s">
        <v>316</v>
      </c>
      <c r="T58" s="223" t="s">
        <v>316</v>
      </c>
      <c r="U58" s="223" t="s">
        <v>316</v>
      </c>
      <c r="V58" s="222"/>
      <c r="W58" s="222"/>
      <c r="X58" s="222">
        <v>0.3625</v>
      </c>
      <c r="Y58" s="222">
        <v>0.3638888888888889</v>
      </c>
      <c r="Z58" s="222">
        <v>0.3611111111111111</v>
      </c>
      <c r="AA58" s="222">
        <v>0.3541666666666667</v>
      </c>
      <c r="AB58" s="222">
        <v>0.35208333333333336</v>
      </c>
      <c r="AC58" s="222"/>
      <c r="AD58" s="222"/>
      <c r="AE58" s="222">
        <v>0.36736111111111114</v>
      </c>
      <c r="AF58" s="222">
        <v>0.3548611111111111</v>
      </c>
      <c r="AG58" s="222">
        <v>0.3951388888888889</v>
      </c>
      <c r="AH58" s="222">
        <v>0.32708333333333334</v>
      </c>
      <c r="AI58" s="222">
        <v>0.33958333333333335</v>
      </c>
    </row>
    <row r="59">
      <c r="A59" s="32"/>
      <c r="B59" s="186">
        <v>56.0</v>
      </c>
      <c r="C59" s="198" t="s">
        <v>81</v>
      </c>
      <c r="D59" s="22">
        <f t="shared" si="2"/>
        <v>6.072222222</v>
      </c>
      <c r="E59" s="222">
        <v>0.4666666666666667</v>
      </c>
      <c r="F59" s="222">
        <v>0.45555555555555555</v>
      </c>
      <c r="G59" s="223" t="s">
        <v>316</v>
      </c>
      <c r="H59" s="244"/>
      <c r="I59" s="244"/>
      <c r="J59" s="222">
        <v>0.38819444444444445</v>
      </c>
      <c r="K59" s="222">
        <v>0.41388888888888886</v>
      </c>
      <c r="L59" s="222">
        <v>0.42986111111111114</v>
      </c>
      <c r="M59" s="222">
        <v>0.4270833333333333</v>
      </c>
      <c r="N59" s="223" t="s">
        <v>316</v>
      </c>
      <c r="O59" s="222"/>
      <c r="P59" s="222"/>
      <c r="Q59" s="223" t="s">
        <v>272</v>
      </c>
      <c r="R59" s="223" t="s">
        <v>272</v>
      </c>
      <c r="S59" s="223" t="s">
        <v>272</v>
      </c>
      <c r="T59" s="223" t="s">
        <v>272</v>
      </c>
      <c r="U59" s="223" t="s">
        <v>272</v>
      </c>
      <c r="V59" s="222"/>
      <c r="W59" s="222"/>
      <c r="X59" s="222">
        <v>0.4534722222222222</v>
      </c>
      <c r="Y59" s="222">
        <v>0.4513888888888889</v>
      </c>
      <c r="Z59" s="224">
        <v>0.4618055555555556</v>
      </c>
      <c r="AA59" s="222">
        <v>0.4340277777777778</v>
      </c>
      <c r="AB59" s="223" t="s">
        <v>316</v>
      </c>
      <c r="AC59" s="222"/>
      <c r="AD59" s="222"/>
      <c r="AE59" s="224">
        <v>0.4736111111111111</v>
      </c>
      <c r="AF59" s="222">
        <v>0.4215277777777778</v>
      </c>
      <c r="AG59" s="222">
        <v>0.3798611111111111</v>
      </c>
      <c r="AH59" s="222">
        <v>0.4152777777777778</v>
      </c>
      <c r="AI59" s="223" t="s">
        <v>316</v>
      </c>
    </row>
    <row r="60">
      <c r="A60" s="32"/>
      <c r="B60" s="145">
        <v>57.0</v>
      </c>
      <c r="C60" s="198" t="s">
        <v>153</v>
      </c>
      <c r="D60" s="22">
        <f t="shared" si="2"/>
        <v>5.275694444</v>
      </c>
      <c r="E60" s="224">
        <v>0.16666666666666666</v>
      </c>
      <c r="F60" s="222">
        <v>0.3715277777777778</v>
      </c>
      <c r="G60" s="223" t="s">
        <v>316</v>
      </c>
      <c r="H60" s="244"/>
      <c r="I60" s="244"/>
      <c r="J60" s="222">
        <v>0.40069444444444446</v>
      </c>
      <c r="K60" s="222">
        <v>0.39305555555555555</v>
      </c>
      <c r="L60" s="222">
        <v>0.3854166666666667</v>
      </c>
      <c r="M60" s="222">
        <v>0.36319444444444443</v>
      </c>
      <c r="N60" s="223" t="s">
        <v>316</v>
      </c>
      <c r="O60" s="222"/>
      <c r="P60" s="222"/>
      <c r="Q60" s="223" t="s">
        <v>316</v>
      </c>
      <c r="R60" s="223" t="s">
        <v>316</v>
      </c>
      <c r="S60" s="223" t="s">
        <v>316</v>
      </c>
      <c r="T60" s="223" t="s">
        <v>316</v>
      </c>
      <c r="U60" s="223" t="s">
        <v>316</v>
      </c>
      <c r="V60" s="222"/>
      <c r="W60" s="222"/>
      <c r="X60" s="223" t="s">
        <v>316</v>
      </c>
      <c r="Y60" s="222">
        <v>0.4409722222222222</v>
      </c>
      <c r="Z60" s="224">
        <v>0.3472222222222222</v>
      </c>
      <c r="AA60" s="222">
        <v>0.3909722222222222</v>
      </c>
      <c r="AB60" s="223" t="s">
        <v>316</v>
      </c>
      <c r="AC60" s="222"/>
      <c r="AD60" s="222"/>
      <c r="AE60" s="224">
        <v>0.5597222222222222</v>
      </c>
      <c r="AF60" s="222">
        <v>0.4875</v>
      </c>
      <c r="AG60" s="222">
        <v>0.47638888888888886</v>
      </c>
      <c r="AH60" s="222">
        <v>0.49236111111111114</v>
      </c>
      <c r="AI60" s="223" t="s">
        <v>316</v>
      </c>
    </row>
    <row r="61">
      <c r="A61" s="32"/>
      <c r="B61" s="186">
        <v>58.0</v>
      </c>
      <c r="C61" s="198" t="s">
        <v>198</v>
      </c>
      <c r="D61" s="22">
        <f t="shared" si="2"/>
        <v>3.3375</v>
      </c>
      <c r="E61" s="223" t="s">
        <v>272</v>
      </c>
      <c r="F61" s="223" t="s">
        <v>272</v>
      </c>
      <c r="G61" s="223" t="s">
        <v>272</v>
      </c>
      <c r="H61" s="244"/>
      <c r="I61" s="244"/>
      <c r="J61" s="223" t="s">
        <v>272</v>
      </c>
      <c r="K61" s="223" t="s">
        <v>272</v>
      </c>
      <c r="L61" s="222">
        <v>0.3375</v>
      </c>
      <c r="M61" s="222">
        <v>0.39375</v>
      </c>
      <c r="N61" s="223" t="s">
        <v>316</v>
      </c>
      <c r="O61" s="222"/>
      <c r="P61" s="222"/>
      <c r="Q61" s="223" t="s">
        <v>272</v>
      </c>
      <c r="R61" s="223" t="s">
        <v>272</v>
      </c>
      <c r="S61" s="223" t="s">
        <v>316</v>
      </c>
      <c r="T61" s="223" t="s">
        <v>316</v>
      </c>
      <c r="U61" s="223" t="s">
        <v>316</v>
      </c>
      <c r="V61" s="222"/>
      <c r="W61" s="222"/>
      <c r="X61" s="222">
        <v>0.3861111111111111</v>
      </c>
      <c r="Y61" s="222">
        <v>0.36875</v>
      </c>
      <c r="Z61" s="223" t="s">
        <v>269</v>
      </c>
      <c r="AA61" s="222">
        <v>0.3638888888888889</v>
      </c>
      <c r="AB61" s="223" t="s">
        <v>316</v>
      </c>
      <c r="AC61" s="222"/>
      <c r="AD61" s="222"/>
      <c r="AE61" s="224">
        <v>0.38333333333333336</v>
      </c>
      <c r="AF61" s="222">
        <v>0.36319444444444443</v>
      </c>
      <c r="AG61" s="222">
        <v>0.3798611111111111</v>
      </c>
      <c r="AH61" s="222">
        <v>0.3611111111111111</v>
      </c>
      <c r="AI61" s="223" t="s">
        <v>316</v>
      </c>
    </row>
    <row r="62">
      <c r="A62" s="32"/>
      <c r="B62" s="186">
        <v>59.0</v>
      </c>
      <c r="C62" s="200" t="s">
        <v>411</v>
      </c>
      <c r="D62" s="22">
        <f t="shared" si="2"/>
        <v>4.513888889</v>
      </c>
      <c r="E62" s="222">
        <v>0.4875</v>
      </c>
      <c r="F62" s="222">
        <v>0.38125</v>
      </c>
      <c r="G62" s="223" t="s">
        <v>316</v>
      </c>
      <c r="H62" s="244"/>
      <c r="I62" s="244"/>
      <c r="J62" s="223" t="s">
        <v>316</v>
      </c>
      <c r="K62" s="222">
        <v>0.5395833333333333</v>
      </c>
      <c r="L62" s="222">
        <v>0.3840277777777778</v>
      </c>
      <c r="M62" s="222">
        <v>0.3770833333333333</v>
      </c>
      <c r="N62" s="223" t="s">
        <v>316</v>
      </c>
      <c r="O62" s="222"/>
      <c r="P62" s="222"/>
      <c r="Q62" s="223" t="s">
        <v>316</v>
      </c>
      <c r="R62" s="223" t="s">
        <v>316</v>
      </c>
      <c r="S62" s="223" t="s">
        <v>316</v>
      </c>
      <c r="T62" s="223" t="s">
        <v>316</v>
      </c>
      <c r="U62" s="223" t="s">
        <v>316</v>
      </c>
      <c r="V62" s="222"/>
      <c r="W62" s="222"/>
      <c r="X62" s="223" t="s">
        <v>316</v>
      </c>
      <c r="Y62" s="222">
        <v>0.36527777777777776</v>
      </c>
      <c r="Z62" s="222">
        <v>0.3590277777777778</v>
      </c>
      <c r="AA62" s="222">
        <v>0.37222222222222223</v>
      </c>
      <c r="AB62" s="223" t="s">
        <v>316</v>
      </c>
      <c r="AC62" s="222"/>
      <c r="AD62" s="222"/>
      <c r="AE62" s="223" t="s">
        <v>316</v>
      </c>
      <c r="AF62" s="222">
        <v>0.4486111111111111</v>
      </c>
      <c r="AG62" s="222">
        <v>0.39861111111111114</v>
      </c>
      <c r="AH62" s="222">
        <v>0.40069444444444446</v>
      </c>
      <c r="AI62" s="223" t="s">
        <v>316</v>
      </c>
    </row>
    <row r="63">
      <c r="A63" s="32"/>
      <c r="B63" s="145">
        <v>60.0</v>
      </c>
      <c r="C63" s="200" t="s">
        <v>412</v>
      </c>
      <c r="D63" s="22">
        <f t="shared" si="2"/>
        <v>6.026388889</v>
      </c>
      <c r="E63" s="222">
        <v>0.35625</v>
      </c>
      <c r="F63" s="222">
        <v>0.35694444444444445</v>
      </c>
      <c r="G63" s="222">
        <v>0.32430555555555557</v>
      </c>
      <c r="H63" s="244"/>
      <c r="I63" s="244"/>
      <c r="J63" s="222">
        <v>0.34444444444444444</v>
      </c>
      <c r="K63" s="222">
        <v>0.3763888888888889</v>
      </c>
      <c r="L63" s="222">
        <v>0.3951388888888889</v>
      </c>
      <c r="M63" s="222">
        <v>0.35208333333333336</v>
      </c>
      <c r="N63" s="224">
        <v>0.4</v>
      </c>
      <c r="O63" s="222"/>
      <c r="P63" s="222"/>
      <c r="Q63" s="223" t="s">
        <v>316</v>
      </c>
      <c r="R63" s="223" t="s">
        <v>316</v>
      </c>
      <c r="S63" s="223" t="s">
        <v>269</v>
      </c>
      <c r="T63" s="223" t="s">
        <v>316</v>
      </c>
      <c r="U63" s="223" t="s">
        <v>316</v>
      </c>
      <c r="V63" s="222"/>
      <c r="W63" s="222"/>
      <c r="X63" s="222">
        <v>0.3388888888888889</v>
      </c>
      <c r="Y63" s="222">
        <v>0.34930555555555554</v>
      </c>
      <c r="Z63" s="222">
        <v>0.3638888888888889</v>
      </c>
      <c r="AA63" s="222">
        <v>0.34097222222222223</v>
      </c>
      <c r="AB63" s="222">
        <v>0.32083333333333336</v>
      </c>
      <c r="AC63" s="222"/>
      <c r="AD63" s="222"/>
      <c r="AE63" s="222">
        <v>0.3416666666666667</v>
      </c>
      <c r="AF63" s="222">
        <v>0.3506944444444444</v>
      </c>
      <c r="AG63" s="222">
        <v>0.34791666666666665</v>
      </c>
      <c r="AH63" s="222">
        <v>0.36666666666666664</v>
      </c>
      <c r="AI63" s="223" t="s">
        <v>316</v>
      </c>
    </row>
    <row r="64">
      <c r="A64" s="32"/>
      <c r="B64" s="186">
        <v>61.0</v>
      </c>
      <c r="C64" s="198" t="s">
        <v>260</v>
      </c>
      <c r="D64" s="22">
        <f t="shared" si="2"/>
        <v>3.229166667</v>
      </c>
      <c r="E64" s="222">
        <v>0.2826388888888889</v>
      </c>
      <c r="F64" s="223" t="s">
        <v>316</v>
      </c>
      <c r="G64" s="223" t="s">
        <v>316</v>
      </c>
      <c r="H64" s="244"/>
      <c r="I64" s="244"/>
      <c r="J64" s="222">
        <v>0.32083333333333336</v>
      </c>
      <c r="K64" s="222">
        <v>0.25972222222222224</v>
      </c>
      <c r="L64" s="222">
        <v>0.2763888888888889</v>
      </c>
      <c r="M64" s="222">
        <v>0.3277777777777778</v>
      </c>
      <c r="N64" s="223" t="s">
        <v>316</v>
      </c>
      <c r="O64" s="222"/>
      <c r="P64" s="222"/>
      <c r="Q64" s="223" t="s">
        <v>316</v>
      </c>
      <c r="R64" s="223" t="s">
        <v>316</v>
      </c>
      <c r="S64" s="223" t="s">
        <v>316</v>
      </c>
      <c r="T64" s="223" t="s">
        <v>316</v>
      </c>
      <c r="U64" s="223" t="s">
        <v>316</v>
      </c>
      <c r="V64" s="222"/>
      <c r="W64" s="222"/>
      <c r="X64" s="223" t="s">
        <v>316</v>
      </c>
      <c r="Y64" s="222">
        <v>0.34375</v>
      </c>
      <c r="Z64" s="222">
        <v>0.3416666666666667</v>
      </c>
      <c r="AA64" s="222">
        <v>0.2638888888888889</v>
      </c>
      <c r="AB64" s="223" t="s">
        <v>316</v>
      </c>
      <c r="AC64" s="222"/>
      <c r="AD64" s="222"/>
      <c r="AE64" s="222">
        <v>0.30694444444444446</v>
      </c>
      <c r="AF64" s="224">
        <v>0.16666666666666666</v>
      </c>
      <c r="AG64" s="223" t="s">
        <v>315</v>
      </c>
      <c r="AH64" s="222">
        <v>0.3388888888888889</v>
      </c>
      <c r="AI64" s="223" t="s">
        <v>316</v>
      </c>
    </row>
    <row r="65">
      <c r="A65" s="32"/>
      <c r="B65" s="186">
        <v>62.0</v>
      </c>
      <c r="C65" s="198" t="s">
        <v>26</v>
      </c>
      <c r="D65" s="22">
        <f t="shared" si="2"/>
        <v>4.353472222</v>
      </c>
      <c r="E65" s="222">
        <v>0.375</v>
      </c>
      <c r="F65" s="223" t="s">
        <v>316</v>
      </c>
      <c r="G65" s="223" t="s">
        <v>316</v>
      </c>
      <c r="H65" s="244"/>
      <c r="I65" s="244"/>
      <c r="J65" s="222">
        <v>0.44166666666666665</v>
      </c>
      <c r="K65" s="222">
        <v>0.3451388888888889</v>
      </c>
      <c r="L65" s="222">
        <v>0.3347222222222222</v>
      </c>
      <c r="M65" s="222">
        <v>0.3472222222222222</v>
      </c>
      <c r="N65" s="223" t="s">
        <v>316</v>
      </c>
      <c r="O65" s="222"/>
      <c r="P65" s="222"/>
      <c r="Q65" s="223" t="s">
        <v>316</v>
      </c>
      <c r="R65" s="223" t="s">
        <v>316</v>
      </c>
      <c r="S65" s="223" t="s">
        <v>316</v>
      </c>
      <c r="T65" s="223" t="s">
        <v>316</v>
      </c>
      <c r="U65" s="223" t="s">
        <v>316</v>
      </c>
      <c r="V65" s="222"/>
      <c r="W65" s="222"/>
      <c r="X65" s="224">
        <v>0.3611111111111111</v>
      </c>
      <c r="Y65" s="222">
        <v>0.3388888888888889</v>
      </c>
      <c r="Z65" s="224">
        <v>0.41944444444444445</v>
      </c>
      <c r="AA65" s="223" t="s">
        <v>269</v>
      </c>
      <c r="AB65" s="223" t="s">
        <v>316</v>
      </c>
      <c r="AC65" s="222"/>
      <c r="AD65" s="222"/>
      <c r="AE65" s="224">
        <v>0.32569444444444445</v>
      </c>
      <c r="AF65" s="224">
        <v>0.16666666666666666</v>
      </c>
      <c r="AG65" s="224">
        <v>0.5333333333333333</v>
      </c>
      <c r="AH65" s="222">
        <v>0.3645833333333333</v>
      </c>
      <c r="AI65" s="223" t="s">
        <v>316</v>
      </c>
    </row>
    <row r="66">
      <c r="A66" s="32"/>
      <c r="B66" s="145">
        <v>63.0</v>
      </c>
      <c r="C66" s="198" t="s">
        <v>51</v>
      </c>
      <c r="D66" s="22">
        <f t="shared" si="2"/>
        <v>2.288194444</v>
      </c>
      <c r="E66" s="222">
        <v>0.3263888888888889</v>
      </c>
      <c r="F66" s="223" t="s">
        <v>271</v>
      </c>
      <c r="G66" s="223" t="s">
        <v>316</v>
      </c>
      <c r="H66" s="244"/>
      <c r="I66" s="244"/>
      <c r="J66" s="223" t="s">
        <v>316</v>
      </c>
      <c r="K66" s="222">
        <v>0.3111111111111111</v>
      </c>
      <c r="L66" s="222">
        <v>0.3506944444444444</v>
      </c>
      <c r="M66" s="222">
        <v>0.2861111111111111</v>
      </c>
      <c r="N66" s="223" t="s">
        <v>316</v>
      </c>
      <c r="O66" s="222"/>
      <c r="P66" s="222"/>
      <c r="Q66" s="223" t="s">
        <v>316</v>
      </c>
      <c r="R66" s="223" t="s">
        <v>316</v>
      </c>
      <c r="S66" s="223" t="s">
        <v>316</v>
      </c>
      <c r="T66" s="223" t="s">
        <v>316</v>
      </c>
      <c r="U66" s="223" t="s">
        <v>316</v>
      </c>
      <c r="V66" s="222"/>
      <c r="W66" s="222"/>
      <c r="X66" s="223" t="s">
        <v>316</v>
      </c>
      <c r="Y66" s="222">
        <v>0.3020833333333333</v>
      </c>
      <c r="Z66" s="224">
        <v>0.4270833333333333</v>
      </c>
      <c r="AA66" s="222">
        <v>0.2847222222222222</v>
      </c>
      <c r="AB66" s="223" t="s">
        <v>316</v>
      </c>
      <c r="AC66" s="222"/>
      <c r="AD66" s="222"/>
      <c r="AE66" s="223" t="s">
        <v>315</v>
      </c>
      <c r="AF66" s="223" t="s">
        <v>316</v>
      </c>
      <c r="AG66" s="223" t="s">
        <v>316</v>
      </c>
      <c r="AH66" s="223" t="s">
        <v>316</v>
      </c>
      <c r="AI66" s="223" t="s">
        <v>316</v>
      </c>
    </row>
    <row r="67">
      <c r="A67" s="32"/>
      <c r="B67" s="186">
        <v>64.0</v>
      </c>
      <c r="C67" s="200" t="s">
        <v>413</v>
      </c>
      <c r="D67" s="22">
        <f t="shared" si="2"/>
        <v>4.545138889</v>
      </c>
      <c r="E67" s="222">
        <v>0.3840277777777778</v>
      </c>
      <c r="F67" s="222">
        <v>0.375</v>
      </c>
      <c r="G67" s="223" t="s">
        <v>316</v>
      </c>
      <c r="H67" s="244"/>
      <c r="I67" s="244"/>
      <c r="J67" s="222">
        <v>0.3770833333333333</v>
      </c>
      <c r="K67" s="222">
        <v>0.3784722222222222</v>
      </c>
      <c r="L67" s="223" t="s">
        <v>269</v>
      </c>
      <c r="M67" s="222">
        <v>0.3763888888888889</v>
      </c>
      <c r="N67" s="223" t="s">
        <v>316</v>
      </c>
      <c r="O67" s="222"/>
      <c r="P67" s="222"/>
      <c r="Q67" s="222">
        <v>6.944444444444445E-4</v>
      </c>
      <c r="R67" s="223" t="s">
        <v>316</v>
      </c>
      <c r="S67" s="223" t="s">
        <v>316</v>
      </c>
      <c r="T67" s="223" t="s">
        <v>316</v>
      </c>
      <c r="U67" s="223" t="s">
        <v>316</v>
      </c>
      <c r="V67" s="222"/>
      <c r="W67" s="222"/>
      <c r="X67" s="222">
        <v>0.37430555555555556</v>
      </c>
      <c r="Y67" s="222">
        <v>0.3506944444444444</v>
      </c>
      <c r="Z67" s="222">
        <v>0.3902777777777778</v>
      </c>
      <c r="AA67" s="223" t="s">
        <v>271</v>
      </c>
      <c r="AB67" s="223" t="s">
        <v>316</v>
      </c>
      <c r="AC67" s="222"/>
      <c r="AD67" s="222"/>
      <c r="AE67" s="222">
        <v>0.39791666666666664</v>
      </c>
      <c r="AF67" s="222">
        <v>0.37569444444444444</v>
      </c>
      <c r="AG67" s="222">
        <v>0.3840277777777778</v>
      </c>
      <c r="AH67" s="222">
        <v>0.38055555555555554</v>
      </c>
      <c r="AI67" s="223" t="s">
        <v>316</v>
      </c>
    </row>
    <row r="68">
      <c r="A68" s="15"/>
      <c r="B68" s="186">
        <v>65.0</v>
      </c>
      <c r="C68" s="198" t="s">
        <v>397</v>
      </c>
      <c r="D68" s="22">
        <f t="shared" si="2"/>
        <v>4.29375</v>
      </c>
      <c r="E68" s="224">
        <v>0.16666666666666666</v>
      </c>
      <c r="F68" s="223" t="s">
        <v>316</v>
      </c>
      <c r="G68" s="223" t="s">
        <v>316</v>
      </c>
      <c r="H68" s="244"/>
      <c r="I68" s="244"/>
      <c r="J68" s="222">
        <v>0.41944444444444445</v>
      </c>
      <c r="K68" s="222">
        <v>0.3902777777777778</v>
      </c>
      <c r="L68" s="222">
        <v>0.3263888888888889</v>
      </c>
      <c r="M68" s="222">
        <v>0.31666666666666665</v>
      </c>
      <c r="N68" s="223" t="s">
        <v>316</v>
      </c>
      <c r="O68" s="222"/>
      <c r="P68" s="222"/>
      <c r="Q68" s="223" t="s">
        <v>316</v>
      </c>
      <c r="R68" s="223" t="s">
        <v>316</v>
      </c>
      <c r="S68" s="223" t="s">
        <v>316</v>
      </c>
      <c r="T68" s="223" t="s">
        <v>316</v>
      </c>
      <c r="U68" s="223" t="s">
        <v>316</v>
      </c>
      <c r="V68" s="222"/>
      <c r="W68" s="222"/>
      <c r="X68" s="223" t="s">
        <v>269</v>
      </c>
      <c r="Y68" s="224">
        <v>0.16666666666666666</v>
      </c>
      <c r="Z68" s="222">
        <v>0.3951388888888889</v>
      </c>
      <c r="AA68" s="222">
        <v>0.4534722222222222</v>
      </c>
      <c r="AB68" s="223" t="s">
        <v>316</v>
      </c>
      <c r="AC68" s="222"/>
      <c r="AD68" s="222"/>
      <c r="AE68" s="224">
        <v>0.16666666666666666</v>
      </c>
      <c r="AF68" s="222">
        <v>0.46875</v>
      </c>
      <c r="AG68" s="222">
        <v>0.49444444444444446</v>
      </c>
      <c r="AH68" s="222">
        <v>0.5291666666666667</v>
      </c>
      <c r="AI68" s="223" t="s">
        <v>316</v>
      </c>
    </row>
    <row r="69">
      <c r="A69" s="245" t="s">
        <v>281</v>
      </c>
      <c r="B69" s="188">
        <v>66.0</v>
      </c>
      <c r="C69" s="201" t="s">
        <v>32</v>
      </c>
      <c r="D69" s="22">
        <f t="shared" si="2"/>
        <v>4.918055556</v>
      </c>
      <c r="E69" s="223" t="s">
        <v>316</v>
      </c>
      <c r="F69" s="224">
        <v>0.16666666666666666</v>
      </c>
      <c r="G69" s="223" t="s">
        <v>316</v>
      </c>
      <c r="H69" s="244"/>
      <c r="I69" s="244"/>
      <c r="J69" s="224">
        <v>0.325</v>
      </c>
      <c r="K69" s="224">
        <v>0.4375</v>
      </c>
      <c r="L69" s="224">
        <v>0.3888888888888889</v>
      </c>
      <c r="M69" s="224">
        <v>0.3715277777777778</v>
      </c>
      <c r="N69" s="223" t="s">
        <v>316</v>
      </c>
      <c r="O69" s="222"/>
      <c r="P69" s="222"/>
      <c r="Q69" s="223" t="s">
        <v>316</v>
      </c>
      <c r="R69" s="223" t="s">
        <v>316</v>
      </c>
      <c r="S69" s="222">
        <v>0.44583333333333336</v>
      </c>
      <c r="T69" s="222">
        <v>0.3090277777777778</v>
      </c>
      <c r="U69" s="224">
        <v>0.3715277777777778</v>
      </c>
      <c r="V69" s="222"/>
      <c r="W69" s="222"/>
      <c r="X69" s="222">
        <v>0.28958333333333336</v>
      </c>
      <c r="Y69" s="223" t="s">
        <v>316</v>
      </c>
      <c r="Z69" s="224">
        <v>0.3458333333333333</v>
      </c>
      <c r="AA69" s="223" t="s">
        <v>269</v>
      </c>
      <c r="AB69" s="223" t="s">
        <v>269</v>
      </c>
      <c r="AC69" s="222"/>
      <c r="AD69" s="222"/>
      <c r="AE69" s="224">
        <v>0.3541666666666667</v>
      </c>
      <c r="AF69" s="224">
        <v>0.3611111111111111</v>
      </c>
      <c r="AG69" s="224">
        <v>0.36180555555555555</v>
      </c>
      <c r="AH69" s="223" t="s">
        <v>316</v>
      </c>
      <c r="AI69" s="224">
        <v>0.38958333333333334</v>
      </c>
    </row>
    <row r="70">
      <c r="A70" s="166" t="s">
        <v>282</v>
      </c>
      <c r="B70" s="228">
        <v>67.0</v>
      </c>
      <c r="C70" s="206" t="s">
        <v>23</v>
      </c>
      <c r="D70" s="22">
        <f t="shared" si="2"/>
        <v>4.470138889</v>
      </c>
      <c r="E70" s="224">
        <v>0.33402777777777776</v>
      </c>
      <c r="F70" s="222">
        <v>0.3034722222222222</v>
      </c>
      <c r="G70" s="223" t="s">
        <v>316</v>
      </c>
      <c r="H70" s="244"/>
      <c r="I70" s="244"/>
      <c r="J70" s="222">
        <v>0.3298611111111111</v>
      </c>
      <c r="K70" s="222">
        <v>0.33611111111111114</v>
      </c>
      <c r="L70" s="223" t="s">
        <v>272</v>
      </c>
      <c r="M70" s="224">
        <v>0.16666666666666666</v>
      </c>
      <c r="N70" s="224">
        <v>0.16666666666666666</v>
      </c>
      <c r="O70" s="222"/>
      <c r="P70" s="222"/>
      <c r="Q70" s="222">
        <v>0.5569444444444445</v>
      </c>
      <c r="R70" s="223" t="s">
        <v>316</v>
      </c>
      <c r="S70" s="223" t="s">
        <v>316</v>
      </c>
      <c r="T70" s="223" t="s">
        <v>316</v>
      </c>
      <c r="U70" s="223" t="s">
        <v>316</v>
      </c>
      <c r="V70" s="222"/>
      <c r="W70" s="222"/>
      <c r="X70" s="224">
        <v>0.3715277777777778</v>
      </c>
      <c r="Y70" s="222">
        <v>0.2569444444444444</v>
      </c>
      <c r="Z70" s="223" t="s">
        <v>272</v>
      </c>
      <c r="AA70" s="222">
        <v>0.40694444444444444</v>
      </c>
      <c r="AB70" s="223" t="s">
        <v>316</v>
      </c>
      <c r="AC70" s="222"/>
      <c r="AD70" s="222"/>
      <c r="AE70" s="224">
        <v>0.3013888888888889</v>
      </c>
      <c r="AF70" s="224">
        <v>0.3541666666666667</v>
      </c>
      <c r="AG70" s="222">
        <v>0.3527777777777778</v>
      </c>
      <c r="AH70" s="222">
        <v>0.2326388888888889</v>
      </c>
      <c r="AI70" s="223" t="s">
        <v>316</v>
      </c>
    </row>
    <row r="71">
      <c r="A71" s="32"/>
      <c r="B71" s="228">
        <v>68.0</v>
      </c>
      <c r="C71" s="206" t="s">
        <v>138</v>
      </c>
      <c r="D71" s="22">
        <f t="shared" si="2"/>
        <v>3.454861111</v>
      </c>
      <c r="E71" s="222">
        <v>0.2791666666666667</v>
      </c>
      <c r="F71" s="222">
        <v>0.2590277777777778</v>
      </c>
      <c r="G71" s="223" t="s">
        <v>316</v>
      </c>
      <c r="H71" s="244"/>
      <c r="I71" s="244"/>
      <c r="J71" s="222">
        <v>0.38333333333333336</v>
      </c>
      <c r="K71" s="222">
        <v>0.3854166666666667</v>
      </c>
      <c r="L71" s="222">
        <v>0.3715277777777778</v>
      </c>
      <c r="M71" s="222">
        <v>0.2569444444444444</v>
      </c>
      <c r="N71" s="223" t="s">
        <v>316</v>
      </c>
      <c r="O71" s="222"/>
      <c r="P71" s="222"/>
      <c r="Q71" s="224">
        <v>0.07777777777777778</v>
      </c>
      <c r="R71" s="223" t="s">
        <v>316</v>
      </c>
      <c r="S71" s="223" t="s">
        <v>316</v>
      </c>
      <c r="T71" s="223" t="s">
        <v>316</v>
      </c>
      <c r="U71" s="223" t="s">
        <v>316</v>
      </c>
      <c r="V71" s="222"/>
      <c r="W71" s="222"/>
      <c r="X71" s="222">
        <v>0.29930555555555555</v>
      </c>
      <c r="Y71" s="222">
        <v>0.3333333333333333</v>
      </c>
      <c r="Z71" s="224">
        <v>0.43333333333333335</v>
      </c>
      <c r="AA71" s="223" t="s">
        <v>316</v>
      </c>
      <c r="AB71" s="223" t="s">
        <v>316</v>
      </c>
      <c r="AC71" s="222"/>
      <c r="AD71" s="222"/>
      <c r="AE71" s="224">
        <v>0.37569444444444444</v>
      </c>
      <c r="AF71" s="223" t="s">
        <v>271</v>
      </c>
      <c r="AG71" s="223" t="s">
        <v>316</v>
      </c>
      <c r="AH71" s="223" t="s">
        <v>316</v>
      </c>
      <c r="AI71" s="223" t="s">
        <v>316</v>
      </c>
    </row>
    <row r="72">
      <c r="A72" s="32"/>
      <c r="B72" s="149">
        <v>69.0</v>
      </c>
      <c r="C72" s="206" t="s">
        <v>228</v>
      </c>
      <c r="D72" s="22">
        <f t="shared" si="2"/>
        <v>2.821527778</v>
      </c>
      <c r="E72" s="223" t="s">
        <v>316</v>
      </c>
      <c r="F72" s="222">
        <v>0.32708333333333334</v>
      </c>
      <c r="G72" s="223" t="s">
        <v>316</v>
      </c>
      <c r="H72" s="244"/>
      <c r="I72" s="244"/>
      <c r="J72" s="223" t="s">
        <v>272</v>
      </c>
      <c r="K72" s="223" t="s">
        <v>272</v>
      </c>
      <c r="L72" s="223" t="s">
        <v>272</v>
      </c>
      <c r="M72" s="223" t="s">
        <v>272</v>
      </c>
      <c r="N72" s="223" t="s">
        <v>272</v>
      </c>
      <c r="O72" s="222"/>
      <c r="P72" s="222"/>
      <c r="Q72" s="223" t="s">
        <v>422</v>
      </c>
      <c r="R72" s="223" t="s">
        <v>272</v>
      </c>
      <c r="S72" s="223" t="s">
        <v>316</v>
      </c>
      <c r="T72" s="223" t="s">
        <v>316</v>
      </c>
      <c r="U72" s="223" t="s">
        <v>316</v>
      </c>
      <c r="V72" s="222"/>
      <c r="W72" s="222"/>
      <c r="X72" s="222">
        <v>0.3298611111111111</v>
      </c>
      <c r="Y72" s="223" t="s">
        <v>316</v>
      </c>
      <c r="Z72" s="222"/>
      <c r="AA72" s="222">
        <v>0.36736111111111114</v>
      </c>
      <c r="AB72" s="222">
        <v>0.2826388888888889</v>
      </c>
      <c r="AC72" s="222"/>
      <c r="AD72" s="222"/>
      <c r="AE72" s="224">
        <v>0.32708333333333334</v>
      </c>
      <c r="AF72" s="222">
        <v>0.33402777777777776</v>
      </c>
      <c r="AG72" s="222">
        <v>0.34097222222222223</v>
      </c>
      <c r="AH72" s="222">
        <v>0.33055555555555555</v>
      </c>
      <c r="AI72" s="224">
        <v>0.18194444444444444</v>
      </c>
    </row>
    <row r="73">
      <c r="A73" s="32"/>
      <c r="B73" s="228">
        <v>70.0</v>
      </c>
      <c r="C73" s="206" t="s">
        <v>273</v>
      </c>
      <c r="D73" s="22">
        <f t="shared" si="2"/>
        <v>3.422916667</v>
      </c>
      <c r="E73" s="224">
        <v>0.33402777777777776</v>
      </c>
      <c r="F73" s="222">
        <v>0.29375</v>
      </c>
      <c r="G73" s="223" t="s">
        <v>316</v>
      </c>
      <c r="H73" s="244"/>
      <c r="I73" s="244"/>
      <c r="J73" s="222">
        <v>0.31875</v>
      </c>
      <c r="K73" s="244"/>
      <c r="L73" s="222">
        <v>0.2902777777777778</v>
      </c>
      <c r="M73" s="222">
        <v>0.34097222222222223</v>
      </c>
      <c r="N73" s="223" t="s">
        <v>316</v>
      </c>
      <c r="O73" s="222"/>
      <c r="P73" s="222"/>
      <c r="Q73" s="223" t="s">
        <v>316</v>
      </c>
      <c r="R73" s="223" t="s">
        <v>316</v>
      </c>
      <c r="S73" s="223" t="s">
        <v>316</v>
      </c>
      <c r="T73" s="223" t="s">
        <v>316</v>
      </c>
      <c r="U73" s="223" t="s">
        <v>316</v>
      </c>
      <c r="V73" s="222"/>
      <c r="W73" s="222"/>
      <c r="X73" s="222">
        <v>0.30833333333333335</v>
      </c>
      <c r="Y73" s="223" t="s">
        <v>316</v>
      </c>
      <c r="Z73" s="224">
        <v>0.3486111111111111</v>
      </c>
      <c r="AA73" s="222">
        <v>0.29375</v>
      </c>
      <c r="AB73" s="223" t="s">
        <v>316</v>
      </c>
      <c r="AC73" s="222"/>
      <c r="AD73" s="222"/>
      <c r="AE73" s="222">
        <v>0.24305555555555555</v>
      </c>
      <c r="AF73" s="223" t="s">
        <v>316</v>
      </c>
      <c r="AG73" s="222">
        <v>0.30972222222222223</v>
      </c>
      <c r="AH73" s="222">
        <v>0.3416666666666667</v>
      </c>
      <c r="AI73" s="223" t="s">
        <v>316</v>
      </c>
    </row>
    <row r="74">
      <c r="A74" s="32"/>
      <c r="B74" s="228">
        <v>71.0</v>
      </c>
      <c r="C74" s="206" t="s">
        <v>10</v>
      </c>
      <c r="D74" s="22">
        <f t="shared" si="2"/>
        <v>5.722916667</v>
      </c>
      <c r="E74" s="224">
        <v>0.5590277777777778</v>
      </c>
      <c r="F74" s="224">
        <v>0.45902777777777776</v>
      </c>
      <c r="G74" s="223" t="s">
        <v>316</v>
      </c>
      <c r="H74" s="244"/>
      <c r="I74" s="244"/>
      <c r="J74" s="224">
        <v>0.4409722222222222</v>
      </c>
      <c r="K74" s="224">
        <v>0.5423611111111111</v>
      </c>
      <c r="L74" s="224">
        <v>0.5597222222222222</v>
      </c>
      <c r="M74" s="224">
        <v>0.43125</v>
      </c>
      <c r="N74" s="223" t="s">
        <v>316</v>
      </c>
      <c r="O74" s="222"/>
      <c r="P74" s="222"/>
      <c r="Q74" s="223" t="s">
        <v>316</v>
      </c>
      <c r="R74" s="223" t="s">
        <v>316</v>
      </c>
      <c r="S74" s="223" t="s">
        <v>316</v>
      </c>
      <c r="T74" s="224">
        <v>0.44513888888888886</v>
      </c>
      <c r="U74" s="223" t="s">
        <v>316</v>
      </c>
      <c r="V74" s="222"/>
      <c r="W74" s="222"/>
      <c r="X74" s="223" t="s">
        <v>316</v>
      </c>
      <c r="Y74" s="224">
        <v>0.45902777777777776</v>
      </c>
      <c r="Z74" s="223" t="s">
        <v>316</v>
      </c>
      <c r="AA74" s="224">
        <v>0.4791666666666667</v>
      </c>
      <c r="AB74" s="223" t="s">
        <v>316</v>
      </c>
      <c r="AC74" s="222"/>
      <c r="AD74" s="222"/>
      <c r="AE74" s="224">
        <v>0.4375</v>
      </c>
      <c r="AF74" s="224">
        <v>0.5138888888888888</v>
      </c>
      <c r="AG74" s="224">
        <v>0.3958333333333333</v>
      </c>
      <c r="AH74" s="223" t="s">
        <v>316</v>
      </c>
      <c r="AI74" s="223" t="s">
        <v>316</v>
      </c>
    </row>
    <row r="75">
      <c r="A75" s="32"/>
      <c r="B75" s="149">
        <v>72.0</v>
      </c>
      <c r="C75" s="206" t="s">
        <v>6</v>
      </c>
      <c r="D75" s="22">
        <f t="shared" si="2"/>
        <v>10.1375</v>
      </c>
      <c r="E75" s="224">
        <v>0.5284722222222222</v>
      </c>
      <c r="F75" s="224">
        <v>0.45902777777777776</v>
      </c>
      <c r="G75" s="224">
        <v>0.45069444444444445</v>
      </c>
      <c r="H75" s="222"/>
      <c r="I75" s="244"/>
      <c r="J75" s="224">
        <v>0.4756944444444444</v>
      </c>
      <c r="K75" s="224">
        <v>0.4354166666666667</v>
      </c>
      <c r="L75" s="224">
        <v>0.5083333333333333</v>
      </c>
      <c r="M75" s="222">
        <v>0.4361111111111111</v>
      </c>
      <c r="N75" s="224">
        <v>0.41180555555555554</v>
      </c>
      <c r="O75" s="222"/>
      <c r="P75" s="222"/>
      <c r="Q75" s="224">
        <v>0.4597222222222222</v>
      </c>
      <c r="R75" s="224">
        <v>0.3715277777777778</v>
      </c>
      <c r="S75" s="224">
        <v>0.4840277777777778</v>
      </c>
      <c r="T75" s="224">
        <v>0.5534722222222223</v>
      </c>
      <c r="U75" s="224">
        <v>0.4736111111111111</v>
      </c>
      <c r="V75" s="222"/>
      <c r="W75" s="222">
        <v>0.1527777777777778</v>
      </c>
      <c r="X75" s="224">
        <v>0.49444444444444446</v>
      </c>
      <c r="Y75" s="224">
        <v>0.5611111111111111</v>
      </c>
      <c r="Z75" s="224">
        <v>0.4284722222222222</v>
      </c>
      <c r="AA75" s="223" t="s">
        <v>271</v>
      </c>
      <c r="AB75" s="223" t="s">
        <v>271</v>
      </c>
      <c r="AC75" s="223"/>
      <c r="AD75" s="222"/>
      <c r="AE75" s="224">
        <v>0.5368055555555555</v>
      </c>
      <c r="AF75" s="224">
        <v>0.4576388888888889</v>
      </c>
      <c r="AG75" s="224">
        <v>0.43194444444444446</v>
      </c>
      <c r="AH75" s="224">
        <v>0.4701388888888889</v>
      </c>
      <c r="AI75" s="224">
        <v>0.55625</v>
      </c>
    </row>
    <row r="76">
      <c r="A76" s="32"/>
      <c r="B76" s="228">
        <v>73.0</v>
      </c>
      <c r="C76" s="206" t="s">
        <v>75</v>
      </c>
      <c r="D76" s="22">
        <f t="shared" si="2"/>
        <v>3.869444444</v>
      </c>
      <c r="E76" s="222">
        <v>0.2861111111111111</v>
      </c>
      <c r="F76" s="222">
        <v>0.3125</v>
      </c>
      <c r="G76" s="223" t="s">
        <v>316</v>
      </c>
      <c r="H76" s="244"/>
      <c r="I76" s="244"/>
      <c r="J76" s="222">
        <v>0.2423611111111111</v>
      </c>
      <c r="K76" s="222">
        <v>0.2569444444444444</v>
      </c>
      <c r="L76" s="222">
        <v>0.2548611111111111</v>
      </c>
      <c r="M76" s="222">
        <v>0.3263888888888889</v>
      </c>
      <c r="N76" s="223" t="s">
        <v>316</v>
      </c>
      <c r="O76" s="222"/>
      <c r="P76" s="222"/>
      <c r="Q76" s="223" t="s">
        <v>316</v>
      </c>
      <c r="R76" s="223" t="s">
        <v>316</v>
      </c>
      <c r="S76" s="223" t="s">
        <v>316</v>
      </c>
      <c r="T76" s="223" t="s">
        <v>316</v>
      </c>
      <c r="U76" s="223" t="s">
        <v>316</v>
      </c>
      <c r="V76" s="222"/>
      <c r="W76" s="222"/>
      <c r="X76" s="222">
        <v>0.2923611111111111</v>
      </c>
      <c r="Y76" s="222">
        <v>0.27847222222222223</v>
      </c>
      <c r="Z76" s="224">
        <v>0.28125</v>
      </c>
      <c r="AA76" s="222">
        <v>0.22013888888888888</v>
      </c>
      <c r="AB76" s="223" t="s">
        <v>316</v>
      </c>
      <c r="AC76" s="222"/>
      <c r="AD76" s="222"/>
      <c r="AE76" s="224">
        <v>0.2701388888888889</v>
      </c>
      <c r="AF76" s="222">
        <v>0.3055555555555556</v>
      </c>
      <c r="AG76" s="222">
        <v>0.28888888888888886</v>
      </c>
      <c r="AH76" s="222">
        <v>0.2534722222222222</v>
      </c>
      <c r="AI76" s="223" t="s">
        <v>316</v>
      </c>
    </row>
    <row r="77">
      <c r="A77" s="32"/>
      <c r="B77" s="228">
        <v>74.0</v>
      </c>
      <c r="C77" s="206" t="s">
        <v>120</v>
      </c>
      <c r="D77" s="22">
        <f t="shared" si="2"/>
        <v>7.528472222</v>
      </c>
      <c r="E77" s="224">
        <v>0.38333333333333336</v>
      </c>
      <c r="F77" s="224">
        <v>0.38472222222222224</v>
      </c>
      <c r="G77" s="224">
        <v>0.375</v>
      </c>
      <c r="H77" s="223" t="s">
        <v>284</v>
      </c>
      <c r="I77" s="223" t="s">
        <v>284</v>
      </c>
      <c r="J77" s="224">
        <v>0.3819444444444444</v>
      </c>
      <c r="K77" s="222">
        <v>0.36875</v>
      </c>
      <c r="L77" s="224">
        <v>0.38333333333333336</v>
      </c>
      <c r="M77" s="224">
        <v>0.37222222222222223</v>
      </c>
      <c r="N77" s="224">
        <v>0.3840277777777778</v>
      </c>
      <c r="O77" s="223" t="s">
        <v>284</v>
      </c>
      <c r="P77" s="223" t="s">
        <v>284</v>
      </c>
      <c r="Q77" s="224">
        <v>0.3763888888888889</v>
      </c>
      <c r="R77" s="224">
        <v>0.3645833333333333</v>
      </c>
      <c r="S77" s="224">
        <v>0.3597222222222222</v>
      </c>
      <c r="T77" s="224">
        <v>0.3972222222222222</v>
      </c>
      <c r="U77" s="224">
        <v>0.3840277777777778</v>
      </c>
      <c r="V77" s="223" t="s">
        <v>284</v>
      </c>
      <c r="W77" s="223" t="s">
        <v>284</v>
      </c>
      <c r="X77" s="224">
        <v>0.3611111111111111</v>
      </c>
      <c r="Y77" s="224">
        <v>0.3763888888888889</v>
      </c>
      <c r="Z77" s="224">
        <v>0.3854166666666667</v>
      </c>
      <c r="AA77" s="222"/>
      <c r="AB77" s="222"/>
      <c r="AC77" s="223" t="s">
        <v>284</v>
      </c>
      <c r="AD77" s="223" t="s">
        <v>284</v>
      </c>
      <c r="AE77" s="222"/>
      <c r="AF77" s="224">
        <v>0.3645833333333333</v>
      </c>
      <c r="AG77" s="224">
        <v>0.37569444444444444</v>
      </c>
      <c r="AH77" s="224">
        <v>0.3854166666666667</v>
      </c>
      <c r="AI77" s="224">
        <v>0.3645833333333333</v>
      </c>
    </row>
    <row r="78">
      <c r="A78" s="32"/>
      <c r="B78" s="149">
        <v>75.0</v>
      </c>
      <c r="C78" s="207" t="s">
        <v>123</v>
      </c>
      <c r="D78" s="22">
        <f t="shared" si="2"/>
        <v>7.442361111</v>
      </c>
      <c r="E78" s="224">
        <v>0.38333333333333336</v>
      </c>
      <c r="F78" s="224">
        <v>0.36666666666666664</v>
      </c>
      <c r="G78" s="224">
        <v>0.38472222222222224</v>
      </c>
      <c r="H78" s="223" t="s">
        <v>284</v>
      </c>
      <c r="I78" s="223" t="s">
        <v>284</v>
      </c>
      <c r="J78" s="224">
        <v>0.3611111111111111</v>
      </c>
      <c r="K78" s="224">
        <v>0.37569444444444444</v>
      </c>
      <c r="L78" s="222">
        <v>0.3701388888888889</v>
      </c>
      <c r="M78" s="224">
        <v>0.3645833333333333</v>
      </c>
      <c r="N78" s="224">
        <v>0.38472222222222224</v>
      </c>
      <c r="O78" s="223" t="s">
        <v>284</v>
      </c>
      <c r="P78" s="223" t="s">
        <v>284</v>
      </c>
      <c r="Q78" s="222">
        <v>0.39375</v>
      </c>
      <c r="R78" s="224">
        <v>0.37569444444444444</v>
      </c>
      <c r="S78" s="224">
        <v>0.38263888888888886</v>
      </c>
      <c r="T78" s="224">
        <v>0.375</v>
      </c>
      <c r="U78" s="224">
        <v>0.3645833333333333</v>
      </c>
      <c r="V78" s="223" t="s">
        <v>284</v>
      </c>
      <c r="W78" s="223" t="s">
        <v>284</v>
      </c>
      <c r="X78" s="224">
        <v>0.3548611111111111</v>
      </c>
      <c r="Y78" s="224">
        <v>0.37569444444444444</v>
      </c>
      <c r="Z78" s="222"/>
      <c r="AA78" s="222"/>
      <c r="AB78" s="222"/>
      <c r="AC78" s="223" t="s">
        <v>284</v>
      </c>
      <c r="AD78" s="223" t="s">
        <v>284</v>
      </c>
      <c r="AE78" s="224">
        <v>0.36875</v>
      </c>
      <c r="AF78" s="224">
        <v>0.37083333333333335</v>
      </c>
      <c r="AG78" s="224">
        <v>0.3548611111111111</v>
      </c>
      <c r="AH78" s="224">
        <v>0.36180555555555555</v>
      </c>
      <c r="AI78" s="224">
        <v>0.3729166666666667</v>
      </c>
    </row>
    <row r="79">
      <c r="A79" s="32"/>
      <c r="B79" s="228">
        <v>76.0</v>
      </c>
      <c r="C79" s="206" t="s">
        <v>111</v>
      </c>
      <c r="D79" s="22">
        <f t="shared" si="2"/>
        <v>8.684722222</v>
      </c>
      <c r="E79" s="224">
        <v>0.3854166666666667</v>
      </c>
      <c r="F79" s="222">
        <v>0.3625</v>
      </c>
      <c r="G79" s="224">
        <v>0.40625</v>
      </c>
      <c r="H79" s="224">
        <v>0.4131944444444444</v>
      </c>
      <c r="I79" s="223" t="s">
        <v>284</v>
      </c>
      <c r="J79" s="224">
        <v>0.3645833333333333</v>
      </c>
      <c r="K79" s="223" t="s">
        <v>284</v>
      </c>
      <c r="L79" s="224">
        <v>0.3680555555555556</v>
      </c>
      <c r="M79" s="224">
        <v>0.3854166666666667</v>
      </c>
      <c r="N79" s="224">
        <v>0.3715277777777778</v>
      </c>
      <c r="O79" s="223" t="s">
        <v>284</v>
      </c>
      <c r="P79" s="223" t="s">
        <v>284</v>
      </c>
      <c r="Q79" s="224">
        <v>0.3854166666666667</v>
      </c>
      <c r="R79" s="222">
        <v>0.38125</v>
      </c>
      <c r="S79" s="222">
        <v>0.34930555555555554</v>
      </c>
      <c r="T79" s="222">
        <v>0.33611111111111114</v>
      </c>
      <c r="U79" s="222">
        <v>0.34305555555555556</v>
      </c>
      <c r="V79" s="224">
        <v>0.35</v>
      </c>
      <c r="W79" s="223" t="s">
        <v>284</v>
      </c>
      <c r="X79" s="222">
        <v>0.3284722222222222</v>
      </c>
      <c r="Y79" s="222">
        <v>0.34444444444444444</v>
      </c>
      <c r="Z79" s="224">
        <v>0.3541666666666667</v>
      </c>
      <c r="AA79" s="222">
        <v>0.3506944444444444</v>
      </c>
      <c r="AB79" s="224">
        <v>0.36527777777777776</v>
      </c>
      <c r="AC79" s="223" t="s">
        <v>284</v>
      </c>
      <c r="AD79" s="223" t="s">
        <v>284</v>
      </c>
      <c r="AE79" s="224">
        <v>0.34375</v>
      </c>
      <c r="AF79" s="222">
        <v>0.3215277777777778</v>
      </c>
      <c r="AG79" s="222">
        <v>0.33819444444444446</v>
      </c>
      <c r="AH79" s="222">
        <v>0.3645833333333333</v>
      </c>
      <c r="AI79" s="224">
        <v>0.3715277777777778</v>
      </c>
    </row>
    <row r="80">
      <c r="A80" s="32"/>
      <c r="B80" s="228">
        <v>77.0</v>
      </c>
      <c r="C80" s="207" t="s">
        <v>114</v>
      </c>
      <c r="D80" s="22">
        <f t="shared" si="2"/>
        <v>10.14722222</v>
      </c>
      <c r="E80" s="222">
        <v>0.3645833333333333</v>
      </c>
      <c r="F80" s="222">
        <v>0.3854166666666667</v>
      </c>
      <c r="G80" s="224">
        <v>0.39861111111111114</v>
      </c>
      <c r="H80" s="224">
        <v>0.4444444444444444</v>
      </c>
      <c r="I80" s="222">
        <v>0.4638888888888889</v>
      </c>
      <c r="J80" s="222">
        <v>0.34930555555555554</v>
      </c>
      <c r="K80" s="222">
        <v>0.3548611111111111</v>
      </c>
      <c r="L80" s="222">
        <v>0.35208333333333336</v>
      </c>
      <c r="M80" s="224">
        <v>0.38958333333333334</v>
      </c>
      <c r="N80" s="224">
        <v>0.4027777777777778</v>
      </c>
      <c r="O80" s="222">
        <v>0.37569444444444444</v>
      </c>
      <c r="P80" s="222">
        <v>0.39166666666666666</v>
      </c>
      <c r="Q80" s="222">
        <v>0.34791666666666665</v>
      </c>
      <c r="R80" s="222">
        <v>0.35208333333333336</v>
      </c>
      <c r="S80" s="222">
        <v>0.3590277777777778</v>
      </c>
      <c r="T80" s="224">
        <v>0.375</v>
      </c>
      <c r="U80" s="224">
        <v>0.35</v>
      </c>
      <c r="V80" s="222">
        <v>0.3701388888888889</v>
      </c>
      <c r="W80" s="222">
        <v>0.4076388888888889</v>
      </c>
      <c r="X80" s="222">
        <v>0.3597222222222222</v>
      </c>
      <c r="Y80" s="222">
        <v>0.3625</v>
      </c>
      <c r="Z80" s="224">
        <v>0.39444444444444443</v>
      </c>
      <c r="AA80" s="222"/>
      <c r="AB80" s="222"/>
      <c r="AC80" s="222"/>
      <c r="AD80" s="222"/>
      <c r="AE80" s="224">
        <v>0.36666666666666664</v>
      </c>
      <c r="AF80" s="222">
        <v>0.36319444444444443</v>
      </c>
      <c r="AG80" s="222">
        <v>0.3659722222222222</v>
      </c>
      <c r="AH80" s="222">
        <v>0.3451388888888889</v>
      </c>
      <c r="AI80" s="224">
        <v>0.3548611111111111</v>
      </c>
    </row>
    <row r="81">
      <c r="A81" s="32"/>
      <c r="B81" s="149">
        <v>78.0</v>
      </c>
      <c r="C81" s="207" t="s">
        <v>129</v>
      </c>
      <c r="D81" s="22">
        <f t="shared" si="2"/>
        <v>9.120138889</v>
      </c>
      <c r="E81" s="222">
        <v>0.3388888888888889</v>
      </c>
      <c r="F81" s="222">
        <v>0.3402777777777778</v>
      </c>
      <c r="G81" s="222">
        <v>0.2465277777777778</v>
      </c>
      <c r="H81" s="222">
        <v>0.36666666666666664</v>
      </c>
      <c r="I81" s="222">
        <v>0.3368055555555556</v>
      </c>
      <c r="J81" s="223" t="s">
        <v>284</v>
      </c>
      <c r="K81" s="222">
        <v>0.35833333333333334</v>
      </c>
      <c r="L81" s="222">
        <v>0.3590277777777778</v>
      </c>
      <c r="M81" s="222">
        <v>0.3486111111111111</v>
      </c>
      <c r="N81" s="224">
        <v>0.34930555555555554</v>
      </c>
      <c r="O81" s="222">
        <v>0.34305555555555556</v>
      </c>
      <c r="P81" s="222">
        <v>0.33194444444444443</v>
      </c>
      <c r="Q81" s="223" t="s">
        <v>284</v>
      </c>
      <c r="R81" s="222">
        <v>0.35138888888888886</v>
      </c>
      <c r="S81" s="222">
        <v>0.3506944444444444</v>
      </c>
      <c r="T81" s="222">
        <v>0.36875</v>
      </c>
      <c r="U81" s="222">
        <v>0.3472222222222222</v>
      </c>
      <c r="V81" s="222">
        <v>0.36041666666666666</v>
      </c>
      <c r="W81" s="222">
        <v>0.36736111111111114</v>
      </c>
      <c r="X81" s="223" t="s">
        <v>284</v>
      </c>
      <c r="Y81" s="222">
        <v>0.3368055555555556</v>
      </c>
      <c r="Z81" s="224">
        <v>0.3458333333333333</v>
      </c>
      <c r="AA81" s="222">
        <v>0.3388888888888889</v>
      </c>
      <c r="AB81" s="222">
        <v>0.35555555555555557</v>
      </c>
      <c r="AC81" s="222">
        <v>0.3326388888888889</v>
      </c>
      <c r="AD81" s="222">
        <f>VLOOKUP($C:$C,Data!$D:$P,13,false)</f>
        <v>0.3354166667</v>
      </c>
      <c r="AE81" s="223" t="s">
        <v>284</v>
      </c>
      <c r="AF81" s="222">
        <v>0.35</v>
      </c>
      <c r="AG81" s="222">
        <v>0.3576388888888889</v>
      </c>
      <c r="AH81" s="222">
        <v>0.22361111111111112</v>
      </c>
      <c r="AI81" s="222">
        <v>0.27847222222222223</v>
      </c>
    </row>
    <row r="82">
      <c r="A82" s="32"/>
      <c r="B82" s="228">
        <v>79.0</v>
      </c>
      <c r="C82" s="206" t="s">
        <v>126</v>
      </c>
      <c r="D82" s="22">
        <f t="shared" si="2"/>
        <v>13.67152778</v>
      </c>
      <c r="E82" s="222">
        <v>0.6104166666666667</v>
      </c>
      <c r="F82" s="224">
        <v>0.6423611111111112</v>
      </c>
      <c r="G82" s="222">
        <v>0.5909722222222222</v>
      </c>
      <c r="H82" s="222">
        <v>0.3402777777777778</v>
      </c>
      <c r="I82" s="222">
        <v>0.44027777777777777</v>
      </c>
      <c r="J82" s="222">
        <v>0.35347222222222224</v>
      </c>
      <c r="K82" s="222">
        <v>0.5923611111111111</v>
      </c>
      <c r="L82" s="222">
        <v>0.5916666666666667</v>
      </c>
      <c r="M82" s="222">
        <v>0.6319444444444444</v>
      </c>
      <c r="N82" s="224">
        <v>0.5638888888888889</v>
      </c>
      <c r="O82" s="223" t="s">
        <v>284</v>
      </c>
      <c r="P82" s="222">
        <v>0.43819444444444444</v>
      </c>
      <c r="Q82" s="222">
        <v>0.5951388888888889</v>
      </c>
      <c r="R82" s="222">
        <v>0.3375</v>
      </c>
      <c r="S82" s="222">
        <v>0.6243055555555556</v>
      </c>
      <c r="T82" s="222">
        <v>0.5256944444444445</v>
      </c>
      <c r="U82" s="222">
        <v>0.3416666666666667</v>
      </c>
      <c r="V82" s="223" t="s">
        <v>284</v>
      </c>
      <c r="W82" s="224">
        <v>0.5402777777777777</v>
      </c>
      <c r="X82" s="222">
        <v>0.5402777777777777</v>
      </c>
      <c r="Y82" s="222">
        <v>0.5194444444444445</v>
      </c>
      <c r="Z82" s="224">
        <v>0.6652777777777777</v>
      </c>
      <c r="AA82" s="222"/>
      <c r="AB82" s="222"/>
      <c r="AC82" s="223" t="s">
        <v>284</v>
      </c>
      <c r="AD82" s="222">
        <f>VLOOKUP($C:$C,Data!$D:$P,13,false)</f>
        <v>0.3541666667</v>
      </c>
      <c r="AE82" s="224">
        <v>0.37569444444444444</v>
      </c>
      <c r="AF82" s="222">
        <v>0.6541666666666667</v>
      </c>
      <c r="AG82" s="222">
        <v>0.49027777777777776</v>
      </c>
      <c r="AH82" s="222">
        <v>0.6583333333333333</v>
      </c>
      <c r="AI82" s="222">
        <v>0.6534722222222222</v>
      </c>
    </row>
    <row r="83">
      <c r="A83" s="32"/>
      <c r="B83" s="228">
        <v>80.0</v>
      </c>
      <c r="C83" s="206" t="s">
        <v>287</v>
      </c>
      <c r="D83" s="22">
        <f t="shared" si="2"/>
        <v>8.983333333</v>
      </c>
      <c r="E83" s="222">
        <v>0.3451388888888889</v>
      </c>
      <c r="F83" s="223" t="s">
        <v>284</v>
      </c>
      <c r="G83" s="222">
        <v>0.4215277777777778</v>
      </c>
      <c r="H83" s="222">
        <v>0.3506944444444444</v>
      </c>
      <c r="I83" s="222">
        <v>0.3527777777777778</v>
      </c>
      <c r="J83" s="222">
        <v>0.3548611111111111</v>
      </c>
      <c r="K83" s="222">
        <v>0.39861111111111114</v>
      </c>
      <c r="L83" s="223" t="s">
        <v>284</v>
      </c>
      <c r="M83" s="224">
        <v>0.3958333333333333</v>
      </c>
      <c r="N83" s="224">
        <v>0.3590277777777778</v>
      </c>
      <c r="O83" s="222">
        <v>0.34097222222222223</v>
      </c>
      <c r="P83" s="222">
        <v>0.34930555555555554</v>
      </c>
      <c r="Q83" s="222">
        <v>0.35</v>
      </c>
      <c r="R83" s="222">
        <v>0.35208333333333336</v>
      </c>
      <c r="S83" s="223" t="s">
        <v>284</v>
      </c>
      <c r="T83" s="222">
        <v>0.3416666666666667</v>
      </c>
      <c r="U83" s="222">
        <v>0.3486111111111111</v>
      </c>
      <c r="V83" s="222">
        <v>0.3333333333333333</v>
      </c>
      <c r="W83" s="222">
        <v>0.35555555555555557</v>
      </c>
      <c r="X83" s="222">
        <v>0.375</v>
      </c>
      <c r="Y83" s="222">
        <v>0.33402777777777776</v>
      </c>
      <c r="Z83" s="223" t="s">
        <v>284</v>
      </c>
      <c r="AA83" s="222">
        <v>0.34652777777777777</v>
      </c>
      <c r="AB83" s="222">
        <v>0.40902777777777777</v>
      </c>
      <c r="AC83" s="222">
        <v>0.3458333333333333</v>
      </c>
      <c r="AD83" s="223" t="s">
        <v>284</v>
      </c>
      <c r="AE83" s="222">
        <v>0.35625</v>
      </c>
      <c r="AF83" s="224">
        <v>0.3486111111111111</v>
      </c>
      <c r="AG83" s="222">
        <v>0.3506944444444444</v>
      </c>
      <c r="AH83" s="223" t="s">
        <v>284</v>
      </c>
      <c r="AI83" s="222">
        <v>0.36736111111111114</v>
      </c>
    </row>
    <row r="84">
      <c r="A84" s="32"/>
      <c r="B84" s="149">
        <v>81.0</v>
      </c>
      <c r="C84" s="208" t="s">
        <v>162</v>
      </c>
      <c r="D84" s="22">
        <f t="shared" si="2"/>
        <v>10.78263889</v>
      </c>
      <c r="E84" s="224">
        <v>0.5277777777777778</v>
      </c>
      <c r="F84" s="224">
        <v>0.45902777777777776</v>
      </c>
      <c r="G84" s="224">
        <v>0.45</v>
      </c>
      <c r="H84" s="224">
        <v>0.40625</v>
      </c>
      <c r="I84" s="223" t="s">
        <v>284</v>
      </c>
      <c r="J84" s="224">
        <v>0.475</v>
      </c>
      <c r="K84" s="222">
        <v>0.3993055555555556</v>
      </c>
      <c r="L84" s="224">
        <v>0.5083333333333333</v>
      </c>
      <c r="M84" s="222">
        <v>0.37430555555555556</v>
      </c>
      <c r="N84" s="224">
        <v>0.4111111111111111</v>
      </c>
      <c r="O84" s="222">
        <v>0.325</v>
      </c>
      <c r="P84" s="223" t="s">
        <v>284</v>
      </c>
      <c r="Q84" s="224">
        <v>0.45416666666666666</v>
      </c>
      <c r="R84" s="222">
        <v>0.3215277777777778</v>
      </c>
      <c r="S84" s="224">
        <v>0.4840277777777778</v>
      </c>
      <c r="T84" s="224">
        <v>0.5465277777777777</v>
      </c>
      <c r="U84" s="224">
        <v>0.40625</v>
      </c>
      <c r="V84" s="224">
        <v>0.4027777777777778</v>
      </c>
      <c r="W84" s="223" t="s">
        <v>284</v>
      </c>
      <c r="X84" s="224">
        <v>0.45694444444444443</v>
      </c>
      <c r="Y84" s="224">
        <v>0.5604166666666667</v>
      </c>
      <c r="Z84" s="224">
        <v>0.36180555555555555</v>
      </c>
      <c r="AA84" s="222"/>
      <c r="AB84" s="222"/>
      <c r="AC84" s="222"/>
      <c r="AD84" s="223" t="s">
        <v>284</v>
      </c>
      <c r="AE84" s="224">
        <v>0.5368055555555555</v>
      </c>
      <c r="AF84" s="224">
        <v>0.45694444444444443</v>
      </c>
      <c r="AG84" s="224">
        <v>0.43125</v>
      </c>
      <c r="AH84" s="224">
        <v>0.4701388888888889</v>
      </c>
      <c r="AI84" s="224">
        <v>0.5569444444444445</v>
      </c>
    </row>
    <row r="85">
      <c r="A85" s="32"/>
      <c r="B85" s="228">
        <v>82.0</v>
      </c>
      <c r="C85" s="206" t="s">
        <v>117</v>
      </c>
      <c r="D85" s="22">
        <f t="shared" si="2"/>
        <v>9.729861111</v>
      </c>
      <c r="E85" s="222">
        <v>0.3923611111111111</v>
      </c>
      <c r="F85" s="224">
        <v>0.38333333333333336</v>
      </c>
      <c r="G85" s="222">
        <v>0.3819444444444444</v>
      </c>
      <c r="H85" s="223" t="s">
        <v>284</v>
      </c>
      <c r="I85" s="224">
        <v>0.375</v>
      </c>
      <c r="J85" s="224">
        <v>0.38333333333333336</v>
      </c>
      <c r="K85" s="224">
        <v>0.38333333333333336</v>
      </c>
      <c r="L85" s="222">
        <v>0.38472222222222224</v>
      </c>
      <c r="M85" s="222">
        <v>0.38958333333333334</v>
      </c>
      <c r="N85" s="224">
        <v>0.38333333333333336</v>
      </c>
      <c r="O85" s="223" t="s">
        <v>284</v>
      </c>
      <c r="P85" s="223" t="s">
        <v>284</v>
      </c>
      <c r="Q85" s="222">
        <v>0.3888888888888889</v>
      </c>
      <c r="R85" s="224">
        <v>0.375</v>
      </c>
      <c r="S85" s="224">
        <v>0.3840277777777778</v>
      </c>
      <c r="T85" s="224">
        <v>0.38472222222222224</v>
      </c>
      <c r="U85" s="224">
        <v>0.375</v>
      </c>
      <c r="V85" s="223" t="s">
        <v>284</v>
      </c>
      <c r="W85" s="224">
        <v>0.38333333333333336</v>
      </c>
      <c r="X85" s="224">
        <v>0.3819444444444444</v>
      </c>
      <c r="Y85" s="222">
        <v>0.42291666666666666</v>
      </c>
      <c r="Z85" s="224">
        <v>0.42777777777777776</v>
      </c>
      <c r="AA85" s="224">
        <v>0.43680555555555556</v>
      </c>
      <c r="AB85" s="223" t="s">
        <v>284</v>
      </c>
      <c r="AC85" s="223" t="s">
        <v>284</v>
      </c>
      <c r="AD85" s="224">
        <v>0.4131944444444444</v>
      </c>
      <c r="AE85" s="224">
        <v>0.4027777777777778</v>
      </c>
      <c r="AF85" s="224">
        <v>0.3638888888888889</v>
      </c>
      <c r="AG85" s="222">
        <v>0.39791666666666664</v>
      </c>
      <c r="AH85" s="222">
        <v>0.34444444444444444</v>
      </c>
      <c r="AI85" s="224">
        <v>0.3902777777777778</v>
      </c>
    </row>
    <row r="86">
      <c r="A86" s="32"/>
      <c r="B86" s="228">
        <v>83.0</v>
      </c>
      <c r="C86" s="206" t="s">
        <v>237</v>
      </c>
      <c r="D86" s="22">
        <f t="shared" si="2"/>
        <v>8.177777778</v>
      </c>
      <c r="E86" s="222">
        <v>0.3347222222222222</v>
      </c>
      <c r="F86" s="222">
        <v>0.3326388888888889</v>
      </c>
      <c r="G86" s="224">
        <v>0.33125</v>
      </c>
      <c r="H86" s="222">
        <v>0.34305555555555556</v>
      </c>
      <c r="I86" s="222">
        <v>0.33611111111111114</v>
      </c>
      <c r="J86" s="222">
        <v>0.3375</v>
      </c>
      <c r="K86" s="223" t="s">
        <v>284</v>
      </c>
      <c r="L86" s="222">
        <v>0.33125</v>
      </c>
      <c r="M86" s="222">
        <v>0.33055555555555555</v>
      </c>
      <c r="N86" s="224">
        <v>0.3326388888888889</v>
      </c>
      <c r="O86" s="222">
        <v>0.33541666666666664</v>
      </c>
      <c r="P86" s="222">
        <v>0.33402777777777776</v>
      </c>
      <c r="Q86" s="222">
        <v>0.3284722222222222</v>
      </c>
      <c r="R86" s="223" t="s">
        <v>284</v>
      </c>
      <c r="S86" s="223" t="s">
        <v>316</v>
      </c>
      <c r="T86" s="222">
        <v>0.3590277777777778</v>
      </c>
      <c r="U86" s="222">
        <v>0.33055555555555555</v>
      </c>
      <c r="V86" s="224">
        <v>0.3645833333333333</v>
      </c>
      <c r="W86" s="223" t="s">
        <v>284</v>
      </c>
      <c r="X86" s="222">
        <v>0.3458333333333333</v>
      </c>
      <c r="Y86" s="114" t="s">
        <v>284</v>
      </c>
      <c r="Z86" s="224">
        <v>0.35555555555555557</v>
      </c>
      <c r="AA86" s="224">
        <v>0.35833333333333334</v>
      </c>
      <c r="AB86" s="222">
        <v>0.32222222222222224</v>
      </c>
      <c r="AC86" s="222">
        <v>0.33125</v>
      </c>
      <c r="AD86" s="223" t="s">
        <v>284</v>
      </c>
      <c r="AE86" s="224">
        <v>0.34375</v>
      </c>
      <c r="AF86" s="223" t="s">
        <v>284</v>
      </c>
      <c r="AG86" s="224">
        <v>0.3576388888888889</v>
      </c>
      <c r="AH86" s="222">
        <v>0.3368055555555556</v>
      </c>
      <c r="AI86" s="224">
        <v>0.3645833333333333</v>
      </c>
    </row>
    <row r="87">
      <c r="A87" s="15"/>
      <c r="B87" s="149">
        <v>84.0</v>
      </c>
      <c r="C87" s="206" t="s">
        <v>288</v>
      </c>
      <c r="D87" s="22">
        <f t="shared" si="2"/>
        <v>9.165972222</v>
      </c>
      <c r="E87" s="224">
        <v>0.3375</v>
      </c>
      <c r="F87" s="224">
        <v>0.34305555555555556</v>
      </c>
      <c r="G87" s="223" t="s">
        <v>284</v>
      </c>
      <c r="H87" s="224">
        <v>0.3298611111111111</v>
      </c>
      <c r="I87" s="224">
        <v>0.3402777777777778</v>
      </c>
      <c r="J87" s="224">
        <v>0.3388888888888889</v>
      </c>
      <c r="K87" s="224">
        <v>0.33541666666666664</v>
      </c>
      <c r="L87" s="224">
        <v>0.3375</v>
      </c>
      <c r="M87" s="223" t="s">
        <v>284</v>
      </c>
      <c r="N87" s="224">
        <v>0.3451388888888889</v>
      </c>
      <c r="O87" s="224">
        <v>0.33541666666666664</v>
      </c>
      <c r="P87" s="224">
        <v>0.33611111111111114</v>
      </c>
      <c r="Q87" s="224">
        <v>0.35347222222222224</v>
      </c>
      <c r="R87" s="224">
        <v>0.33541666666666664</v>
      </c>
      <c r="S87" s="224">
        <v>0.3416666666666667</v>
      </c>
      <c r="T87" s="223" t="s">
        <v>284</v>
      </c>
      <c r="U87" s="224">
        <v>0.3388888888888889</v>
      </c>
      <c r="V87" s="224">
        <v>0.32916666666666666</v>
      </c>
      <c r="W87" s="224">
        <v>0.33958333333333335</v>
      </c>
      <c r="X87" s="224">
        <v>0.33611111111111114</v>
      </c>
      <c r="Y87" s="224">
        <v>0.33541666666666664</v>
      </c>
      <c r="Z87" s="224">
        <v>0.3388888888888889</v>
      </c>
      <c r="AA87" s="224">
        <v>0.3423611111111111</v>
      </c>
      <c r="AB87" s="224">
        <v>0.3326388888888889</v>
      </c>
      <c r="AC87" s="224">
        <v>0.3715277777777778</v>
      </c>
      <c r="AD87" s="224">
        <v>0.34097222222222223</v>
      </c>
      <c r="AE87" s="224">
        <v>0.3347222222222222</v>
      </c>
      <c r="AF87" s="224">
        <v>0.3388888888888889</v>
      </c>
      <c r="AG87" s="224">
        <v>0.3375</v>
      </c>
      <c r="AH87" s="224">
        <v>0.33958333333333335</v>
      </c>
      <c r="AI87" s="223" t="s">
        <v>284</v>
      </c>
    </row>
    <row r="88">
      <c r="E88" s="233"/>
      <c r="F88" s="65"/>
      <c r="G88" s="65"/>
      <c r="H88" s="65"/>
      <c r="I88" s="65"/>
      <c r="J88" s="65"/>
      <c r="K88" s="65"/>
      <c r="L88" s="233"/>
      <c r="M88" s="65"/>
      <c r="N88" s="65"/>
      <c r="O88" s="65"/>
      <c r="P88" s="65"/>
      <c r="Q88" s="65"/>
      <c r="R88" s="65"/>
      <c r="S88" s="65"/>
      <c r="T88" s="65"/>
      <c r="AE88" s="234"/>
    </row>
    <row r="89">
      <c r="E89" s="233"/>
      <c r="F89" s="65"/>
      <c r="G89" s="65"/>
      <c r="H89" s="65"/>
      <c r="I89" s="65"/>
      <c r="J89" s="65"/>
      <c r="K89" s="65"/>
      <c r="L89" s="233"/>
      <c r="M89" s="65"/>
      <c r="N89" s="65"/>
      <c r="O89" s="65"/>
      <c r="P89" s="65"/>
      <c r="Q89" s="65"/>
      <c r="R89" s="65"/>
      <c r="S89" s="65"/>
      <c r="T89" s="65"/>
      <c r="AE89" s="234"/>
    </row>
    <row r="90">
      <c r="E90" s="233"/>
      <c r="F90" s="65"/>
      <c r="G90" s="65"/>
      <c r="H90" s="65"/>
      <c r="I90" s="65"/>
      <c r="J90" s="65"/>
      <c r="K90" s="65"/>
      <c r="L90" s="233"/>
      <c r="M90" s="65"/>
      <c r="N90" s="65"/>
      <c r="O90" s="65"/>
      <c r="P90" s="65"/>
      <c r="Q90" s="65"/>
      <c r="R90" s="65"/>
      <c r="S90" s="65"/>
      <c r="T90" s="65"/>
      <c r="AE90" s="234"/>
    </row>
    <row r="91">
      <c r="E91" s="233"/>
      <c r="F91" s="65"/>
      <c r="G91" s="65"/>
      <c r="H91" s="65"/>
      <c r="I91" s="65"/>
      <c r="J91" s="65"/>
      <c r="K91" s="65"/>
      <c r="L91" s="233"/>
      <c r="M91" s="65"/>
      <c r="N91" s="65"/>
      <c r="O91" s="65"/>
      <c r="P91" s="65"/>
      <c r="Q91" s="65"/>
      <c r="R91" s="65"/>
      <c r="S91" s="65"/>
      <c r="T91" s="65"/>
      <c r="AE91" s="234"/>
    </row>
    <row r="92">
      <c r="E92" s="233"/>
      <c r="F92" s="65"/>
      <c r="G92" s="65"/>
      <c r="H92" s="65"/>
      <c r="I92" s="65"/>
      <c r="J92" s="65"/>
      <c r="K92" s="65"/>
      <c r="L92" s="233"/>
      <c r="M92" s="65"/>
      <c r="N92" s="65"/>
      <c r="O92" s="65"/>
      <c r="P92" s="65"/>
      <c r="Q92" s="65"/>
      <c r="R92" s="65"/>
      <c r="S92" s="65"/>
      <c r="T92" s="65"/>
      <c r="AE92" s="234"/>
    </row>
    <row r="93">
      <c r="E93" s="233"/>
      <c r="F93" s="65"/>
      <c r="G93" s="65"/>
      <c r="H93" s="65"/>
      <c r="I93" s="65"/>
      <c r="J93" s="65"/>
      <c r="K93" s="65"/>
      <c r="L93" s="233"/>
      <c r="M93" s="65"/>
      <c r="N93" s="65"/>
      <c r="O93" s="65"/>
      <c r="P93" s="65"/>
      <c r="Q93" s="65"/>
      <c r="R93" s="65"/>
      <c r="S93" s="65"/>
      <c r="T93" s="65"/>
      <c r="AE93" s="234"/>
    </row>
    <row r="94">
      <c r="E94" s="233"/>
      <c r="F94" s="65"/>
      <c r="G94" s="65"/>
      <c r="H94" s="65"/>
      <c r="I94" s="65"/>
      <c r="J94" s="65"/>
      <c r="K94" s="65"/>
      <c r="L94" s="233"/>
      <c r="M94" s="65"/>
      <c r="N94" s="65"/>
      <c r="O94" s="65"/>
      <c r="P94" s="65"/>
      <c r="Q94" s="65"/>
      <c r="R94" s="65"/>
      <c r="S94" s="65"/>
      <c r="T94" s="65"/>
      <c r="AE94" s="234"/>
    </row>
    <row r="95">
      <c r="E95" s="233"/>
      <c r="F95" s="65"/>
      <c r="G95" s="65"/>
      <c r="H95" s="65"/>
      <c r="I95" s="65"/>
      <c r="J95" s="65"/>
      <c r="K95" s="65"/>
      <c r="L95" s="233"/>
      <c r="M95" s="65"/>
      <c r="N95" s="65"/>
      <c r="O95" s="65"/>
      <c r="P95" s="65"/>
      <c r="Q95" s="65"/>
      <c r="R95" s="65"/>
      <c r="S95" s="65"/>
      <c r="T95" s="65"/>
      <c r="AE95" s="234"/>
    </row>
    <row r="96">
      <c r="E96" s="233"/>
      <c r="F96" s="65"/>
      <c r="G96" s="65"/>
      <c r="H96" s="65"/>
      <c r="I96" s="65"/>
      <c r="J96" s="65"/>
      <c r="K96" s="65"/>
      <c r="L96" s="233"/>
      <c r="M96" s="65"/>
      <c r="N96" s="65"/>
      <c r="O96" s="65"/>
      <c r="P96" s="65"/>
      <c r="Q96" s="65"/>
      <c r="R96" s="65"/>
      <c r="S96" s="65"/>
      <c r="T96" s="65"/>
      <c r="AE96" s="234"/>
    </row>
    <row r="97">
      <c r="E97" s="233"/>
      <c r="F97" s="65"/>
      <c r="G97" s="65"/>
      <c r="H97" s="65"/>
      <c r="I97" s="65"/>
      <c r="J97" s="65"/>
      <c r="K97" s="65"/>
      <c r="L97" s="233"/>
      <c r="M97" s="65"/>
      <c r="N97" s="65"/>
      <c r="O97" s="65"/>
      <c r="P97" s="65"/>
      <c r="Q97" s="65"/>
      <c r="R97" s="65"/>
      <c r="S97" s="65"/>
      <c r="T97" s="65"/>
      <c r="AE97" s="234"/>
    </row>
    <row r="98">
      <c r="E98" s="233"/>
      <c r="F98" s="65"/>
      <c r="G98" s="65"/>
      <c r="H98" s="65"/>
      <c r="I98" s="65"/>
      <c r="J98" s="65"/>
      <c r="K98" s="65"/>
      <c r="L98" s="233"/>
      <c r="M98" s="65"/>
      <c r="N98" s="65"/>
      <c r="O98" s="65"/>
      <c r="P98" s="65"/>
      <c r="Q98" s="65"/>
      <c r="R98" s="65"/>
      <c r="S98" s="65"/>
      <c r="T98" s="65"/>
      <c r="AE98" s="234"/>
    </row>
    <row r="99">
      <c r="E99" s="233"/>
      <c r="F99" s="65"/>
      <c r="G99" s="65"/>
      <c r="H99" s="65"/>
      <c r="I99" s="65"/>
      <c r="J99" s="65"/>
      <c r="K99" s="65"/>
      <c r="L99" s="233"/>
      <c r="M99" s="65"/>
      <c r="N99" s="65"/>
      <c r="O99" s="65"/>
      <c r="P99" s="65"/>
      <c r="Q99" s="65"/>
      <c r="R99" s="65"/>
      <c r="S99" s="65"/>
      <c r="T99" s="65"/>
      <c r="AE99" s="234"/>
    </row>
    <row r="100">
      <c r="E100" s="234"/>
      <c r="L100" s="234"/>
      <c r="AE100" s="234"/>
    </row>
    <row r="101">
      <c r="E101" s="234"/>
      <c r="L101" s="234"/>
      <c r="AE101" s="234"/>
    </row>
    <row r="102">
      <c r="E102" s="234"/>
      <c r="L102" s="234"/>
      <c r="AE102" s="234"/>
    </row>
    <row r="103">
      <c r="E103" s="234"/>
      <c r="L103" s="234"/>
      <c r="AE103" s="234"/>
    </row>
    <row r="104">
      <c r="E104" s="234"/>
      <c r="L104" s="234"/>
      <c r="AE104" s="234"/>
    </row>
    <row r="105">
      <c r="E105" s="234"/>
      <c r="L105" s="234"/>
      <c r="AE105" s="234"/>
    </row>
    <row r="106">
      <c r="E106" s="234"/>
      <c r="L106" s="234"/>
      <c r="AE106" s="234"/>
    </row>
    <row r="107">
      <c r="E107" s="234"/>
      <c r="L107" s="234"/>
      <c r="AE107" s="234"/>
    </row>
    <row r="108">
      <c r="E108" s="234"/>
      <c r="L108" s="234"/>
      <c r="AE108" s="234"/>
    </row>
    <row r="109">
      <c r="E109" s="234"/>
      <c r="L109" s="234"/>
      <c r="AE109" s="234"/>
    </row>
    <row r="110">
      <c r="E110" s="234"/>
      <c r="L110" s="234"/>
      <c r="AE110" s="234"/>
    </row>
    <row r="111">
      <c r="E111" s="234"/>
      <c r="L111" s="234"/>
      <c r="AE111" s="234"/>
    </row>
    <row r="112">
      <c r="E112" s="234"/>
      <c r="L112" s="234"/>
      <c r="AE112" s="234"/>
    </row>
    <row r="113">
      <c r="E113" s="234"/>
      <c r="L113" s="234"/>
      <c r="AE113" s="234"/>
    </row>
    <row r="114">
      <c r="E114" s="234"/>
      <c r="L114" s="234"/>
      <c r="AE114" s="234"/>
    </row>
    <row r="115">
      <c r="E115" s="234"/>
      <c r="L115" s="234"/>
      <c r="AE115" s="234"/>
    </row>
    <row r="116">
      <c r="E116" s="234"/>
      <c r="L116" s="234"/>
      <c r="AE116" s="234"/>
    </row>
    <row r="117">
      <c r="E117" s="234"/>
      <c r="L117" s="234"/>
      <c r="AE117" s="234"/>
    </row>
    <row r="118">
      <c r="E118" s="234"/>
      <c r="L118" s="234"/>
      <c r="AE118" s="234"/>
    </row>
    <row r="119">
      <c r="E119" s="234"/>
      <c r="L119" s="234"/>
      <c r="AE119" s="234"/>
    </row>
    <row r="120">
      <c r="E120" s="234"/>
      <c r="L120" s="234"/>
      <c r="AE120" s="234"/>
    </row>
    <row r="121">
      <c r="E121" s="234"/>
      <c r="L121" s="234"/>
      <c r="AE121" s="234"/>
    </row>
    <row r="122">
      <c r="E122" s="234"/>
      <c r="L122" s="234"/>
      <c r="AE122" s="234"/>
    </row>
    <row r="123">
      <c r="E123" s="234"/>
      <c r="L123" s="234"/>
      <c r="AE123" s="234"/>
    </row>
    <row r="124">
      <c r="E124" s="234"/>
      <c r="L124" s="234"/>
      <c r="AE124" s="234"/>
    </row>
    <row r="125">
      <c r="E125" s="234"/>
      <c r="L125" s="234"/>
      <c r="AE125" s="234"/>
    </row>
    <row r="126">
      <c r="E126" s="234"/>
      <c r="L126" s="234"/>
      <c r="AE126" s="234"/>
    </row>
    <row r="127">
      <c r="E127" s="234"/>
      <c r="L127" s="234"/>
      <c r="AE127" s="234"/>
    </row>
    <row r="128">
      <c r="E128" s="234"/>
      <c r="L128" s="234"/>
      <c r="AE128" s="234"/>
    </row>
    <row r="129">
      <c r="E129" s="234"/>
      <c r="L129" s="234"/>
      <c r="AE129" s="234"/>
    </row>
    <row r="130">
      <c r="E130" s="234"/>
      <c r="L130" s="234"/>
      <c r="AE130" s="234"/>
    </row>
    <row r="131">
      <c r="E131" s="234"/>
      <c r="L131" s="234"/>
      <c r="AE131" s="234"/>
    </row>
    <row r="132">
      <c r="E132" s="234"/>
      <c r="L132" s="234"/>
      <c r="AE132" s="234"/>
    </row>
    <row r="133">
      <c r="E133" s="234"/>
      <c r="L133" s="234"/>
      <c r="AE133" s="234"/>
    </row>
    <row r="134">
      <c r="E134" s="234"/>
      <c r="L134" s="234"/>
      <c r="AE134" s="234"/>
    </row>
    <row r="135">
      <c r="E135" s="234"/>
      <c r="L135" s="234"/>
      <c r="AE135" s="234"/>
    </row>
    <row r="136">
      <c r="E136" s="234"/>
      <c r="L136" s="234"/>
      <c r="AE136" s="234"/>
    </row>
    <row r="137">
      <c r="E137" s="234"/>
      <c r="L137" s="234"/>
      <c r="AE137" s="234"/>
    </row>
    <row r="138">
      <c r="E138" s="234"/>
      <c r="L138" s="234"/>
      <c r="AE138" s="234"/>
    </row>
    <row r="139">
      <c r="E139" s="234"/>
      <c r="L139" s="234"/>
      <c r="AE139" s="234"/>
    </row>
    <row r="140">
      <c r="E140" s="234"/>
      <c r="L140" s="234"/>
      <c r="AE140" s="234"/>
    </row>
    <row r="141">
      <c r="E141" s="234"/>
      <c r="L141" s="234"/>
      <c r="AE141" s="234"/>
    </row>
    <row r="142">
      <c r="E142" s="234"/>
      <c r="L142" s="234"/>
      <c r="AE142" s="234"/>
    </row>
    <row r="143">
      <c r="E143" s="234"/>
      <c r="L143" s="234"/>
      <c r="AE143" s="234"/>
    </row>
    <row r="144">
      <c r="E144" s="234"/>
      <c r="L144" s="234"/>
      <c r="AE144" s="234"/>
    </row>
    <row r="145">
      <c r="E145" s="234"/>
      <c r="L145" s="234"/>
      <c r="AE145" s="234"/>
    </row>
    <row r="146">
      <c r="E146" s="234"/>
      <c r="L146" s="234"/>
      <c r="AE146" s="234"/>
    </row>
    <row r="147">
      <c r="E147" s="234"/>
      <c r="L147" s="234"/>
      <c r="AE147" s="234"/>
    </row>
    <row r="148">
      <c r="E148" s="234"/>
      <c r="L148" s="234"/>
      <c r="AE148" s="234"/>
    </row>
    <row r="149">
      <c r="E149" s="234"/>
      <c r="L149" s="234"/>
      <c r="AE149" s="234"/>
    </row>
    <row r="150">
      <c r="E150" s="234"/>
      <c r="L150" s="234"/>
      <c r="AE150" s="234"/>
    </row>
    <row r="151">
      <c r="E151" s="234"/>
      <c r="L151" s="234"/>
      <c r="AE151" s="234"/>
    </row>
    <row r="152">
      <c r="E152" s="234"/>
      <c r="L152" s="234"/>
      <c r="AE152" s="234"/>
    </row>
    <row r="153">
      <c r="E153" s="234"/>
      <c r="L153" s="234"/>
      <c r="AE153" s="234"/>
    </row>
    <row r="154">
      <c r="E154" s="234"/>
      <c r="L154" s="234"/>
      <c r="AE154" s="234"/>
    </row>
    <row r="155">
      <c r="E155" s="234"/>
      <c r="L155" s="234"/>
      <c r="AE155" s="234"/>
    </row>
    <row r="156">
      <c r="E156" s="234"/>
      <c r="L156" s="234"/>
      <c r="AE156" s="234"/>
    </row>
    <row r="157">
      <c r="E157" s="234"/>
      <c r="L157" s="234"/>
      <c r="AE157" s="234"/>
    </row>
    <row r="158">
      <c r="E158" s="234"/>
      <c r="L158" s="234"/>
      <c r="AE158" s="234"/>
    </row>
    <row r="159">
      <c r="E159" s="234"/>
      <c r="L159" s="234"/>
      <c r="AE159" s="234"/>
    </row>
    <row r="160">
      <c r="E160" s="234"/>
      <c r="L160" s="234"/>
      <c r="AE160" s="234"/>
    </row>
    <row r="161">
      <c r="E161" s="234"/>
      <c r="L161" s="234"/>
      <c r="AE161" s="234"/>
    </row>
    <row r="162">
      <c r="E162" s="234"/>
      <c r="L162" s="234"/>
      <c r="AE162" s="234"/>
    </row>
    <row r="163">
      <c r="E163" s="234"/>
      <c r="L163" s="234"/>
      <c r="AE163" s="234"/>
    </row>
    <row r="164">
      <c r="E164" s="234"/>
      <c r="L164" s="234"/>
      <c r="AE164" s="234"/>
    </row>
    <row r="165">
      <c r="E165" s="234"/>
      <c r="L165" s="234"/>
      <c r="AE165" s="234"/>
    </row>
    <row r="166">
      <c r="E166" s="234"/>
      <c r="L166" s="234"/>
      <c r="AE166" s="234"/>
    </row>
    <row r="167">
      <c r="E167" s="234"/>
      <c r="L167" s="234"/>
      <c r="AE167" s="234"/>
    </row>
    <row r="168">
      <c r="E168" s="234"/>
      <c r="L168" s="234"/>
      <c r="AE168" s="234"/>
    </row>
    <row r="169">
      <c r="E169" s="234"/>
      <c r="L169" s="234"/>
      <c r="AE169" s="234"/>
    </row>
    <row r="170">
      <c r="E170" s="234"/>
      <c r="L170" s="234"/>
      <c r="AE170" s="234"/>
    </row>
    <row r="171">
      <c r="E171" s="234"/>
      <c r="L171" s="234"/>
      <c r="AE171" s="234"/>
    </row>
    <row r="172">
      <c r="E172" s="234"/>
      <c r="L172" s="234"/>
      <c r="AE172" s="234"/>
    </row>
    <row r="173">
      <c r="E173" s="234"/>
      <c r="L173" s="234"/>
      <c r="AE173" s="234"/>
    </row>
    <row r="174">
      <c r="E174" s="234"/>
      <c r="L174" s="234"/>
      <c r="AE174" s="234"/>
    </row>
    <row r="175">
      <c r="E175" s="234"/>
      <c r="L175" s="234"/>
      <c r="AE175" s="234"/>
    </row>
    <row r="176">
      <c r="E176" s="234"/>
      <c r="L176" s="234"/>
      <c r="AE176" s="234"/>
    </row>
    <row r="177">
      <c r="E177" s="234"/>
      <c r="L177" s="234"/>
      <c r="AE177" s="234"/>
    </row>
    <row r="178">
      <c r="E178" s="234"/>
      <c r="L178" s="234"/>
      <c r="AE178" s="234"/>
    </row>
    <row r="179">
      <c r="E179" s="234"/>
      <c r="L179" s="234"/>
      <c r="AE179" s="234"/>
    </row>
    <row r="180">
      <c r="E180" s="234"/>
      <c r="L180" s="234"/>
      <c r="AE180" s="234"/>
    </row>
    <row r="181">
      <c r="E181" s="234"/>
      <c r="L181" s="234"/>
      <c r="AE181" s="234"/>
    </row>
    <row r="182">
      <c r="E182" s="234"/>
      <c r="L182" s="234"/>
      <c r="AE182" s="234"/>
    </row>
    <row r="183">
      <c r="E183" s="234"/>
      <c r="L183" s="234"/>
      <c r="AE183" s="234"/>
    </row>
    <row r="184">
      <c r="E184" s="234"/>
      <c r="L184" s="234"/>
      <c r="AE184" s="234"/>
    </row>
    <row r="185">
      <c r="E185" s="234"/>
      <c r="L185" s="234"/>
      <c r="AE185" s="234"/>
    </row>
    <row r="186">
      <c r="E186" s="234"/>
      <c r="L186" s="234"/>
      <c r="AE186" s="234"/>
    </row>
    <row r="187">
      <c r="E187" s="234"/>
      <c r="L187" s="234"/>
      <c r="AE187" s="234"/>
    </row>
    <row r="188">
      <c r="E188" s="234"/>
      <c r="L188" s="234"/>
      <c r="AE188" s="234"/>
    </row>
    <row r="189">
      <c r="E189" s="234"/>
      <c r="L189" s="234"/>
      <c r="AE189" s="234"/>
    </row>
    <row r="190">
      <c r="E190" s="234"/>
      <c r="L190" s="234"/>
      <c r="AE190" s="234"/>
    </row>
    <row r="191">
      <c r="E191" s="234"/>
      <c r="L191" s="234"/>
      <c r="AE191" s="234"/>
    </row>
    <row r="192">
      <c r="E192" s="234"/>
      <c r="L192" s="234"/>
      <c r="AE192" s="234"/>
    </row>
    <row r="193">
      <c r="E193" s="234"/>
      <c r="L193" s="234"/>
      <c r="AE193" s="234"/>
    </row>
    <row r="194">
      <c r="E194" s="234"/>
      <c r="L194" s="234"/>
      <c r="AE194" s="234"/>
    </row>
    <row r="195">
      <c r="E195" s="234"/>
      <c r="L195" s="234"/>
      <c r="AE195" s="234"/>
    </row>
    <row r="196">
      <c r="E196" s="234"/>
      <c r="L196" s="234"/>
      <c r="AE196" s="234"/>
    </row>
    <row r="197">
      <c r="E197" s="234"/>
      <c r="L197" s="234"/>
      <c r="AE197" s="234"/>
    </row>
    <row r="198">
      <c r="E198" s="234"/>
      <c r="L198" s="234"/>
      <c r="AE198" s="234"/>
    </row>
    <row r="199">
      <c r="E199" s="234"/>
      <c r="L199" s="234"/>
      <c r="AE199" s="234"/>
    </row>
    <row r="200">
      <c r="E200" s="234"/>
      <c r="L200" s="234"/>
      <c r="AE200" s="234"/>
    </row>
    <row r="201">
      <c r="E201" s="234"/>
      <c r="L201" s="234"/>
      <c r="AE201" s="234"/>
    </row>
    <row r="202">
      <c r="E202" s="234"/>
      <c r="L202" s="234"/>
      <c r="AE202" s="234"/>
    </row>
    <row r="203">
      <c r="E203" s="234"/>
      <c r="L203" s="234"/>
      <c r="AE203" s="234"/>
    </row>
    <row r="204">
      <c r="E204" s="234"/>
      <c r="L204" s="234"/>
      <c r="AE204" s="234"/>
    </row>
    <row r="205">
      <c r="E205" s="234"/>
      <c r="L205" s="234"/>
      <c r="AE205" s="234"/>
    </row>
    <row r="206">
      <c r="E206" s="234"/>
      <c r="L206" s="234"/>
      <c r="AE206" s="234"/>
    </row>
    <row r="207">
      <c r="E207" s="234"/>
      <c r="L207" s="234"/>
      <c r="AE207" s="234"/>
    </row>
    <row r="208">
      <c r="E208" s="234"/>
      <c r="L208" s="234"/>
      <c r="AE208" s="234"/>
    </row>
    <row r="209">
      <c r="E209" s="234"/>
      <c r="L209" s="234"/>
      <c r="AE209" s="234"/>
    </row>
    <row r="210">
      <c r="E210" s="234"/>
      <c r="L210" s="234"/>
      <c r="AE210" s="234"/>
    </row>
    <row r="211">
      <c r="E211" s="234"/>
      <c r="L211" s="234"/>
      <c r="AE211" s="234"/>
    </row>
    <row r="212">
      <c r="E212" s="234"/>
      <c r="L212" s="234"/>
      <c r="AE212" s="234"/>
    </row>
    <row r="213">
      <c r="E213" s="234"/>
      <c r="L213" s="234"/>
      <c r="AE213" s="234"/>
    </row>
    <row r="214">
      <c r="E214" s="234"/>
      <c r="L214" s="234"/>
      <c r="AE214" s="234"/>
    </row>
    <row r="215">
      <c r="E215" s="234"/>
      <c r="L215" s="234"/>
      <c r="AE215" s="234"/>
    </row>
    <row r="216">
      <c r="E216" s="234"/>
      <c r="L216" s="234"/>
      <c r="AE216" s="234"/>
    </row>
    <row r="217">
      <c r="E217" s="234"/>
      <c r="L217" s="234"/>
      <c r="AE217" s="234"/>
    </row>
    <row r="218">
      <c r="E218" s="234"/>
      <c r="L218" s="234"/>
      <c r="AE218" s="234"/>
    </row>
    <row r="219">
      <c r="E219" s="234"/>
      <c r="L219" s="234"/>
      <c r="AE219" s="234"/>
    </row>
    <row r="220">
      <c r="E220" s="234"/>
      <c r="L220" s="234"/>
      <c r="AE220" s="234"/>
    </row>
    <row r="221">
      <c r="E221" s="234"/>
      <c r="L221" s="234"/>
      <c r="AE221" s="234"/>
    </row>
    <row r="222">
      <c r="E222" s="234"/>
      <c r="L222" s="234"/>
      <c r="AE222" s="234"/>
    </row>
    <row r="223">
      <c r="E223" s="234"/>
      <c r="L223" s="234"/>
      <c r="AE223" s="234"/>
    </row>
    <row r="224">
      <c r="E224" s="234"/>
      <c r="L224" s="234"/>
      <c r="AE224" s="234"/>
    </row>
    <row r="225">
      <c r="E225" s="234"/>
      <c r="L225" s="234"/>
      <c r="AE225" s="234"/>
    </row>
    <row r="226">
      <c r="E226" s="234"/>
      <c r="L226" s="234"/>
      <c r="AE226" s="234"/>
    </row>
    <row r="227">
      <c r="E227" s="234"/>
      <c r="L227" s="234"/>
      <c r="AE227" s="234"/>
    </row>
    <row r="228">
      <c r="E228" s="234"/>
      <c r="L228" s="234"/>
      <c r="AE228" s="234"/>
    </row>
    <row r="229">
      <c r="E229" s="234"/>
      <c r="L229" s="234"/>
      <c r="AE229" s="234"/>
    </row>
    <row r="230">
      <c r="E230" s="234"/>
      <c r="L230" s="234"/>
      <c r="AE230" s="234"/>
    </row>
    <row r="231">
      <c r="E231" s="234"/>
      <c r="L231" s="234"/>
      <c r="AE231" s="234"/>
    </row>
    <row r="232">
      <c r="E232" s="234"/>
      <c r="L232" s="234"/>
      <c r="AE232" s="234"/>
    </row>
    <row r="233">
      <c r="E233" s="234"/>
      <c r="L233" s="234"/>
      <c r="AE233" s="234"/>
    </row>
    <row r="234">
      <c r="E234" s="234"/>
      <c r="L234" s="234"/>
      <c r="AE234" s="234"/>
    </row>
    <row r="235">
      <c r="E235" s="234"/>
      <c r="L235" s="234"/>
      <c r="AE235" s="234"/>
    </row>
    <row r="236">
      <c r="E236" s="234"/>
      <c r="L236" s="234"/>
      <c r="AE236" s="234"/>
    </row>
    <row r="237">
      <c r="E237" s="234"/>
      <c r="L237" s="234"/>
      <c r="AE237" s="234"/>
    </row>
    <row r="238">
      <c r="E238" s="234"/>
      <c r="L238" s="234"/>
      <c r="AE238" s="234"/>
    </row>
    <row r="239">
      <c r="E239" s="234"/>
      <c r="L239" s="234"/>
      <c r="AE239" s="234"/>
    </row>
    <row r="240">
      <c r="E240" s="234"/>
      <c r="L240" s="234"/>
      <c r="AE240" s="234"/>
    </row>
    <row r="241">
      <c r="E241" s="234"/>
      <c r="L241" s="234"/>
      <c r="AE241" s="234"/>
    </row>
    <row r="242">
      <c r="E242" s="234"/>
      <c r="L242" s="234"/>
      <c r="AE242" s="234"/>
    </row>
    <row r="243">
      <c r="E243" s="234"/>
      <c r="L243" s="234"/>
      <c r="AE243" s="234"/>
    </row>
    <row r="244">
      <c r="E244" s="234"/>
      <c r="L244" s="234"/>
      <c r="AE244" s="234"/>
    </row>
    <row r="245">
      <c r="E245" s="234"/>
      <c r="L245" s="234"/>
      <c r="AE245" s="234"/>
    </row>
    <row r="246">
      <c r="E246" s="234"/>
      <c r="L246" s="234"/>
      <c r="AE246" s="234"/>
    </row>
    <row r="247">
      <c r="E247" s="234"/>
      <c r="L247" s="234"/>
      <c r="AE247" s="234"/>
    </row>
    <row r="248">
      <c r="E248" s="234"/>
      <c r="L248" s="234"/>
      <c r="AE248" s="234"/>
    </row>
    <row r="249">
      <c r="E249" s="234"/>
      <c r="L249" s="234"/>
      <c r="AE249" s="234"/>
    </row>
    <row r="250">
      <c r="E250" s="234"/>
      <c r="L250" s="234"/>
      <c r="AE250" s="234"/>
    </row>
    <row r="251">
      <c r="E251" s="234"/>
      <c r="L251" s="234"/>
      <c r="AE251" s="234"/>
    </row>
    <row r="252">
      <c r="E252" s="234"/>
      <c r="L252" s="234"/>
      <c r="AE252" s="234"/>
    </row>
    <row r="253">
      <c r="E253" s="234"/>
      <c r="L253" s="234"/>
      <c r="AE253" s="234"/>
    </row>
    <row r="254">
      <c r="E254" s="234"/>
      <c r="L254" s="234"/>
      <c r="AE254" s="234"/>
    </row>
    <row r="255">
      <c r="E255" s="234"/>
      <c r="L255" s="234"/>
      <c r="AE255" s="234"/>
    </row>
    <row r="256">
      <c r="E256" s="234"/>
      <c r="L256" s="234"/>
      <c r="AE256" s="234"/>
    </row>
    <row r="257">
      <c r="E257" s="234"/>
      <c r="L257" s="234"/>
      <c r="AE257" s="234"/>
    </row>
    <row r="258">
      <c r="E258" s="234"/>
      <c r="L258" s="234"/>
      <c r="AE258" s="234"/>
    </row>
    <row r="259">
      <c r="E259" s="234"/>
      <c r="L259" s="234"/>
      <c r="AE259" s="234"/>
    </row>
    <row r="260">
      <c r="E260" s="234"/>
      <c r="L260" s="234"/>
      <c r="AE260" s="234"/>
    </row>
    <row r="261">
      <c r="E261" s="234"/>
      <c r="L261" s="234"/>
      <c r="AE261" s="234"/>
    </row>
    <row r="262">
      <c r="E262" s="234"/>
      <c r="L262" s="234"/>
      <c r="AE262" s="234"/>
    </row>
    <row r="263">
      <c r="E263" s="234"/>
      <c r="L263" s="234"/>
      <c r="AE263" s="234"/>
    </row>
    <row r="264">
      <c r="E264" s="234"/>
      <c r="L264" s="234"/>
      <c r="AE264" s="234"/>
    </row>
    <row r="265">
      <c r="E265" s="234"/>
      <c r="L265" s="234"/>
      <c r="AE265" s="234"/>
    </row>
    <row r="266">
      <c r="E266" s="234"/>
      <c r="L266" s="234"/>
      <c r="AE266" s="234"/>
    </row>
    <row r="267">
      <c r="E267" s="234"/>
      <c r="L267" s="234"/>
      <c r="AE267" s="234"/>
    </row>
    <row r="268">
      <c r="E268" s="234"/>
      <c r="L268" s="234"/>
      <c r="AE268" s="234"/>
    </row>
    <row r="269">
      <c r="E269" s="234"/>
      <c r="L269" s="234"/>
      <c r="AE269" s="234"/>
    </row>
    <row r="270">
      <c r="E270" s="234"/>
      <c r="L270" s="234"/>
      <c r="AE270" s="234"/>
    </row>
    <row r="271">
      <c r="E271" s="234"/>
      <c r="L271" s="234"/>
      <c r="AE271" s="234"/>
    </row>
    <row r="272">
      <c r="E272" s="234"/>
      <c r="L272" s="234"/>
      <c r="AE272" s="234"/>
    </row>
    <row r="273">
      <c r="E273" s="234"/>
      <c r="L273" s="234"/>
      <c r="AE273" s="234"/>
    </row>
    <row r="274">
      <c r="E274" s="234"/>
      <c r="L274" s="234"/>
      <c r="AE274" s="234"/>
    </row>
    <row r="275">
      <c r="E275" s="234"/>
      <c r="L275" s="234"/>
      <c r="AE275" s="234"/>
    </row>
    <row r="276">
      <c r="E276" s="234"/>
      <c r="L276" s="234"/>
      <c r="AE276" s="234"/>
    </row>
    <row r="277">
      <c r="E277" s="234"/>
      <c r="L277" s="234"/>
      <c r="AE277" s="234"/>
    </row>
    <row r="278">
      <c r="E278" s="234"/>
      <c r="L278" s="234"/>
      <c r="AE278" s="234"/>
    </row>
    <row r="279">
      <c r="E279" s="234"/>
      <c r="L279" s="234"/>
      <c r="AE279" s="234"/>
    </row>
    <row r="280">
      <c r="E280" s="234"/>
      <c r="L280" s="234"/>
      <c r="AE280" s="234"/>
    </row>
    <row r="281">
      <c r="E281" s="234"/>
      <c r="L281" s="234"/>
      <c r="AE281" s="234"/>
    </row>
    <row r="282">
      <c r="E282" s="234"/>
      <c r="L282" s="234"/>
      <c r="AE282" s="234"/>
    </row>
    <row r="283">
      <c r="E283" s="234"/>
      <c r="L283" s="234"/>
      <c r="AE283" s="234"/>
    </row>
    <row r="284">
      <c r="E284" s="234"/>
      <c r="L284" s="234"/>
      <c r="AE284" s="234"/>
    </row>
    <row r="285">
      <c r="E285" s="234"/>
      <c r="L285" s="234"/>
      <c r="AE285" s="234"/>
    </row>
    <row r="286">
      <c r="E286" s="234"/>
      <c r="L286" s="234"/>
      <c r="AE286" s="234"/>
    </row>
    <row r="287">
      <c r="E287" s="234"/>
      <c r="L287" s="234"/>
      <c r="AE287" s="234"/>
    </row>
    <row r="288">
      <c r="E288" s="234"/>
      <c r="L288" s="234"/>
      <c r="AE288" s="234"/>
    </row>
    <row r="289">
      <c r="E289" s="234"/>
      <c r="L289" s="234"/>
      <c r="AE289" s="234"/>
    </row>
    <row r="290">
      <c r="E290" s="234"/>
      <c r="L290" s="234"/>
      <c r="AE290" s="234"/>
    </row>
    <row r="291">
      <c r="E291" s="234"/>
      <c r="L291" s="234"/>
      <c r="AE291" s="234"/>
    </row>
    <row r="292">
      <c r="E292" s="234"/>
      <c r="L292" s="234"/>
      <c r="AE292" s="234"/>
    </row>
    <row r="293">
      <c r="E293" s="234"/>
      <c r="L293" s="234"/>
      <c r="AE293" s="234"/>
    </row>
    <row r="294">
      <c r="E294" s="234"/>
      <c r="L294" s="234"/>
      <c r="AE294" s="234"/>
    </row>
    <row r="295">
      <c r="E295" s="234"/>
      <c r="L295" s="234"/>
      <c r="AE295" s="234"/>
    </row>
    <row r="296">
      <c r="E296" s="234"/>
      <c r="L296" s="234"/>
      <c r="AE296" s="234"/>
    </row>
    <row r="297">
      <c r="E297" s="234"/>
      <c r="L297" s="234"/>
      <c r="AE297" s="234"/>
    </row>
    <row r="298">
      <c r="E298" s="234"/>
      <c r="L298" s="234"/>
      <c r="AE298" s="234"/>
    </row>
    <row r="299">
      <c r="E299" s="234"/>
      <c r="L299" s="234"/>
      <c r="AE299" s="234"/>
    </row>
    <row r="300">
      <c r="E300" s="234"/>
      <c r="L300" s="234"/>
      <c r="AE300" s="234"/>
    </row>
    <row r="301">
      <c r="E301" s="234"/>
      <c r="L301" s="234"/>
      <c r="AE301" s="234"/>
    </row>
    <row r="302">
      <c r="E302" s="234"/>
      <c r="L302" s="234"/>
      <c r="AE302" s="234"/>
    </row>
    <row r="303">
      <c r="E303" s="234"/>
      <c r="L303" s="234"/>
      <c r="AE303" s="234"/>
    </row>
    <row r="304">
      <c r="E304" s="234"/>
      <c r="L304" s="234"/>
      <c r="AE304" s="234"/>
    </row>
    <row r="305">
      <c r="E305" s="234"/>
      <c r="L305" s="234"/>
      <c r="AE305" s="234"/>
    </row>
    <row r="306">
      <c r="E306" s="234"/>
      <c r="L306" s="234"/>
      <c r="AE306" s="234"/>
    </row>
    <row r="307">
      <c r="E307" s="234"/>
      <c r="L307" s="234"/>
      <c r="AE307" s="234"/>
    </row>
    <row r="308">
      <c r="E308" s="234"/>
      <c r="L308" s="234"/>
      <c r="AE308" s="234"/>
    </row>
    <row r="309">
      <c r="E309" s="234"/>
      <c r="L309" s="234"/>
      <c r="AE309" s="234"/>
    </row>
    <row r="310">
      <c r="E310" s="234"/>
      <c r="L310" s="234"/>
      <c r="AE310" s="234"/>
    </row>
    <row r="311">
      <c r="E311" s="234"/>
      <c r="L311" s="234"/>
      <c r="AE311" s="234"/>
    </row>
    <row r="312">
      <c r="E312" s="234"/>
      <c r="L312" s="234"/>
      <c r="AE312" s="234"/>
    </row>
    <row r="313">
      <c r="E313" s="234"/>
      <c r="L313" s="234"/>
      <c r="AE313" s="234"/>
    </row>
    <row r="314">
      <c r="E314" s="234"/>
      <c r="L314" s="234"/>
      <c r="AE314" s="234"/>
    </row>
    <row r="315">
      <c r="E315" s="234"/>
      <c r="L315" s="234"/>
      <c r="AE315" s="234"/>
    </row>
    <row r="316">
      <c r="E316" s="234"/>
      <c r="L316" s="234"/>
      <c r="AE316" s="234"/>
    </row>
    <row r="317">
      <c r="E317" s="234"/>
      <c r="L317" s="234"/>
      <c r="AE317" s="234"/>
    </row>
    <row r="318">
      <c r="E318" s="234"/>
      <c r="L318" s="234"/>
      <c r="AE318" s="234"/>
    </row>
    <row r="319">
      <c r="E319" s="234"/>
      <c r="L319" s="234"/>
      <c r="AE319" s="234"/>
    </row>
    <row r="320">
      <c r="E320" s="234"/>
      <c r="L320" s="234"/>
      <c r="AE320" s="234"/>
    </row>
    <row r="321">
      <c r="E321" s="234"/>
      <c r="L321" s="234"/>
      <c r="AE321" s="234"/>
    </row>
    <row r="322">
      <c r="E322" s="234"/>
      <c r="L322" s="234"/>
      <c r="AE322" s="234"/>
    </row>
    <row r="323">
      <c r="E323" s="234"/>
      <c r="L323" s="234"/>
      <c r="AE323" s="234"/>
    </row>
    <row r="324">
      <c r="E324" s="234"/>
      <c r="L324" s="234"/>
      <c r="AE324" s="234"/>
    </row>
    <row r="325">
      <c r="E325" s="234"/>
      <c r="L325" s="234"/>
      <c r="AE325" s="234"/>
    </row>
    <row r="326">
      <c r="E326" s="234"/>
      <c r="L326" s="234"/>
      <c r="AE326" s="234"/>
    </row>
    <row r="327">
      <c r="E327" s="234"/>
      <c r="L327" s="234"/>
      <c r="AE327" s="234"/>
    </row>
    <row r="328">
      <c r="E328" s="234"/>
      <c r="L328" s="234"/>
      <c r="AE328" s="234"/>
    </row>
    <row r="329">
      <c r="E329" s="234"/>
      <c r="L329" s="234"/>
      <c r="AE329" s="234"/>
    </row>
    <row r="330">
      <c r="E330" s="234"/>
      <c r="L330" s="234"/>
      <c r="AE330" s="234"/>
    </row>
    <row r="331">
      <c r="E331" s="234"/>
      <c r="L331" s="234"/>
      <c r="AE331" s="234"/>
    </row>
    <row r="332">
      <c r="E332" s="234"/>
      <c r="L332" s="234"/>
      <c r="AE332" s="234"/>
    </row>
    <row r="333">
      <c r="E333" s="234"/>
      <c r="L333" s="234"/>
      <c r="AE333" s="234"/>
    </row>
    <row r="334">
      <c r="E334" s="234"/>
      <c r="L334" s="234"/>
      <c r="AE334" s="234"/>
    </row>
    <row r="335">
      <c r="E335" s="234"/>
      <c r="L335" s="234"/>
      <c r="AE335" s="234"/>
    </row>
    <row r="336">
      <c r="E336" s="234"/>
      <c r="L336" s="234"/>
      <c r="AE336" s="234"/>
    </row>
    <row r="337">
      <c r="E337" s="234"/>
      <c r="L337" s="234"/>
      <c r="AE337" s="234"/>
    </row>
    <row r="338">
      <c r="E338" s="234"/>
      <c r="L338" s="234"/>
      <c r="AE338" s="234"/>
    </row>
    <row r="339">
      <c r="E339" s="234"/>
      <c r="L339" s="234"/>
      <c r="AE339" s="234"/>
    </row>
    <row r="340">
      <c r="E340" s="234"/>
      <c r="L340" s="234"/>
      <c r="AE340" s="234"/>
    </row>
    <row r="341">
      <c r="E341" s="234"/>
      <c r="L341" s="234"/>
      <c r="AE341" s="234"/>
    </row>
    <row r="342">
      <c r="E342" s="234"/>
      <c r="L342" s="234"/>
      <c r="AE342" s="234"/>
    </row>
    <row r="343">
      <c r="E343" s="234"/>
      <c r="L343" s="234"/>
      <c r="AE343" s="234"/>
    </row>
    <row r="344">
      <c r="E344" s="234"/>
      <c r="L344" s="234"/>
      <c r="AE344" s="234"/>
    </row>
    <row r="345">
      <c r="E345" s="234"/>
      <c r="L345" s="234"/>
      <c r="AE345" s="234"/>
    </row>
    <row r="346">
      <c r="E346" s="234"/>
      <c r="L346" s="234"/>
      <c r="AE346" s="234"/>
    </row>
    <row r="347">
      <c r="E347" s="234"/>
      <c r="L347" s="234"/>
      <c r="AE347" s="234"/>
    </row>
    <row r="348">
      <c r="E348" s="234"/>
      <c r="L348" s="234"/>
      <c r="AE348" s="234"/>
    </row>
    <row r="349">
      <c r="E349" s="234"/>
      <c r="L349" s="234"/>
      <c r="AE349" s="234"/>
    </row>
    <row r="350">
      <c r="E350" s="234"/>
      <c r="L350" s="234"/>
      <c r="AE350" s="234"/>
    </row>
    <row r="351">
      <c r="E351" s="234"/>
      <c r="L351" s="234"/>
      <c r="AE351" s="234"/>
    </row>
    <row r="352">
      <c r="E352" s="234"/>
      <c r="L352" s="234"/>
      <c r="AE352" s="234"/>
    </row>
    <row r="353">
      <c r="E353" s="234"/>
      <c r="L353" s="234"/>
      <c r="AE353" s="234"/>
    </row>
    <row r="354">
      <c r="E354" s="234"/>
      <c r="L354" s="234"/>
      <c r="AE354" s="234"/>
    </row>
    <row r="355">
      <c r="E355" s="234"/>
      <c r="L355" s="234"/>
      <c r="AE355" s="234"/>
    </row>
    <row r="356">
      <c r="E356" s="234"/>
      <c r="L356" s="234"/>
      <c r="AE356" s="234"/>
    </row>
    <row r="357">
      <c r="E357" s="234"/>
      <c r="L357" s="234"/>
      <c r="AE357" s="234"/>
    </row>
    <row r="358">
      <c r="E358" s="234"/>
      <c r="L358" s="234"/>
      <c r="AE358" s="234"/>
    </row>
    <row r="359">
      <c r="E359" s="234"/>
      <c r="L359" s="234"/>
      <c r="AE359" s="234"/>
    </row>
    <row r="360">
      <c r="E360" s="234"/>
      <c r="L360" s="234"/>
      <c r="AE360" s="234"/>
    </row>
    <row r="361">
      <c r="E361" s="234"/>
      <c r="L361" s="234"/>
      <c r="AE361" s="234"/>
    </row>
    <row r="362">
      <c r="E362" s="234"/>
      <c r="L362" s="234"/>
      <c r="AE362" s="234"/>
    </row>
    <row r="363">
      <c r="E363" s="234"/>
      <c r="L363" s="234"/>
      <c r="AE363" s="234"/>
    </row>
    <row r="364">
      <c r="E364" s="234"/>
      <c r="L364" s="234"/>
      <c r="AE364" s="234"/>
    </row>
    <row r="365">
      <c r="E365" s="234"/>
      <c r="L365" s="234"/>
      <c r="AE365" s="234"/>
    </row>
    <row r="366">
      <c r="E366" s="234"/>
      <c r="L366" s="234"/>
      <c r="AE366" s="234"/>
    </row>
    <row r="367">
      <c r="E367" s="234"/>
      <c r="L367" s="234"/>
      <c r="AE367" s="234"/>
    </row>
    <row r="368">
      <c r="E368" s="234"/>
      <c r="L368" s="234"/>
      <c r="AE368" s="234"/>
    </row>
    <row r="369">
      <c r="E369" s="234"/>
      <c r="L369" s="234"/>
      <c r="AE369" s="234"/>
    </row>
    <row r="370">
      <c r="E370" s="234"/>
      <c r="L370" s="234"/>
      <c r="AE370" s="234"/>
    </row>
    <row r="371">
      <c r="E371" s="234"/>
      <c r="L371" s="234"/>
      <c r="AE371" s="234"/>
    </row>
    <row r="372">
      <c r="E372" s="234"/>
      <c r="L372" s="234"/>
      <c r="AE372" s="234"/>
    </row>
    <row r="373">
      <c r="E373" s="234"/>
      <c r="L373" s="234"/>
      <c r="AE373" s="234"/>
    </row>
    <row r="374">
      <c r="E374" s="234"/>
      <c r="L374" s="234"/>
      <c r="AE374" s="234"/>
    </row>
    <row r="375">
      <c r="E375" s="234"/>
      <c r="L375" s="234"/>
      <c r="AE375" s="234"/>
    </row>
    <row r="376">
      <c r="E376" s="234"/>
      <c r="L376" s="234"/>
      <c r="AE376" s="234"/>
    </row>
    <row r="377">
      <c r="E377" s="234"/>
      <c r="L377" s="234"/>
      <c r="AE377" s="234"/>
    </row>
    <row r="378">
      <c r="E378" s="234"/>
      <c r="L378" s="234"/>
      <c r="AE378" s="234"/>
    </row>
    <row r="379">
      <c r="E379" s="234"/>
      <c r="L379" s="234"/>
      <c r="AE379" s="234"/>
    </row>
    <row r="380">
      <c r="E380" s="234"/>
      <c r="L380" s="234"/>
      <c r="AE380" s="234"/>
    </row>
    <row r="381">
      <c r="E381" s="234"/>
      <c r="L381" s="234"/>
      <c r="AE381" s="234"/>
    </row>
    <row r="382">
      <c r="E382" s="234"/>
      <c r="L382" s="234"/>
      <c r="AE382" s="234"/>
    </row>
    <row r="383">
      <c r="E383" s="234"/>
      <c r="L383" s="234"/>
      <c r="AE383" s="234"/>
    </row>
    <row r="384">
      <c r="E384" s="234"/>
      <c r="L384" s="234"/>
      <c r="AE384" s="234"/>
    </row>
    <row r="385">
      <c r="E385" s="234"/>
      <c r="L385" s="234"/>
      <c r="AE385" s="234"/>
    </row>
    <row r="386">
      <c r="E386" s="234"/>
      <c r="L386" s="234"/>
      <c r="AE386" s="234"/>
    </row>
    <row r="387">
      <c r="E387" s="234"/>
      <c r="L387" s="234"/>
      <c r="AE387" s="234"/>
    </row>
    <row r="388">
      <c r="E388" s="234"/>
      <c r="L388" s="234"/>
      <c r="AE388" s="234"/>
    </row>
    <row r="389">
      <c r="E389" s="234"/>
      <c r="L389" s="234"/>
      <c r="AE389" s="234"/>
    </row>
    <row r="390">
      <c r="E390" s="234"/>
      <c r="L390" s="234"/>
      <c r="AE390" s="234"/>
    </row>
    <row r="391">
      <c r="E391" s="234"/>
      <c r="L391" s="234"/>
      <c r="AE391" s="234"/>
    </row>
    <row r="392">
      <c r="E392" s="234"/>
      <c r="L392" s="234"/>
      <c r="AE392" s="234"/>
    </row>
    <row r="393">
      <c r="E393" s="234"/>
      <c r="L393" s="234"/>
      <c r="AE393" s="234"/>
    </row>
    <row r="394">
      <c r="E394" s="234"/>
      <c r="L394" s="234"/>
      <c r="AE394" s="234"/>
    </row>
    <row r="395">
      <c r="E395" s="234"/>
      <c r="L395" s="234"/>
      <c r="AE395" s="234"/>
    </row>
    <row r="396">
      <c r="E396" s="234"/>
      <c r="L396" s="234"/>
      <c r="AE396" s="234"/>
    </row>
    <row r="397">
      <c r="E397" s="234"/>
      <c r="L397" s="234"/>
      <c r="AE397" s="234"/>
    </row>
    <row r="398">
      <c r="E398" s="234"/>
      <c r="L398" s="234"/>
      <c r="AE398" s="234"/>
    </row>
    <row r="399">
      <c r="E399" s="234"/>
      <c r="L399" s="234"/>
      <c r="AE399" s="234"/>
    </row>
    <row r="400">
      <c r="E400" s="234"/>
      <c r="L400" s="234"/>
      <c r="AE400" s="234"/>
    </row>
    <row r="401">
      <c r="E401" s="234"/>
      <c r="L401" s="234"/>
      <c r="AE401" s="234"/>
    </row>
    <row r="402">
      <c r="E402" s="234"/>
      <c r="L402" s="234"/>
      <c r="AE402" s="234"/>
    </row>
    <row r="403">
      <c r="E403" s="234"/>
      <c r="L403" s="234"/>
      <c r="AE403" s="234"/>
    </row>
    <row r="404">
      <c r="E404" s="234"/>
      <c r="L404" s="234"/>
      <c r="AE404" s="234"/>
    </row>
    <row r="405">
      <c r="E405" s="234"/>
      <c r="L405" s="234"/>
      <c r="AE405" s="234"/>
    </row>
    <row r="406">
      <c r="E406" s="234"/>
      <c r="L406" s="234"/>
      <c r="AE406" s="234"/>
    </row>
    <row r="407">
      <c r="E407" s="234"/>
      <c r="L407" s="234"/>
      <c r="AE407" s="234"/>
    </row>
    <row r="408">
      <c r="E408" s="234"/>
      <c r="L408" s="234"/>
      <c r="AE408" s="234"/>
    </row>
    <row r="409">
      <c r="E409" s="234"/>
      <c r="L409" s="234"/>
      <c r="AE409" s="234"/>
    </row>
    <row r="410">
      <c r="E410" s="234"/>
      <c r="L410" s="234"/>
      <c r="AE410" s="234"/>
    </row>
    <row r="411">
      <c r="E411" s="234"/>
      <c r="L411" s="234"/>
      <c r="AE411" s="234"/>
    </row>
    <row r="412">
      <c r="E412" s="234"/>
      <c r="L412" s="234"/>
      <c r="AE412" s="234"/>
    </row>
    <row r="413">
      <c r="E413" s="234"/>
      <c r="L413" s="234"/>
      <c r="AE413" s="234"/>
    </row>
    <row r="414">
      <c r="E414" s="234"/>
      <c r="L414" s="234"/>
      <c r="AE414" s="234"/>
    </row>
    <row r="415">
      <c r="E415" s="234"/>
      <c r="L415" s="234"/>
      <c r="AE415" s="234"/>
    </row>
    <row r="416">
      <c r="E416" s="234"/>
      <c r="L416" s="234"/>
      <c r="AE416" s="234"/>
    </row>
    <row r="417">
      <c r="E417" s="234"/>
      <c r="L417" s="234"/>
      <c r="AE417" s="234"/>
    </row>
    <row r="418">
      <c r="E418" s="234"/>
      <c r="L418" s="234"/>
      <c r="AE418" s="234"/>
    </row>
    <row r="419">
      <c r="E419" s="234"/>
      <c r="L419" s="234"/>
      <c r="AE419" s="234"/>
    </row>
    <row r="420">
      <c r="E420" s="234"/>
      <c r="L420" s="234"/>
      <c r="AE420" s="234"/>
    </row>
    <row r="421">
      <c r="E421" s="234"/>
      <c r="L421" s="234"/>
      <c r="AE421" s="234"/>
    </row>
    <row r="422">
      <c r="E422" s="234"/>
      <c r="L422" s="234"/>
      <c r="AE422" s="234"/>
    </row>
    <row r="423">
      <c r="E423" s="234"/>
      <c r="L423" s="234"/>
      <c r="AE423" s="234"/>
    </row>
    <row r="424">
      <c r="E424" s="234"/>
      <c r="L424" s="234"/>
      <c r="AE424" s="234"/>
    </row>
    <row r="425">
      <c r="E425" s="234"/>
      <c r="L425" s="234"/>
      <c r="AE425" s="234"/>
    </row>
    <row r="426">
      <c r="E426" s="234"/>
      <c r="L426" s="234"/>
      <c r="AE426" s="234"/>
    </row>
    <row r="427">
      <c r="E427" s="234"/>
      <c r="L427" s="234"/>
      <c r="AE427" s="234"/>
    </row>
    <row r="428">
      <c r="E428" s="234"/>
      <c r="L428" s="234"/>
      <c r="AE428" s="234"/>
    </row>
    <row r="429">
      <c r="E429" s="234"/>
      <c r="L429" s="234"/>
      <c r="AE429" s="234"/>
    </row>
    <row r="430">
      <c r="E430" s="234"/>
      <c r="L430" s="234"/>
      <c r="AE430" s="234"/>
    </row>
    <row r="431">
      <c r="E431" s="234"/>
      <c r="L431" s="234"/>
      <c r="AE431" s="234"/>
    </row>
    <row r="432">
      <c r="E432" s="234"/>
      <c r="L432" s="234"/>
      <c r="AE432" s="234"/>
    </row>
    <row r="433">
      <c r="E433" s="234"/>
      <c r="L433" s="234"/>
      <c r="AE433" s="234"/>
    </row>
    <row r="434">
      <c r="E434" s="234"/>
      <c r="L434" s="234"/>
      <c r="AE434" s="234"/>
    </row>
    <row r="435">
      <c r="E435" s="234"/>
      <c r="L435" s="234"/>
      <c r="AE435" s="234"/>
    </row>
    <row r="436">
      <c r="E436" s="234"/>
      <c r="L436" s="234"/>
      <c r="AE436" s="234"/>
    </row>
    <row r="437">
      <c r="E437" s="234"/>
      <c r="L437" s="234"/>
      <c r="AE437" s="234"/>
    </row>
    <row r="438">
      <c r="E438" s="234"/>
      <c r="L438" s="234"/>
      <c r="AE438" s="234"/>
    </row>
    <row r="439">
      <c r="E439" s="234"/>
      <c r="L439" s="234"/>
      <c r="AE439" s="234"/>
    </row>
    <row r="440">
      <c r="E440" s="234"/>
      <c r="L440" s="234"/>
      <c r="AE440" s="234"/>
    </row>
    <row r="441">
      <c r="E441" s="234"/>
      <c r="L441" s="234"/>
      <c r="AE441" s="234"/>
    </row>
    <row r="442">
      <c r="E442" s="234"/>
      <c r="L442" s="234"/>
      <c r="AE442" s="234"/>
    </row>
    <row r="443">
      <c r="E443" s="234"/>
      <c r="L443" s="234"/>
      <c r="AE443" s="234"/>
    </row>
    <row r="444">
      <c r="E444" s="234"/>
      <c r="L444" s="234"/>
      <c r="AE444" s="234"/>
    </row>
    <row r="445">
      <c r="E445" s="234"/>
      <c r="L445" s="234"/>
      <c r="AE445" s="234"/>
    </row>
    <row r="446">
      <c r="E446" s="234"/>
      <c r="L446" s="234"/>
      <c r="AE446" s="234"/>
    </row>
    <row r="447">
      <c r="E447" s="234"/>
      <c r="L447" s="234"/>
      <c r="AE447" s="234"/>
    </row>
    <row r="448">
      <c r="E448" s="234"/>
      <c r="L448" s="234"/>
      <c r="AE448" s="234"/>
    </row>
    <row r="449">
      <c r="E449" s="234"/>
      <c r="L449" s="234"/>
      <c r="AE449" s="234"/>
    </row>
    <row r="450">
      <c r="E450" s="234"/>
      <c r="L450" s="234"/>
      <c r="AE450" s="234"/>
    </row>
    <row r="451">
      <c r="E451" s="234"/>
      <c r="L451" s="234"/>
      <c r="AE451" s="234"/>
    </row>
    <row r="452">
      <c r="E452" s="234"/>
      <c r="L452" s="234"/>
      <c r="AE452" s="234"/>
    </row>
    <row r="453">
      <c r="E453" s="234"/>
      <c r="L453" s="234"/>
      <c r="AE453" s="234"/>
    </row>
    <row r="454">
      <c r="E454" s="234"/>
      <c r="L454" s="234"/>
      <c r="AE454" s="234"/>
    </row>
    <row r="455">
      <c r="E455" s="234"/>
      <c r="L455" s="234"/>
      <c r="AE455" s="234"/>
    </row>
    <row r="456">
      <c r="E456" s="234"/>
      <c r="L456" s="234"/>
      <c r="AE456" s="234"/>
    </row>
    <row r="457">
      <c r="E457" s="234"/>
      <c r="L457" s="234"/>
      <c r="AE457" s="234"/>
    </row>
    <row r="458">
      <c r="E458" s="234"/>
      <c r="L458" s="234"/>
      <c r="AE458" s="234"/>
    </row>
    <row r="459">
      <c r="E459" s="234"/>
      <c r="L459" s="234"/>
      <c r="AE459" s="234"/>
    </row>
    <row r="460">
      <c r="E460" s="234"/>
      <c r="L460" s="234"/>
      <c r="AE460" s="234"/>
    </row>
    <row r="461">
      <c r="E461" s="234"/>
      <c r="L461" s="234"/>
      <c r="AE461" s="234"/>
    </row>
    <row r="462">
      <c r="E462" s="234"/>
      <c r="L462" s="234"/>
      <c r="AE462" s="234"/>
    </row>
    <row r="463">
      <c r="E463" s="234"/>
      <c r="L463" s="234"/>
      <c r="AE463" s="234"/>
    </row>
    <row r="464">
      <c r="E464" s="234"/>
      <c r="L464" s="234"/>
      <c r="AE464" s="234"/>
    </row>
    <row r="465">
      <c r="E465" s="234"/>
      <c r="L465" s="234"/>
      <c r="AE465" s="234"/>
    </row>
    <row r="466">
      <c r="E466" s="234"/>
      <c r="L466" s="234"/>
      <c r="AE466" s="234"/>
    </row>
    <row r="467">
      <c r="E467" s="234"/>
      <c r="L467" s="234"/>
      <c r="AE467" s="234"/>
    </row>
    <row r="468">
      <c r="E468" s="234"/>
      <c r="L468" s="234"/>
      <c r="AE468" s="234"/>
    </row>
    <row r="469">
      <c r="E469" s="234"/>
      <c r="L469" s="234"/>
      <c r="AE469" s="234"/>
    </row>
    <row r="470">
      <c r="E470" s="234"/>
      <c r="L470" s="234"/>
      <c r="AE470" s="234"/>
    </row>
    <row r="471">
      <c r="E471" s="234"/>
      <c r="L471" s="234"/>
      <c r="AE471" s="234"/>
    </row>
    <row r="472">
      <c r="E472" s="234"/>
      <c r="L472" s="234"/>
      <c r="AE472" s="234"/>
    </row>
    <row r="473">
      <c r="E473" s="234"/>
      <c r="L473" s="234"/>
      <c r="AE473" s="234"/>
    </row>
    <row r="474">
      <c r="E474" s="234"/>
      <c r="L474" s="234"/>
      <c r="AE474" s="234"/>
    </row>
    <row r="475">
      <c r="E475" s="234"/>
      <c r="L475" s="234"/>
      <c r="AE475" s="234"/>
    </row>
    <row r="476">
      <c r="E476" s="234"/>
      <c r="L476" s="234"/>
      <c r="AE476" s="234"/>
    </row>
    <row r="477">
      <c r="E477" s="234"/>
      <c r="L477" s="234"/>
      <c r="AE477" s="234"/>
    </row>
    <row r="478">
      <c r="E478" s="234"/>
      <c r="L478" s="234"/>
      <c r="AE478" s="234"/>
    </row>
    <row r="479">
      <c r="E479" s="234"/>
      <c r="L479" s="234"/>
      <c r="AE479" s="234"/>
    </row>
    <row r="480">
      <c r="E480" s="234"/>
      <c r="L480" s="234"/>
      <c r="AE480" s="234"/>
    </row>
    <row r="481">
      <c r="E481" s="234"/>
      <c r="L481" s="234"/>
      <c r="AE481" s="234"/>
    </row>
    <row r="482">
      <c r="E482" s="234"/>
      <c r="L482" s="234"/>
      <c r="AE482" s="234"/>
    </row>
    <row r="483">
      <c r="E483" s="234"/>
      <c r="L483" s="234"/>
      <c r="AE483" s="234"/>
    </row>
    <row r="484">
      <c r="E484" s="234"/>
      <c r="L484" s="234"/>
      <c r="AE484" s="234"/>
    </row>
    <row r="485">
      <c r="E485" s="234"/>
      <c r="L485" s="234"/>
      <c r="AE485" s="234"/>
    </row>
    <row r="486">
      <c r="E486" s="234"/>
      <c r="L486" s="234"/>
      <c r="AE486" s="234"/>
    </row>
    <row r="487">
      <c r="E487" s="234"/>
      <c r="L487" s="234"/>
      <c r="AE487" s="234"/>
    </row>
    <row r="488">
      <c r="E488" s="234"/>
      <c r="L488" s="234"/>
      <c r="AE488" s="234"/>
    </row>
    <row r="489">
      <c r="E489" s="234"/>
      <c r="L489" s="234"/>
      <c r="AE489" s="234"/>
    </row>
    <row r="490">
      <c r="E490" s="234"/>
      <c r="L490" s="234"/>
      <c r="AE490" s="234"/>
    </row>
    <row r="491">
      <c r="E491" s="234"/>
      <c r="L491" s="234"/>
      <c r="AE491" s="234"/>
    </row>
    <row r="492">
      <c r="E492" s="234"/>
      <c r="L492" s="234"/>
      <c r="AE492" s="234"/>
    </row>
    <row r="493">
      <c r="E493" s="234"/>
      <c r="L493" s="234"/>
      <c r="AE493" s="234"/>
    </row>
    <row r="494">
      <c r="E494" s="234"/>
      <c r="L494" s="234"/>
      <c r="AE494" s="234"/>
    </row>
    <row r="495">
      <c r="E495" s="234"/>
      <c r="L495" s="234"/>
      <c r="AE495" s="234"/>
    </row>
    <row r="496">
      <c r="E496" s="234"/>
      <c r="L496" s="234"/>
      <c r="AE496" s="234"/>
    </row>
    <row r="497">
      <c r="E497" s="234"/>
      <c r="L497" s="234"/>
      <c r="AE497" s="234"/>
    </row>
    <row r="498">
      <c r="E498" s="234"/>
      <c r="L498" s="234"/>
      <c r="AE498" s="234"/>
    </row>
    <row r="499">
      <c r="E499" s="234"/>
      <c r="L499" s="234"/>
      <c r="AE499" s="234"/>
    </row>
    <row r="500">
      <c r="E500" s="234"/>
      <c r="L500" s="234"/>
      <c r="AE500" s="234"/>
    </row>
    <row r="501">
      <c r="E501" s="234"/>
      <c r="L501" s="234"/>
      <c r="AE501" s="234"/>
    </row>
    <row r="502">
      <c r="E502" s="234"/>
      <c r="L502" s="234"/>
      <c r="AE502" s="234"/>
    </row>
    <row r="503">
      <c r="E503" s="234"/>
      <c r="L503" s="234"/>
      <c r="AE503" s="234"/>
    </row>
    <row r="504">
      <c r="E504" s="234"/>
      <c r="L504" s="234"/>
      <c r="AE504" s="234"/>
    </row>
    <row r="505">
      <c r="E505" s="234"/>
      <c r="L505" s="234"/>
      <c r="AE505" s="234"/>
    </row>
    <row r="506">
      <c r="E506" s="234"/>
      <c r="L506" s="234"/>
      <c r="AE506" s="234"/>
    </row>
    <row r="507">
      <c r="E507" s="234"/>
      <c r="L507" s="234"/>
      <c r="AE507" s="234"/>
    </row>
    <row r="508">
      <c r="E508" s="234"/>
      <c r="L508" s="234"/>
      <c r="AE508" s="234"/>
    </row>
    <row r="509">
      <c r="E509" s="234"/>
      <c r="L509" s="234"/>
      <c r="AE509" s="234"/>
    </row>
    <row r="510">
      <c r="E510" s="234"/>
      <c r="L510" s="234"/>
      <c r="AE510" s="234"/>
    </row>
    <row r="511">
      <c r="E511" s="234"/>
      <c r="L511" s="234"/>
      <c r="AE511" s="234"/>
    </row>
    <row r="512">
      <c r="E512" s="234"/>
      <c r="L512" s="234"/>
      <c r="AE512" s="234"/>
    </row>
    <row r="513">
      <c r="E513" s="234"/>
      <c r="L513" s="234"/>
      <c r="AE513" s="234"/>
    </row>
    <row r="514">
      <c r="E514" s="234"/>
      <c r="L514" s="234"/>
      <c r="AE514" s="234"/>
    </row>
    <row r="515">
      <c r="E515" s="234"/>
      <c r="L515" s="234"/>
      <c r="AE515" s="234"/>
    </row>
    <row r="516">
      <c r="E516" s="234"/>
      <c r="L516" s="234"/>
      <c r="AE516" s="234"/>
    </row>
    <row r="517">
      <c r="E517" s="234"/>
      <c r="L517" s="234"/>
      <c r="AE517" s="234"/>
    </row>
    <row r="518">
      <c r="E518" s="234"/>
      <c r="L518" s="234"/>
      <c r="AE518" s="234"/>
    </row>
    <row r="519">
      <c r="E519" s="234"/>
      <c r="L519" s="234"/>
      <c r="AE519" s="234"/>
    </row>
    <row r="520">
      <c r="E520" s="234"/>
      <c r="L520" s="234"/>
      <c r="AE520" s="234"/>
    </row>
    <row r="521">
      <c r="E521" s="234"/>
      <c r="L521" s="234"/>
      <c r="AE521" s="234"/>
    </row>
    <row r="522">
      <c r="E522" s="234"/>
      <c r="L522" s="234"/>
      <c r="AE522" s="234"/>
    </row>
    <row r="523">
      <c r="E523" s="234"/>
      <c r="L523" s="234"/>
      <c r="AE523" s="234"/>
    </row>
    <row r="524">
      <c r="E524" s="234"/>
      <c r="L524" s="234"/>
      <c r="AE524" s="234"/>
    </row>
    <row r="525">
      <c r="E525" s="234"/>
      <c r="L525" s="234"/>
      <c r="AE525" s="234"/>
    </row>
    <row r="526">
      <c r="E526" s="234"/>
      <c r="L526" s="234"/>
      <c r="AE526" s="234"/>
    </row>
    <row r="527">
      <c r="E527" s="234"/>
      <c r="L527" s="234"/>
      <c r="AE527" s="234"/>
    </row>
    <row r="528">
      <c r="E528" s="234"/>
      <c r="L528" s="234"/>
      <c r="AE528" s="234"/>
    </row>
    <row r="529">
      <c r="E529" s="234"/>
      <c r="L529" s="234"/>
      <c r="AE529" s="234"/>
    </row>
    <row r="530">
      <c r="E530" s="234"/>
      <c r="L530" s="234"/>
      <c r="AE530" s="234"/>
    </row>
    <row r="531">
      <c r="E531" s="234"/>
      <c r="L531" s="234"/>
      <c r="AE531" s="234"/>
    </row>
    <row r="532">
      <c r="E532" s="234"/>
      <c r="L532" s="234"/>
      <c r="AE532" s="234"/>
    </row>
    <row r="533">
      <c r="E533" s="234"/>
      <c r="L533" s="234"/>
      <c r="AE533" s="234"/>
    </row>
    <row r="534">
      <c r="E534" s="234"/>
      <c r="L534" s="234"/>
      <c r="AE534" s="234"/>
    </row>
    <row r="535">
      <c r="E535" s="234"/>
      <c r="L535" s="234"/>
      <c r="AE535" s="234"/>
    </row>
    <row r="536">
      <c r="E536" s="234"/>
      <c r="L536" s="234"/>
      <c r="AE536" s="234"/>
    </row>
    <row r="537">
      <c r="E537" s="234"/>
      <c r="L537" s="234"/>
      <c r="AE537" s="234"/>
    </row>
    <row r="538">
      <c r="E538" s="234"/>
      <c r="L538" s="234"/>
      <c r="AE538" s="234"/>
    </row>
    <row r="539">
      <c r="E539" s="234"/>
      <c r="L539" s="234"/>
      <c r="AE539" s="234"/>
    </row>
    <row r="540">
      <c r="E540" s="234"/>
      <c r="L540" s="234"/>
      <c r="AE540" s="234"/>
    </row>
    <row r="541">
      <c r="E541" s="234"/>
      <c r="L541" s="234"/>
      <c r="AE541" s="234"/>
    </row>
    <row r="542">
      <c r="E542" s="234"/>
      <c r="L542" s="234"/>
      <c r="AE542" s="234"/>
    </row>
    <row r="543">
      <c r="E543" s="234"/>
      <c r="L543" s="234"/>
      <c r="AE543" s="234"/>
    </row>
    <row r="544">
      <c r="E544" s="234"/>
      <c r="L544" s="234"/>
      <c r="AE544" s="234"/>
    </row>
    <row r="545">
      <c r="E545" s="234"/>
      <c r="L545" s="234"/>
      <c r="AE545" s="234"/>
    </row>
    <row r="546">
      <c r="E546" s="234"/>
      <c r="L546" s="234"/>
      <c r="AE546" s="234"/>
    </row>
    <row r="547">
      <c r="E547" s="234"/>
      <c r="L547" s="234"/>
      <c r="AE547" s="234"/>
    </row>
    <row r="548">
      <c r="E548" s="234"/>
      <c r="L548" s="234"/>
      <c r="AE548" s="234"/>
    </row>
    <row r="549">
      <c r="E549" s="234"/>
      <c r="L549" s="234"/>
      <c r="AE549" s="234"/>
    </row>
    <row r="550">
      <c r="E550" s="234"/>
      <c r="L550" s="234"/>
      <c r="AE550" s="234"/>
    </row>
    <row r="551">
      <c r="E551" s="234"/>
      <c r="L551" s="234"/>
      <c r="AE551" s="234"/>
    </row>
    <row r="552">
      <c r="E552" s="234"/>
      <c r="L552" s="234"/>
      <c r="AE552" s="234"/>
    </row>
    <row r="553">
      <c r="E553" s="234"/>
      <c r="L553" s="234"/>
      <c r="AE553" s="234"/>
    </row>
    <row r="554">
      <c r="E554" s="234"/>
      <c r="L554" s="234"/>
      <c r="AE554" s="234"/>
    </row>
    <row r="555">
      <c r="E555" s="234"/>
      <c r="L555" s="234"/>
      <c r="AE555" s="234"/>
    </row>
    <row r="556">
      <c r="E556" s="234"/>
      <c r="L556" s="234"/>
      <c r="AE556" s="234"/>
    </row>
    <row r="557">
      <c r="E557" s="234"/>
      <c r="L557" s="234"/>
      <c r="AE557" s="234"/>
    </row>
    <row r="558">
      <c r="E558" s="234"/>
      <c r="L558" s="234"/>
      <c r="AE558" s="234"/>
    </row>
    <row r="559">
      <c r="E559" s="234"/>
      <c r="L559" s="234"/>
      <c r="AE559" s="234"/>
    </row>
    <row r="560">
      <c r="E560" s="234"/>
      <c r="L560" s="234"/>
      <c r="AE560" s="234"/>
    </row>
    <row r="561">
      <c r="E561" s="234"/>
      <c r="L561" s="234"/>
      <c r="AE561" s="234"/>
    </row>
    <row r="562">
      <c r="E562" s="234"/>
      <c r="L562" s="234"/>
      <c r="AE562" s="234"/>
    </row>
    <row r="563">
      <c r="E563" s="234"/>
      <c r="L563" s="234"/>
      <c r="AE563" s="234"/>
    </row>
    <row r="564">
      <c r="E564" s="234"/>
      <c r="L564" s="234"/>
      <c r="AE564" s="234"/>
    </row>
    <row r="565">
      <c r="E565" s="234"/>
      <c r="L565" s="234"/>
      <c r="AE565" s="234"/>
    </row>
    <row r="566">
      <c r="E566" s="234"/>
      <c r="L566" s="234"/>
      <c r="AE566" s="234"/>
    </row>
    <row r="567">
      <c r="E567" s="234"/>
      <c r="L567" s="234"/>
      <c r="AE567" s="234"/>
    </row>
    <row r="568">
      <c r="E568" s="234"/>
      <c r="L568" s="234"/>
      <c r="AE568" s="234"/>
    </row>
    <row r="569">
      <c r="E569" s="234"/>
      <c r="L569" s="234"/>
      <c r="AE569" s="234"/>
    </row>
    <row r="570">
      <c r="E570" s="234"/>
      <c r="L570" s="234"/>
      <c r="AE570" s="234"/>
    </row>
    <row r="571">
      <c r="E571" s="234"/>
      <c r="L571" s="234"/>
      <c r="AE571" s="234"/>
    </row>
    <row r="572">
      <c r="E572" s="234"/>
      <c r="L572" s="234"/>
      <c r="AE572" s="234"/>
    </row>
    <row r="573">
      <c r="E573" s="234"/>
      <c r="L573" s="234"/>
      <c r="AE573" s="234"/>
    </row>
    <row r="574">
      <c r="E574" s="234"/>
      <c r="L574" s="234"/>
      <c r="AE574" s="234"/>
    </row>
    <row r="575">
      <c r="E575" s="234"/>
      <c r="L575" s="234"/>
      <c r="AE575" s="234"/>
    </row>
    <row r="576">
      <c r="E576" s="234"/>
      <c r="L576" s="234"/>
      <c r="AE576" s="234"/>
    </row>
    <row r="577">
      <c r="E577" s="234"/>
      <c r="L577" s="234"/>
      <c r="AE577" s="234"/>
    </row>
    <row r="578">
      <c r="E578" s="234"/>
      <c r="L578" s="234"/>
      <c r="AE578" s="234"/>
    </row>
    <row r="579">
      <c r="E579" s="234"/>
      <c r="L579" s="234"/>
      <c r="AE579" s="234"/>
    </row>
    <row r="580">
      <c r="E580" s="234"/>
      <c r="L580" s="234"/>
      <c r="AE580" s="234"/>
    </row>
    <row r="581">
      <c r="E581" s="234"/>
      <c r="L581" s="234"/>
      <c r="AE581" s="234"/>
    </row>
    <row r="582">
      <c r="E582" s="234"/>
      <c r="L582" s="234"/>
      <c r="AE582" s="234"/>
    </row>
    <row r="583">
      <c r="E583" s="234"/>
      <c r="L583" s="234"/>
      <c r="AE583" s="234"/>
    </row>
    <row r="584">
      <c r="E584" s="234"/>
      <c r="L584" s="234"/>
      <c r="AE584" s="234"/>
    </row>
    <row r="585">
      <c r="E585" s="234"/>
      <c r="L585" s="234"/>
      <c r="AE585" s="234"/>
    </row>
    <row r="586">
      <c r="E586" s="234"/>
      <c r="L586" s="234"/>
      <c r="AE586" s="234"/>
    </row>
    <row r="587">
      <c r="E587" s="234"/>
      <c r="L587" s="234"/>
      <c r="AE587" s="234"/>
    </row>
    <row r="588">
      <c r="E588" s="234"/>
      <c r="L588" s="234"/>
      <c r="AE588" s="234"/>
    </row>
    <row r="589">
      <c r="E589" s="234"/>
      <c r="L589" s="234"/>
      <c r="AE589" s="234"/>
    </row>
    <row r="590">
      <c r="E590" s="234"/>
      <c r="L590" s="234"/>
      <c r="AE590" s="234"/>
    </row>
    <row r="591">
      <c r="E591" s="234"/>
      <c r="L591" s="234"/>
      <c r="AE591" s="234"/>
    </row>
    <row r="592">
      <c r="E592" s="234"/>
      <c r="L592" s="234"/>
      <c r="AE592" s="234"/>
    </row>
    <row r="593">
      <c r="E593" s="234"/>
      <c r="L593" s="234"/>
      <c r="AE593" s="234"/>
    </row>
    <row r="594">
      <c r="E594" s="234"/>
      <c r="L594" s="234"/>
      <c r="AE594" s="234"/>
    </row>
    <row r="595">
      <c r="E595" s="234"/>
      <c r="L595" s="234"/>
      <c r="AE595" s="234"/>
    </row>
    <row r="596">
      <c r="E596" s="234"/>
      <c r="L596" s="234"/>
      <c r="AE596" s="234"/>
    </row>
    <row r="597">
      <c r="E597" s="234"/>
      <c r="L597" s="234"/>
      <c r="AE597" s="234"/>
    </row>
    <row r="598">
      <c r="E598" s="234"/>
      <c r="L598" s="234"/>
      <c r="AE598" s="234"/>
    </row>
    <row r="599">
      <c r="E599" s="234"/>
      <c r="L599" s="234"/>
      <c r="AE599" s="234"/>
    </row>
    <row r="600">
      <c r="E600" s="234"/>
      <c r="L600" s="234"/>
      <c r="AE600" s="234"/>
    </row>
    <row r="601">
      <c r="E601" s="234"/>
      <c r="L601" s="234"/>
      <c r="AE601" s="234"/>
    </row>
    <row r="602">
      <c r="E602" s="234"/>
      <c r="L602" s="234"/>
      <c r="AE602" s="234"/>
    </row>
    <row r="603">
      <c r="E603" s="234"/>
      <c r="L603" s="234"/>
      <c r="AE603" s="234"/>
    </row>
    <row r="604">
      <c r="E604" s="234"/>
      <c r="L604" s="234"/>
      <c r="AE604" s="234"/>
    </row>
    <row r="605">
      <c r="E605" s="234"/>
      <c r="L605" s="234"/>
      <c r="AE605" s="234"/>
    </row>
    <row r="606">
      <c r="E606" s="234"/>
      <c r="L606" s="234"/>
      <c r="AE606" s="234"/>
    </row>
    <row r="607">
      <c r="E607" s="234"/>
      <c r="L607" s="234"/>
      <c r="AE607" s="234"/>
    </row>
    <row r="608">
      <c r="E608" s="234"/>
      <c r="L608" s="234"/>
      <c r="AE608" s="234"/>
    </row>
    <row r="609">
      <c r="E609" s="234"/>
      <c r="L609" s="234"/>
      <c r="AE609" s="234"/>
    </row>
    <row r="610">
      <c r="E610" s="234"/>
      <c r="L610" s="234"/>
      <c r="AE610" s="234"/>
    </row>
    <row r="611">
      <c r="E611" s="234"/>
      <c r="L611" s="234"/>
      <c r="AE611" s="234"/>
    </row>
    <row r="612">
      <c r="E612" s="234"/>
      <c r="L612" s="234"/>
      <c r="AE612" s="234"/>
    </row>
    <row r="613">
      <c r="E613" s="234"/>
      <c r="L613" s="234"/>
      <c r="AE613" s="234"/>
    </row>
    <row r="614">
      <c r="E614" s="234"/>
      <c r="L614" s="234"/>
      <c r="AE614" s="234"/>
    </row>
    <row r="615">
      <c r="E615" s="234"/>
      <c r="L615" s="234"/>
      <c r="AE615" s="234"/>
    </row>
    <row r="616">
      <c r="E616" s="234"/>
      <c r="L616" s="234"/>
      <c r="AE616" s="234"/>
    </row>
    <row r="617">
      <c r="E617" s="234"/>
      <c r="L617" s="234"/>
      <c r="AE617" s="234"/>
    </row>
    <row r="618">
      <c r="E618" s="234"/>
      <c r="L618" s="234"/>
      <c r="AE618" s="234"/>
    </row>
    <row r="619">
      <c r="E619" s="234"/>
      <c r="L619" s="234"/>
      <c r="AE619" s="234"/>
    </row>
    <row r="620">
      <c r="E620" s="234"/>
      <c r="L620" s="234"/>
      <c r="AE620" s="234"/>
    </row>
    <row r="621">
      <c r="E621" s="234"/>
      <c r="L621" s="234"/>
      <c r="AE621" s="234"/>
    </row>
    <row r="622">
      <c r="E622" s="234"/>
      <c r="L622" s="234"/>
      <c r="AE622" s="234"/>
    </row>
    <row r="623">
      <c r="E623" s="234"/>
      <c r="L623" s="234"/>
      <c r="AE623" s="234"/>
    </row>
    <row r="624">
      <c r="E624" s="234"/>
      <c r="L624" s="234"/>
      <c r="AE624" s="234"/>
    </row>
    <row r="625">
      <c r="E625" s="234"/>
      <c r="L625" s="234"/>
      <c r="AE625" s="234"/>
    </row>
    <row r="626">
      <c r="E626" s="234"/>
      <c r="L626" s="234"/>
      <c r="AE626" s="234"/>
    </row>
    <row r="627">
      <c r="E627" s="234"/>
      <c r="L627" s="234"/>
      <c r="AE627" s="234"/>
    </row>
    <row r="628">
      <c r="E628" s="234"/>
      <c r="L628" s="234"/>
      <c r="AE628" s="234"/>
    </row>
    <row r="629">
      <c r="E629" s="234"/>
      <c r="L629" s="234"/>
      <c r="AE629" s="234"/>
    </row>
    <row r="630">
      <c r="E630" s="234"/>
      <c r="L630" s="234"/>
      <c r="AE630" s="234"/>
    </row>
    <row r="631">
      <c r="E631" s="234"/>
      <c r="L631" s="234"/>
      <c r="AE631" s="234"/>
    </row>
    <row r="632">
      <c r="E632" s="234"/>
      <c r="L632" s="234"/>
      <c r="AE632" s="234"/>
    </row>
    <row r="633">
      <c r="E633" s="234"/>
      <c r="L633" s="234"/>
      <c r="AE633" s="234"/>
    </row>
    <row r="634">
      <c r="E634" s="234"/>
      <c r="L634" s="234"/>
      <c r="AE634" s="234"/>
    </row>
    <row r="635">
      <c r="E635" s="234"/>
      <c r="L635" s="234"/>
      <c r="AE635" s="234"/>
    </row>
    <row r="636">
      <c r="E636" s="234"/>
      <c r="L636" s="234"/>
      <c r="AE636" s="234"/>
    </row>
    <row r="637">
      <c r="E637" s="234"/>
      <c r="L637" s="234"/>
      <c r="AE637" s="234"/>
    </row>
    <row r="638">
      <c r="E638" s="234"/>
      <c r="L638" s="234"/>
      <c r="AE638" s="234"/>
    </row>
    <row r="639">
      <c r="E639" s="234"/>
      <c r="L639" s="234"/>
      <c r="AE639" s="234"/>
    </row>
    <row r="640">
      <c r="E640" s="234"/>
      <c r="L640" s="234"/>
      <c r="AE640" s="234"/>
    </row>
    <row r="641">
      <c r="E641" s="234"/>
      <c r="L641" s="234"/>
      <c r="AE641" s="234"/>
    </row>
    <row r="642">
      <c r="E642" s="234"/>
      <c r="L642" s="234"/>
      <c r="AE642" s="234"/>
    </row>
    <row r="643">
      <c r="E643" s="234"/>
      <c r="L643" s="234"/>
      <c r="AE643" s="234"/>
    </row>
    <row r="644">
      <c r="E644" s="234"/>
      <c r="L644" s="234"/>
      <c r="AE644" s="234"/>
    </row>
    <row r="645">
      <c r="E645" s="234"/>
      <c r="L645" s="234"/>
      <c r="AE645" s="234"/>
    </row>
    <row r="646">
      <c r="E646" s="234"/>
      <c r="L646" s="234"/>
      <c r="AE646" s="234"/>
    </row>
    <row r="647">
      <c r="E647" s="234"/>
      <c r="L647" s="234"/>
      <c r="AE647" s="234"/>
    </row>
    <row r="648">
      <c r="E648" s="234"/>
      <c r="L648" s="234"/>
      <c r="AE648" s="234"/>
    </row>
    <row r="649">
      <c r="E649" s="234"/>
      <c r="L649" s="234"/>
      <c r="AE649" s="234"/>
    </row>
    <row r="650">
      <c r="E650" s="234"/>
      <c r="L650" s="234"/>
      <c r="AE650" s="234"/>
    </row>
    <row r="651">
      <c r="E651" s="234"/>
      <c r="L651" s="234"/>
      <c r="AE651" s="234"/>
    </row>
    <row r="652">
      <c r="E652" s="234"/>
      <c r="L652" s="234"/>
      <c r="AE652" s="234"/>
    </row>
    <row r="653">
      <c r="E653" s="234"/>
      <c r="L653" s="234"/>
      <c r="AE653" s="234"/>
    </row>
    <row r="654">
      <c r="E654" s="234"/>
      <c r="L654" s="234"/>
      <c r="AE654" s="234"/>
    </row>
    <row r="655">
      <c r="E655" s="234"/>
      <c r="L655" s="234"/>
      <c r="AE655" s="234"/>
    </row>
    <row r="656">
      <c r="E656" s="234"/>
      <c r="L656" s="234"/>
      <c r="AE656" s="234"/>
    </row>
    <row r="657">
      <c r="E657" s="234"/>
      <c r="L657" s="234"/>
      <c r="AE657" s="234"/>
    </row>
    <row r="658">
      <c r="E658" s="234"/>
      <c r="L658" s="234"/>
      <c r="AE658" s="234"/>
    </row>
    <row r="659">
      <c r="E659" s="234"/>
      <c r="L659" s="234"/>
      <c r="AE659" s="234"/>
    </row>
    <row r="660">
      <c r="E660" s="234"/>
      <c r="L660" s="234"/>
      <c r="AE660" s="234"/>
    </row>
    <row r="661">
      <c r="E661" s="234"/>
      <c r="L661" s="234"/>
      <c r="AE661" s="234"/>
    </row>
    <row r="662">
      <c r="E662" s="234"/>
      <c r="L662" s="234"/>
      <c r="AE662" s="234"/>
    </row>
    <row r="663">
      <c r="E663" s="234"/>
      <c r="L663" s="234"/>
      <c r="AE663" s="234"/>
    </row>
    <row r="664">
      <c r="E664" s="234"/>
      <c r="L664" s="234"/>
      <c r="AE664" s="234"/>
    </row>
    <row r="665">
      <c r="E665" s="234"/>
      <c r="L665" s="234"/>
      <c r="AE665" s="234"/>
    </row>
    <row r="666">
      <c r="E666" s="234"/>
      <c r="L666" s="234"/>
      <c r="AE666" s="234"/>
    </row>
    <row r="667">
      <c r="E667" s="234"/>
      <c r="L667" s="234"/>
      <c r="AE667" s="234"/>
    </row>
    <row r="668">
      <c r="E668" s="234"/>
      <c r="L668" s="234"/>
      <c r="AE668" s="234"/>
    </row>
    <row r="669">
      <c r="E669" s="234"/>
      <c r="L669" s="234"/>
      <c r="AE669" s="234"/>
    </row>
    <row r="670">
      <c r="E670" s="234"/>
      <c r="L670" s="234"/>
      <c r="AE670" s="234"/>
    </row>
    <row r="671">
      <c r="E671" s="234"/>
      <c r="L671" s="234"/>
      <c r="AE671" s="234"/>
    </row>
    <row r="672">
      <c r="E672" s="234"/>
      <c r="L672" s="234"/>
      <c r="AE672" s="234"/>
    </row>
    <row r="673">
      <c r="E673" s="234"/>
      <c r="L673" s="234"/>
      <c r="AE673" s="234"/>
    </row>
    <row r="674">
      <c r="E674" s="234"/>
      <c r="L674" s="234"/>
      <c r="AE674" s="234"/>
    </row>
    <row r="675">
      <c r="E675" s="234"/>
      <c r="L675" s="234"/>
      <c r="AE675" s="234"/>
    </row>
    <row r="676">
      <c r="E676" s="234"/>
      <c r="L676" s="234"/>
      <c r="AE676" s="234"/>
    </row>
    <row r="677">
      <c r="E677" s="234"/>
      <c r="L677" s="234"/>
      <c r="AE677" s="234"/>
    </row>
    <row r="678">
      <c r="E678" s="234"/>
      <c r="L678" s="234"/>
      <c r="AE678" s="234"/>
    </row>
    <row r="679">
      <c r="E679" s="234"/>
      <c r="L679" s="234"/>
      <c r="AE679" s="234"/>
    </row>
    <row r="680">
      <c r="E680" s="234"/>
      <c r="L680" s="234"/>
      <c r="AE680" s="234"/>
    </row>
    <row r="681">
      <c r="E681" s="234"/>
      <c r="L681" s="234"/>
      <c r="AE681" s="234"/>
    </row>
    <row r="682">
      <c r="E682" s="234"/>
      <c r="L682" s="234"/>
      <c r="AE682" s="234"/>
    </row>
    <row r="683">
      <c r="E683" s="234"/>
      <c r="L683" s="234"/>
      <c r="AE683" s="234"/>
    </row>
    <row r="684">
      <c r="E684" s="234"/>
      <c r="L684" s="234"/>
      <c r="AE684" s="234"/>
    </row>
    <row r="685">
      <c r="E685" s="234"/>
      <c r="L685" s="234"/>
      <c r="AE685" s="234"/>
    </row>
    <row r="686">
      <c r="E686" s="234"/>
      <c r="L686" s="234"/>
      <c r="AE686" s="234"/>
    </row>
    <row r="687">
      <c r="E687" s="234"/>
      <c r="L687" s="234"/>
      <c r="AE687" s="234"/>
    </row>
    <row r="688">
      <c r="E688" s="234"/>
      <c r="L688" s="234"/>
      <c r="AE688" s="234"/>
    </row>
    <row r="689">
      <c r="E689" s="234"/>
      <c r="L689" s="234"/>
      <c r="AE689" s="234"/>
    </row>
    <row r="690">
      <c r="E690" s="234"/>
      <c r="L690" s="234"/>
      <c r="AE690" s="234"/>
    </row>
    <row r="691">
      <c r="E691" s="234"/>
      <c r="L691" s="234"/>
      <c r="AE691" s="234"/>
    </row>
    <row r="692">
      <c r="E692" s="234"/>
      <c r="L692" s="234"/>
      <c r="AE692" s="234"/>
    </row>
    <row r="693">
      <c r="E693" s="234"/>
      <c r="L693" s="234"/>
      <c r="AE693" s="234"/>
    </row>
    <row r="694">
      <c r="E694" s="234"/>
      <c r="L694" s="234"/>
      <c r="AE694" s="234"/>
    </row>
    <row r="695">
      <c r="E695" s="234"/>
      <c r="L695" s="234"/>
      <c r="AE695" s="234"/>
    </row>
    <row r="696">
      <c r="E696" s="234"/>
      <c r="L696" s="234"/>
      <c r="AE696" s="234"/>
    </row>
    <row r="697">
      <c r="E697" s="234"/>
      <c r="L697" s="234"/>
      <c r="AE697" s="234"/>
    </row>
    <row r="698">
      <c r="E698" s="234"/>
      <c r="L698" s="234"/>
      <c r="AE698" s="234"/>
    </row>
    <row r="699">
      <c r="E699" s="234"/>
      <c r="L699" s="234"/>
      <c r="AE699" s="234"/>
    </row>
    <row r="700">
      <c r="E700" s="234"/>
      <c r="L700" s="234"/>
      <c r="AE700" s="234"/>
    </row>
    <row r="701">
      <c r="E701" s="234"/>
      <c r="L701" s="234"/>
      <c r="AE701" s="234"/>
    </row>
    <row r="702">
      <c r="E702" s="234"/>
      <c r="L702" s="234"/>
      <c r="AE702" s="234"/>
    </row>
    <row r="703">
      <c r="E703" s="234"/>
      <c r="L703" s="234"/>
      <c r="AE703" s="234"/>
    </row>
    <row r="704">
      <c r="E704" s="234"/>
      <c r="L704" s="234"/>
      <c r="AE704" s="234"/>
    </row>
    <row r="705">
      <c r="E705" s="234"/>
      <c r="L705" s="234"/>
      <c r="AE705" s="234"/>
    </row>
    <row r="706">
      <c r="E706" s="234"/>
      <c r="L706" s="234"/>
      <c r="AE706" s="234"/>
    </row>
    <row r="707">
      <c r="E707" s="234"/>
      <c r="L707" s="234"/>
      <c r="AE707" s="234"/>
    </row>
    <row r="708">
      <c r="E708" s="234"/>
      <c r="L708" s="234"/>
      <c r="AE708" s="234"/>
    </row>
    <row r="709">
      <c r="E709" s="234"/>
      <c r="L709" s="234"/>
      <c r="AE709" s="234"/>
    </row>
    <row r="710">
      <c r="E710" s="234"/>
      <c r="L710" s="234"/>
      <c r="AE710" s="234"/>
    </row>
    <row r="711">
      <c r="E711" s="234"/>
      <c r="L711" s="234"/>
      <c r="AE711" s="234"/>
    </row>
    <row r="712">
      <c r="E712" s="234"/>
      <c r="L712" s="234"/>
      <c r="AE712" s="234"/>
    </row>
    <row r="713">
      <c r="E713" s="234"/>
      <c r="L713" s="234"/>
      <c r="AE713" s="234"/>
    </row>
    <row r="714">
      <c r="E714" s="234"/>
      <c r="L714" s="234"/>
      <c r="AE714" s="234"/>
    </row>
    <row r="715">
      <c r="E715" s="234"/>
      <c r="L715" s="234"/>
      <c r="AE715" s="234"/>
    </row>
    <row r="716">
      <c r="E716" s="234"/>
      <c r="L716" s="234"/>
      <c r="AE716" s="234"/>
    </row>
    <row r="717">
      <c r="E717" s="234"/>
      <c r="L717" s="234"/>
      <c r="AE717" s="234"/>
    </row>
    <row r="718">
      <c r="E718" s="234"/>
      <c r="L718" s="234"/>
      <c r="AE718" s="234"/>
    </row>
    <row r="719">
      <c r="E719" s="234"/>
      <c r="L719" s="234"/>
      <c r="AE719" s="234"/>
    </row>
    <row r="720">
      <c r="E720" s="234"/>
      <c r="L720" s="234"/>
      <c r="AE720" s="234"/>
    </row>
    <row r="721">
      <c r="E721" s="234"/>
      <c r="L721" s="234"/>
      <c r="AE721" s="234"/>
    </row>
    <row r="722">
      <c r="E722" s="234"/>
      <c r="L722" s="234"/>
      <c r="AE722" s="234"/>
    </row>
    <row r="723">
      <c r="E723" s="234"/>
      <c r="L723" s="234"/>
      <c r="AE723" s="234"/>
    </row>
    <row r="724">
      <c r="E724" s="234"/>
      <c r="L724" s="234"/>
      <c r="AE724" s="234"/>
    </row>
    <row r="725">
      <c r="E725" s="234"/>
      <c r="L725" s="234"/>
      <c r="AE725" s="234"/>
    </row>
    <row r="726">
      <c r="E726" s="234"/>
      <c r="L726" s="234"/>
      <c r="AE726" s="234"/>
    </row>
    <row r="727">
      <c r="E727" s="234"/>
      <c r="L727" s="234"/>
      <c r="AE727" s="234"/>
    </row>
    <row r="728">
      <c r="E728" s="234"/>
      <c r="L728" s="234"/>
      <c r="AE728" s="234"/>
    </row>
    <row r="729">
      <c r="E729" s="234"/>
      <c r="L729" s="234"/>
      <c r="AE729" s="234"/>
    </row>
    <row r="730">
      <c r="E730" s="234"/>
      <c r="L730" s="234"/>
      <c r="AE730" s="234"/>
    </row>
    <row r="731">
      <c r="E731" s="234"/>
      <c r="L731" s="234"/>
      <c r="AE731" s="234"/>
    </row>
    <row r="732">
      <c r="E732" s="234"/>
      <c r="L732" s="234"/>
      <c r="AE732" s="234"/>
    </row>
    <row r="733">
      <c r="E733" s="234"/>
      <c r="L733" s="234"/>
      <c r="AE733" s="234"/>
    </row>
    <row r="734">
      <c r="E734" s="234"/>
      <c r="L734" s="234"/>
      <c r="AE734" s="234"/>
    </row>
    <row r="735">
      <c r="E735" s="234"/>
      <c r="L735" s="234"/>
      <c r="AE735" s="234"/>
    </row>
    <row r="736">
      <c r="E736" s="234"/>
      <c r="L736" s="234"/>
      <c r="AE736" s="234"/>
    </row>
    <row r="737">
      <c r="E737" s="234"/>
      <c r="L737" s="234"/>
      <c r="AE737" s="234"/>
    </row>
    <row r="738">
      <c r="E738" s="234"/>
      <c r="L738" s="234"/>
      <c r="AE738" s="234"/>
    </row>
    <row r="739">
      <c r="E739" s="234"/>
      <c r="L739" s="234"/>
      <c r="AE739" s="234"/>
    </row>
    <row r="740">
      <c r="E740" s="234"/>
      <c r="L740" s="234"/>
      <c r="AE740" s="234"/>
    </row>
    <row r="741">
      <c r="E741" s="234"/>
      <c r="L741" s="234"/>
      <c r="AE741" s="234"/>
    </row>
    <row r="742">
      <c r="E742" s="234"/>
      <c r="L742" s="234"/>
      <c r="AE742" s="234"/>
    </row>
    <row r="743">
      <c r="E743" s="234"/>
      <c r="L743" s="234"/>
      <c r="AE743" s="234"/>
    </row>
    <row r="744">
      <c r="E744" s="234"/>
      <c r="L744" s="234"/>
      <c r="AE744" s="234"/>
    </row>
    <row r="745">
      <c r="E745" s="234"/>
      <c r="L745" s="234"/>
      <c r="AE745" s="234"/>
    </row>
    <row r="746">
      <c r="E746" s="234"/>
      <c r="L746" s="234"/>
      <c r="AE746" s="234"/>
    </row>
    <row r="747">
      <c r="E747" s="234"/>
      <c r="L747" s="234"/>
      <c r="AE747" s="234"/>
    </row>
    <row r="748">
      <c r="E748" s="234"/>
      <c r="L748" s="234"/>
      <c r="AE748" s="234"/>
    </row>
    <row r="749">
      <c r="E749" s="234"/>
      <c r="L749" s="234"/>
      <c r="AE749" s="234"/>
    </row>
    <row r="750">
      <c r="E750" s="234"/>
      <c r="L750" s="234"/>
      <c r="AE750" s="234"/>
    </row>
    <row r="751">
      <c r="E751" s="234"/>
      <c r="L751" s="234"/>
      <c r="AE751" s="234"/>
    </row>
    <row r="752">
      <c r="E752" s="234"/>
      <c r="L752" s="234"/>
      <c r="AE752" s="234"/>
    </row>
    <row r="753">
      <c r="E753" s="234"/>
      <c r="L753" s="234"/>
      <c r="AE753" s="234"/>
    </row>
    <row r="754">
      <c r="E754" s="234"/>
      <c r="L754" s="234"/>
      <c r="AE754" s="234"/>
    </row>
    <row r="755">
      <c r="E755" s="234"/>
      <c r="L755" s="234"/>
      <c r="AE755" s="234"/>
    </row>
    <row r="756">
      <c r="E756" s="234"/>
      <c r="L756" s="234"/>
      <c r="AE756" s="234"/>
    </row>
    <row r="757">
      <c r="E757" s="234"/>
      <c r="L757" s="234"/>
      <c r="AE757" s="234"/>
    </row>
    <row r="758">
      <c r="E758" s="234"/>
      <c r="L758" s="234"/>
      <c r="AE758" s="234"/>
    </row>
    <row r="759">
      <c r="E759" s="234"/>
      <c r="L759" s="234"/>
      <c r="AE759" s="234"/>
    </row>
    <row r="760">
      <c r="E760" s="234"/>
      <c r="L760" s="234"/>
      <c r="AE760" s="234"/>
    </row>
    <row r="761">
      <c r="E761" s="234"/>
      <c r="L761" s="234"/>
      <c r="AE761" s="234"/>
    </row>
    <row r="762">
      <c r="E762" s="234"/>
      <c r="L762" s="234"/>
      <c r="AE762" s="234"/>
    </row>
    <row r="763">
      <c r="E763" s="234"/>
      <c r="L763" s="234"/>
      <c r="AE763" s="234"/>
    </row>
    <row r="764">
      <c r="E764" s="234"/>
      <c r="L764" s="234"/>
      <c r="AE764" s="234"/>
    </row>
    <row r="765">
      <c r="E765" s="234"/>
      <c r="L765" s="234"/>
      <c r="AE765" s="234"/>
    </row>
    <row r="766">
      <c r="E766" s="234"/>
      <c r="L766" s="234"/>
      <c r="AE766" s="234"/>
    </row>
    <row r="767">
      <c r="E767" s="234"/>
      <c r="L767" s="234"/>
      <c r="AE767" s="234"/>
    </row>
    <row r="768">
      <c r="E768" s="234"/>
      <c r="L768" s="234"/>
      <c r="AE768" s="234"/>
    </row>
    <row r="769">
      <c r="E769" s="234"/>
      <c r="L769" s="234"/>
      <c r="AE769" s="234"/>
    </row>
    <row r="770">
      <c r="E770" s="234"/>
      <c r="L770" s="234"/>
      <c r="AE770" s="234"/>
    </row>
    <row r="771">
      <c r="E771" s="234"/>
      <c r="L771" s="234"/>
      <c r="AE771" s="234"/>
    </row>
    <row r="772">
      <c r="E772" s="234"/>
      <c r="L772" s="234"/>
      <c r="AE772" s="234"/>
    </row>
    <row r="773">
      <c r="E773" s="234"/>
      <c r="L773" s="234"/>
      <c r="AE773" s="234"/>
    </row>
    <row r="774">
      <c r="E774" s="234"/>
      <c r="L774" s="234"/>
      <c r="AE774" s="234"/>
    </row>
    <row r="775">
      <c r="E775" s="234"/>
      <c r="L775" s="234"/>
      <c r="AE775" s="234"/>
    </row>
    <row r="776">
      <c r="E776" s="234"/>
      <c r="L776" s="234"/>
      <c r="AE776" s="234"/>
    </row>
    <row r="777">
      <c r="E777" s="234"/>
      <c r="L777" s="234"/>
      <c r="AE777" s="234"/>
    </row>
    <row r="778">
      <c r="E778" s="234"/>
      <c r="L778" s="234"/>
      <c r="AE778" s="234"/>
    </row>
    <row r="779">
      <c r="E779" s="234"/>
      <c r="L779" s="234"/>
      <c r="AE779" s="234"/>
    </row>
    <row r="780">
      <c r="E780" s="234"/>
      <c r="L780" s="234"/>
      <c r="AE780" s="234"/>
    </row>
    <row r="781">
      <c r="E781" s="234"/>
      <c r="L781" s="234"/>
      <c r="AE781" s="234"/>
    </row>
    <row r="782">
      <c r="E782" s="234"/>
      <c r="L782" s="234"/>
      <c r="AE782" s="234"/>
    </row>
    <row r="783">
      <c r="E783" s="234"/>
      <c r="L783" s="234"/>
      <c r="AE783" s="234"/>
    </row>
    <row r="784">
      <c r="E784" s="234"/>
      <c r="L784" s="234"/>
      <c r="AE784" s="234"/>
    </row>
    <row r="785">
      <c r="E785" s="234"/>
      <c r="L785" s="234"/>
      <c r="AE785" s="234"/>
    </row>
    <row r="786">
      <c r="E786" s="234"/>
      <c r="L786" s="234"/>
      <c r="AE786" s="234"/>
    </row>
    <row r="787">
      <c r="E787" s="234"/>
      <c r="L787" s="234"/>
      <c r="AE787" s="234"/>
    </row>
    <row r="788">
      <c r="E788" s="234"/>
      <c r="L788" s="234"/>
      <c r="AE788" s="234"/>
    </row>
    <row r="789">
      <c r="E789" s="234"/>
      <c r="L789" s="234"/>
      <c r="AE789" s="234"/>
    </row>
    <row r="790">
      <c r="E790" s="234"/>
      <c r="L790" s="234"/>
      <c r="AE790" s="234"/>
    </row>
    <row r="791">
      <c r="E791" s="234"/>
      <c r="L791" s="234"/>
      <c r="AE791" s="234"/>
    </row>
    <row r="792">
      <c r="E792" s="234"/>
      <c r="L792" s="234"/>
      <c r="AE792" s="234"/>
    </row>
    <row r="793">
      <c r="E793" s="234"/>
      <c r="L793" s="234"/>
      <c r="AE793" s="234"/>
    </row>
    <row r="794">
      <c r="E794" s="234"/>
      <c r="L794" s="234"/>
      <c r="AE794" s="234"/>
    </row>
    <row r="795">
      <c r="E795" s="234"/>
      <c r="L795" s="234"/>
      <c r="AE795" s="234"/>
    </row>
    <row r="796">
      <c r="E796" s="234"/>
      <c r="L796" s="234"/>
      <c r="AE796" s="234"/>
    </row>
    <row r="797">
      <c r="E797" s="234"/>
      <c r="L797" s="234"/>
      <c r="AE797" s="234"/>
    </row>
    <row r="798">
      <c r="E798" s="234"/>
      <c r="L798" s="234"/>
      <c r="AE798" s="234"/>
    </row>
    <row r="799">
      <c r="E799" s="234"/>
      <c r="L799" s="234"/>
      <c r="AE799" s="234"/>
    </row>
    <row r="800">
      <c r="E800" s="234"/>
      <c r="L800" s="234"/>
      <c r="AE800" s="234"/>
    </row>
    <row r="801">
      <c r="E801" s="234"/>
      <c r="L801" s="234"/>
      <c r="AE801" s="234"/>
    </row>
    <row r="802">
      <c r="E802" s="234"/>
      <c r="L802" s="234"/>
      <c r="AE802" s="234"/>
    </row>
    <row r="803">
      <c r="E803" s="234"/>
      <c r="L803" s="234"/>
      <c r="AE803" s="234"/>
    </row>
    <row r="804">
      <c r="E804" s="234"/>
      <c r="L804" s="234"/>
      <c r="AE804" s="234"/>
    </row>
    <row r="805">
      <c r="E805" s="234"/>
      <c r="L805" s="234"/>
      <c r="AE805" s="234"/>
    </row>
    <row r="806">
      <c r="E806" s="234"/>
      <c r="L806" s="234"/>
      <c r="AE806" s="234"/>
    </row>
    <row r="807">
      <c r="E807" s="234"/>
      <c r="L807" s="234"/>
      <c r="AE807" s="234"/>
    </row>
    <row r="808">
      <c r="E808" s="234"/>
      <c r="L808" s="234"/>
      <c r="AE808" s="234"/>
    </row>
    <row r="809">
      <c r="E809" s="234"/>
      <c r="L809" s="234"/>
      <c r="AE809" s="234"/>
    </row>
    <row r="810">
      <c r="E810" s="234"/>
      <c r="L810" s="234"/>
      <c r="AE810" s="234"/>
    </row>
    <row r="811">
      <c r="E811" s="234"/>
      <c r="L811" s="234"/>
      <c r="AE811" s="234"/>
    </row>
    <row r="812">
      <c r="E812" s="234"/>
      <c r="L812" s="234"/>
      <c r="AE812" s="234"/>
    </row>
    <row r="813">
      <c r="E813" s="234"/>
      <c r="L813" s="234"/>
      <c r="AE813" s="234"/>
    </row>
    <row r="814">
      <c r="E814" s="234"/>
      <c r="L814" s="234"/>
      <c r="AE814" s="234"/>
    </row>
    <row r="815">
      <c r="E815" s="234"/>
      <c r="L815" s="234"/>
      <c r="AE815" s="234"/>
    </row>
    <row r="816">
      <c r="E816" s="234"/>
      <c r="L816" s="234"/>
      <c r="AE816" s="234"/>
    </row>
    <row r="817">
      <c r="E817" s="234"/>
      <c r="L817" s="234"/>
      <c r="AE817" s="234"/>
    </row>
    <row r="818">
      <c r="E818" s="234"/>
      <c r="L818" s="234"/>
      <c r="AE818" s="234"/>
    </row>
    <row r="819">
      <c r="E819" s="234"/>
      <c r="L819" s="234"/>
      <c r="AE819" s="234"/>
    </row>
    <row r="820">
      <c r="E820" s="234"/>
      <c r="L820" s="234"/>
      <c r="AE820" s="234"/>
    </row>
    <row r="821">
      <c r="E821" s="234"/>
      <c r="L821" s="234"/>
      <c r="AE821" s="234"/>
    </row>
    <row r="822">
      <c r="E822" s="234"/>
      <c r="L822" s="234"/>
      <c r="AE822" s="234"/>
    </row>
    <row r="823">
      <c r="E823" s="234"/>
      <c r="L823" s="234"/>
      <c r="AE823" s="234"/>
    </row>
    <row r="824">
      <c r="E824" s="234"/>
      <c r="L824" s="234"/>
      <c r="AE824" s="234"/>
    </row>
    <row r="825">
      <c r="E825" s="234"/>
      <c r="L825" s="234"/>
      <c r="AE825" s="234"/>
    </row>
    <row r="826">
      <c r="E826" s="234"/>
      <c r="L826" s="234"/>
      <c r="AE826" s="234"/>
    </row>
    <row r="827">
      <c r="E827" s="234"/>
      <c r="L827" s="234"/>
      <c r="AE827" s="234"/>
    </row>
    <row r="828">
      <c r="E828" s="234"/>
      <c r="L828" s="234"/>
      <c r="AE828" s="234"/>
    </row>
    <row r="829">
      <c r="E829" s="234"/>
      <c r="L829" s="234"/>
      <c r="AE829" s="234"/>
    </row>
    <row r="830">
      <c r="E830" s="234"/>
      <c r="L830" s="234"/>
      <c r="AE830" s="234"/>
    </row>
    <row r="831">
      <c r="E831" s="234"/>
      <c r="L831" s="234"/>
      <c r="AE831" s="234"/>
    </row>
    <row r="832">
      <c r="E832" s="234"/>
      <c r="L832" s="234"/>
      <c r="AE832" s="234"/>
    </row>
    <row r="833">
      <c r="E833" s="234"/>
      <c r="L833" s="234"/>
      <c r="AE833" s="234"/>
    </row>
    <row r="834">
      <c r="E834" s="234"/>
      <c r="L834" s="234"/>
      <c r="AE834" s="234"/>
    </row>
    <row r="835">
      <c r="E835" s="234"/>
      <c r="L835" s="234"/>
      <c r="AE835" s="234"/>
    </row>
    <row r="836">
      <c r="E836" s="234"/>
      <c r="L836" s="234"/>
      <c r="AE836" s="234"/>
    </row>
    <row r="837">
      <c r="E837" s="234"/>
      <c r="L837" s="234"/>
      <c r="AE837" s="234"/>
    </row>
    <row r="838">
      <c r="E838" s="234"/>
      <c r="L838" s="234"/>
      <c r="AE838" s="234"/>
    </row>
    <row r="839">
      <c r="E839" s="234"/>
      <c r="L839" s="234"/>
      <c r="AE839" s="234"/>
    </row>
    <row r="840">
      <c r="E840" s="234"/>
      <c r="L840" s="234"/>
      <c r="AE840" s="234"/>
    </row>
    <row r="841">
      <c r="E841" s="234"/>
      <c r="L841" s="234"/>
      <c r="AE841" s="234"/>
    </row>
    <row r="842">
      <c r="E842" s="234"/>
      <c r="L842" s="234"/>
      <c r="AE842" s="234"/>
    </row>
    <row r="843">
      <c r="E843" s="234"/>
      <c r="L843" s="234"/>
      <c r="AE843" s="234"/>
    </row>
    <row r="844">
      <c r="E844" s="234"/>
      <c r="L844" s="234"/>
      <c r="AE844" s="234"/>
    </row>
    <row r="845">
      <c r="E845" s="234"/>
      <c r="L845" s="234"/>
      <c r="AE845" s="234"/>
    </row>
    <row r="846">
      <c r="E846" s="234"/>
      <c r="L846" s="234"/>
      <c r="AE846" s="234"/>
    </row>
    <row r="847">
      <c r="E847" s="234"/>
      <c r="L847" s="234"/>
      <c r="AE847" s="234"/>
    </row>
    <row r="848">
      <c r="E848" s="234"/>
      <c r="L848" s="234"/>
      <c r="AE848" s="234"/>
    </row>
    <row r="849">
      <c r="E849" s="234"/>
      <c r="L849" s="234"/>
      <c r="AE849" s="234"/>
    </row>
    <row r="850">
      <c r="E850" s="234"/>
      <c r="L850" s="234"/>
      <c r="AE850" s="234"/>
    </row>
    <row r="851">
      <c r="E851" s="234"/>
      <c r="L851" s="234"/>
      <c r="AE851" s="234"/>
    </row>
    <row r="852">
      <c r="E852" s="234"/>
      <c r="L852" s="234"/>
      <c r="AE852" s="234"/>
    </row>
    <row r="853">
      <c r="E853" s="234"/>
      <c r="L853" s="234"/>
      <c r="AE853" s="234"/>
    </row>
    <row r="854">
      <c r="E854" s="234"/>
      <c r="L854" s="234"/>
      <c r="AE854" s="234"/>
    </row>
    <row r="855">
      <c r="E855" s="234"/>
      <c r="L855" s="234"/>
      <c r="AE855" s="234"/>
    </row>
    <row r="856">
      <c r="E856" s="234"/>
      <c r="L856" s="234"/>
      <c r="AE856" s="234"/>
    </row>
    <row r="857">
      <c r="E857" s="234"/>
      <c r="L857" s="234"/>
      <c r="AE857" s="234"/>
    </row>
    <row r="858">
      <c r="E858" s="234"/>
      <c r="L858" s="234"/>
      <c r="AE858" s="234"/>
    </row>
    <row r="859">
      <c r="E859" s="234"/>
      <c r="L859" s="234"/>
      <c r="AE859" s="234"/>
    </row>
    <row r="860">
      <c r="E860" s="234"/>
      <c r="L860" s="234"/>
      <c r="AE860" s="234"/>
    </row>
    <row r="861">
      <c r="E861" s="234"/>
      <c r="L861" s="234"/>
      <c r="AE861" s="234"/>
    </row>
    <row r="862">
      <c r="E862" s="234"/>
      <c r="L862" s="234"/>
      <c r="AE862" s="234"/>
    </row>
    <row r="863">
      <c r="E863" s="234"/>
      <c r="L863" s="234"/>
      <c r="AE863" s="234"/>
    </row>
    <row r="864">
      <c r="E864" s="234"/>
      <c r="L864" s="234"/>
      <c r="AE864" s="234"/>
    </row>
    <row r="865">
      <c r="E865" s="234"/>
      <c r="L865" s="234"/>
      <c r="AE865" s="234"/>
    </row>
    <row r="866">
      <c r="E866" s="234"/>
      <c r="L866" s="234"/>
      <c r="AE866" s="234"/>
    </row>
    <row r="867">
      <c r="E867" s="234"/>
      <c r="L867" s="234"/>
      <c r="AE867" s="234"/>
    </row>
    <row r="868">
      <c r="E868" s="234"/>
      <c r="L868" s="234"/>
      <c r="AE868" s="234"/>
    </row>
    <row r="869">
      <c r="E869" s="234"/>
      <c r="L869" s="234"/>
      <c r="AE869" s="234"/>
    </row>
    <row r="870">
      <c r="E870" s="234"/>
      <c r="L870" s="234"/>
      <c r="AE870" s="234"/>
    </row>
    <row r="871">
      <c r="E871" s="234"/>
      <c r="L871" s="234"/>
      <c r="AE871" s="234"/>
    </row>
    <row r="872">
      <c r="E872" s="234"/>
      <c r="L872" s="234"/>
      <c r="AE872" s="234"/>
    </row>
    <row r="873">
      <c r="E873" s="234"/>
      <c r="L873" s="234"/>
      <c r="AE873" s="234"/>
    </row>
    <row r="874">
      <c r="E874" s="234"/>
      <c r="L874" s="234"/>
      <c r="AE874" s="234"/>
    </row>
    <row r="875">
      <c r="E875" s="234"/>
      <c r="L875" s="234"/>
      <c r="AE875" s="234"/>
    </row>
    <row r="876">
      <c r="E876" s="234"/>
      <c r="L876" s="234"/>
      <c r="AE876" s="234"/>
    </row>
    <row r="877">
      <c r="E877" s="234"/>
      <c r="L877" s="234"/>
      <c r="AE877" s="234"/>
    </row>
    <row r="878">
      <c r="E878" s="234"/>
      <c r="L878" s="234"/>
      <c r="AE878" s="234"/>
    </row>
    <row r="879">
      <c r="E879" s="234"/>
      <c r="L879" s="234"/>
      <c r="AE879" s="234"/>
    </row>
    <row r="880">
      <c r="E880" s="234"/>
      <c r="L880" s="234"/>
      <c r="AE880" s="234"/>
    </row>
    <row r="881">
      <c r="E881" s="234"/>
      <c r="L881" s="234"/>
      <c r="AE881" s="234"/>
    </row>
    <row r="882">
      <c r="E882" s="234"/>
      <c r="L882" s="234"/>
      <c r="AE882" s="234"/>
    </row>
    <row r="883">
      <c r="E883" s="234"/>
      <c r="L883" s="234"/>
      <c r="AE883" s="234"/>
    </row>
    <row r="884">
      <c r="E884" s="234"/>
      <c r="L884" s="234"/>
      <c r="AE884" s="234"/>
    </row>
    <row r="885">
      <c r="E885" s="234"/>
      <c r="L885" s="234"/>
      <c r="AE885" s="234"/>
    </row>
    <row r="886">
      <c r="E886" s="234"/>
      <c r="L886" s="234"/>
      <c r="AE886" s="234"/>
    </row>
    <row r="887">
      <c r="E887" s="234"/>
      <c r="L887" s="234"/>
      <c r="AE887" s="234"/>
    </row>
    <row r="888">
      <c r="E888" s="234"/>
      <c r="L888" s="234"/>
      <c r="AE888" s="234"/>
    </row>
    <row r="889">
      <c r="E889" s="234"/>
      <c r="L889" s="234"/>
      <c r="AE889" s="234"/>
    </row>
    <row r="890">
      <c r="E890" s="234"/>
      <c r="L890" s="234"/>
      <c r="AE890" s="234"/>
    </row>
    <row r="891">
      <c r="E891" s="234"/>
      <c r="L891" s="234"/>
      <c r="AE891" s="234"/>
    </row>
    <row r="892">
      <c r="E892" s="234"/>
      <c r="L892" s="234"/>
      <c r="AE892" s="234"/>
    </row>
    <row r="893">
      <c r="E893" s="234"/>
      <c r="L893" s="234"/>
      <c r="AE893" s="234"/>
    </row>
    <row r="894">
      <c r="E894" s="234"/>
      <c r="L894" s="234"/>
      <c r="AE894" s="234"/>
    </row>
    <row r="895">
      <c r="E895" s="234"/>
      <c r="L895" s="234"/>
      <c r="AE895" s="234"/>
    </row>
    <row r="896">
      <c r="E896" s="234"/>
      <c r="L896" s="234"/>
      <c r="AE896" s="234"/>
    </row>
    <row r="897">
      <c r="E897" s="234"/>
      <c r="L897" s="234"/>
      <c r="AE897" s="234"/>
    </row>
    <row r="898">
      <c r="E898" s="234"/>
      <c r="L898" s="234"/>
      <c r="AE898" s="234"/>
    </row>
    <row r="899">
      <c r="E899" s="234"/>
      <c r="L899" s="234"/>
      <c r="AE899" s="234"/>
    </row>
    <row r="900">
      <c r="E900" s="234"/>
      <c r="L900" s="234"/>
      <c r="AE900" s="234"/>
    </row>
    <row r="901">
      <c r="E901" s="234"/>
      <c r="L901" s="234"/>
      <c r="AE901" s="234"/>
    </row>
    <row r="902">
      <c r="E902" s="234"/>
      <c r="L902" s="234"/>
      <c r="AE902" s="234"/>
    </row>
    <row r="903">
      <c r="E903" s="234"/>
      <c r="L903" s="234"/>
      <c r="AE903" s="234"/>
    </row>
    <row r="904">
      <c r="E904" s="234"/>
      <c r="L904" s="234"/>
      <c r="AE904" s="234"/>
    </row>
    <row r="905">
      <c r="E905" s="234"/>
      <c r="L905" s="234"/>
      <c r="AE905" s="234"/>
    </row>
    <row r="906">
      <c r="E906" s="234"/>
      <c r="L906" s="234"/>
      <c r="AE906" s="234"/>
    </row>
    <row r="907">
      <c r="E907" s="234"/>
      <c r="L907" s="234"/>
      <c r="AE907" s="234"/>
    </row>
    <row r="908">
      <c r="E908" s="234"/>
      <c r="L908" s="234"/>
      <c r="AE908" s="234"/>
    </row>
    <row r="909">
      <c r="E909" s="234"/>
      <c r="L909" s="234"/>
      <c r="AE909" s="234"/>
    </row>
    <row r="910">
      <c r="E910" s="234"/>
      <c r="L910" s="234"/>
      <c r="AE910" s="234"/>
    </row>
    <row r="911">
      <c r="E911" s="234"/>
      <c r="L911" s="234"/>
      <c r="AE911" s="234"/>
    </row>
    <row r="912">
      <c r="E912" s="234"/>
      <c r="L912" s="234"/>
      <c r="AE912" s="234"/>
    </row>
    <row r="913">
      <c r="E913" s="234"/>
      <c r="L913" s="234"/>
      <c r="AE913" s="234"/>
    </row>
    <row r="914">
      <c r="E914" s="234"/>
      <c r="L914" s="234"/>
      <c r="AE914" s="234"/>
    </row>
    <row r="915">
      <c r="E915" s="234"/>
      <c r="L915" s="234"/>
      <c r="AE915" s="234"/>
    </row>
    <row r="916">
      <c r="E916" s="234"/>
      <c r="L916" s="234"/>
      <c r="AE916" s="234"/>
    </row>
    <row r="917">
      <c r="E917" s="234"/>
      <c r="L917" s="234"/>
      <c r="AE917" s="234"/>
    </row>
    <row r="918">
      <c r="E918" s="234"/>
      <c r="L918" s="234"/>
      <c r="AE918" s="234"/>
    </row>
    <row r="919">
      <c r="E919" s="234"/>
      <c r="L919" s="234"/>
      <c r="AE919" s="234"/>
    </row>
    <row r="920">
      <c r="E920" s="234"/>
      <c r="L920" s="234"/>
      <c r="AE920" s="234"/>
    </row>
    <row r="921">
      <c r="E921" s="234"/>
      <c r="L921" s="234"/>
      <c r="AE921" s="234"/>
    </row>
    <row r="922">
      <c r="E922" s="234"/>
      <c r="L922" s="234"/>
      <c r="AE922" s="234"/>
    </row>
    <row r="923">
      <c r="E923" s="234"/>
      <c r="L923" s="234"/>
      <c r="AE923" s="234"/>
    </row>
    <row r="924">
      <c r="E924" s="234"/>
      <c r="L924" s="234"/>
      <c r="AE924" s="234"/>
    </row>
    <row r="925">
      <c r="E925" s="234"/>
      <c r="L925" s="234"/>
      <c r="AE925" s="234"/>
    </row>
    <row r="926">
      <c r="E926" s="234"/>
      <c r="L926" s="234"/>
      <c r="AE926" s="234"/>
    </row>
    <row r="927">
      <c r="E927" s="234"/>
      <c r="L927" s="234"/>
      <c r="AE927" s="234"/>
    </row>
    <row r="928">
      <c r="E928" s="234"/>
      <c r="L928" s="234"/>
      <c r="AE928" s="234"/>
    </row>
    <row r="929">
      <c r="E929" s="234"/>
      <c r="L929" s="234"/>
      <c r="AE929" s="234"/>
    </row>
    <row r="930">
      <c r="E930" s="234"/>
      <c r="L930" s="234"/>
      <c r="AE930" s="234"/>
    </row>
    <row r="931">
      <c r="E931" s="234"/>
      <c r="L931" s="234"/>
      <c r="AE931" s="234"/>
    </row>
    <row r="932">
      <c r="E932" s="234"/>
      <c r="L932" s="234"/>
      <c r="AE932" s="234"/>
    </row>
    <row r="933">
      <c r="E933" s="234"/>
      <c r="L933" s="234"/>
      <c r="AE933" s="234"/>
    </row>
    <row r="934">
      <c r="E934" s="234"/>
      <c r="L934" s="234"/>
      <c r="AE934" s="234"/>
    </row>
    <row r="935">
      <c r="E935" s="234"/>
      <c r="L935" s="234"/>
      <c r="AE935" s="234"/>
    </row>
    <row r="936">
      <c r="E936" s="234"/>
      <c r="L936" s="234"/>
      <c r="AE936" s="234"/>
    </row>
    <row r="937">
      <c r="E937" s="234"/>
      <c r="L937" s="234"/>
      <c r="AE937" s="234"/>
    </row>
    <row r="938">
      <c r="E938" s="234"/>
      <c r="L938" s="234"/>
      <c r="AE938" s="234"/>
    </row>
    <row r="939">
      <c r="E939" s="234"/>
      <c r="L939" s="234"/>
      <c r="AE939" s="234"/>
    </row>
    <row r="940">
      <c r="E940" s="234"/>
      <c r="L940" s="234"/>
      <c r="AE940" s="234"/>
    </row>
    <row r="941">
      <c r="E941" s="234"/>
      <c r="L941" s="234"/>
      <c r="AE941" s="234"/>
    </row>
    <row r="942">
      <c r="E942" s="234"/>
      <c r="L942" s="234"/>
      <c r="AE942" s="234"/>
    </row>
    <row r="943">
      <c r="E943" s="234"/>
      <c r="L943" s="234"/>
      <c r="AE943" s="234"/>
    </row>
    <row r="944">
      <c r="E944" s="234"/>
      <c r="L944" s="234"/>
      <c r="AE944" s="234"/>
    </row>
    <row r="945">
      <c r="E945" s="234"/>
      <c r="L945" s="234"/>
      <c r="AE945" s="234"/>
    </row>
    <row r="946">
      <c r="E946" s="234"/>
      <c r="L946" s="234"/>
      <c r="AE946" s="234"/>
    </row>
    <row r="947">
      <c r="E947" s="234"/>
      <c r="L947" s="234"/>
      <c r="AE947" s="234"/>
    </row>
    <row r="948">
      <c r="E948" s="234"/>
      <c r="L948" s="234"/>
      <c r="AE948" s="234"/>
    </row>
    <row r="949">
      <c r="E949" s="234"/>
      <c r="L949" s="234"/>
      <c r="AE949" s="234"/>
    </row>
    <row r="950">
      <c r="E950" s="234"/>
      <c r="L950" s="234"/>
      <c r="AE950" s="234"/>
    </row>
    <row r="951">
      <c r="E951" s="234"/>
      <c r="L951" s="234"/>
      <c r="AE951" s="234"/>
    </row>
    <row r="952">
      <c r="E952" s="234"/>
      <c r="L952" s="234"/>
      <c r="AE952" s="234"/>
    </row>
    <row r="953">
      <c r="E953" s="234"/>
      <c r="L953" s="234"/>
      <c r="AE953" s="234"/>
    </row>
    <row r="954">
      <c r="E954" s="234"/>
      <c r="L954" s="234"/>
      <c r="AE954" s="234"/>
    </row>
    <row r="955">
      <c r="E955" s="234"/>
      <c r="L955" s="234"/>
      <c r="AE955" s="234"/>
    </row>
    <row r="956">
      <c r="E956" s="234"/>
      <c r="L956" s="234"/>
      <c r="AE956" s="234"/>
    </row>
    <row r="957">
      <c r="E957" s="234"/>
      <c r="L957" s="234"/>
      <c r="AE957" s="234"/>
    </row>
    <row r="958">
      <c r="E958" s="234"/>
      <c r="L958" s="234"/>
      <c r="AE958" s="234"/>
    </row>
    <row r="959">
      <c r="E959" s="234"/>
      <c r="L959" s="234"/>
      <c r="AE959" s="234"/>
    </row>
    <row r="960">
      <c r="E960" s="234"/>
      <c r="L960" s="234"/>
      <c r="AE960" s="234"/>
    </row>
    <row r="961">
      <c r="E961" s="234"/>
      <c r="L961" s="234"/>
      <c r="AE961" s="234"/>
    </row>
    <row r="962">
      <c r="E962" s="234"/>
      <c r="L962" s="234"/>
      <c r="AE962" s="234"/>
    </row>
    <row r="963">
      <c r="E963" s="234"/>
      <c r="L963" s="234"/>
      <c r="AE963" s="234"/>
    </row>
    <row r="964">
      <c r="E964" s="234"/>
      <c r="L964" s="234"/>
      <c r="AE964" s="234"/>
    </row>
    <row r="965">
      <c r="E965" s="234"/>
      <c r="L965" s="234"/>
      <c r="AE965" s="234"/>
    </row>
    <row r="966">
      <c r="E966" s="234"/>
      <c r="L966" s="234"/>
      <c r="AE966" s="234"/>
    </row>
    <row r="967">
      <c r="E967" s="234"/>
      <c r="L967" s="234"/>
      <c r="AE967" s="234"/>
    </row>
    <row r="968">
      <c r="E968" s="234"/>
      <c r="L968" s="234"/>
      <c r="AE968" s="234"/>
    </row>
    <row r="969">
      <c r="E969" s="234"/>
      <c r="L969" s="234"/>
      <c r="AE969" s="234"/>
    </row>
    <row r="970">
      <c r="E970" s="234"/>
      <c r="L970" s="234"/>
      <c r="AE970" s="234"/>
    </row>
    <row r="971">
      <c r="E971" s="234"/>
      <c r="L971" s="234"/>
      <c r="AE971" s="234"/>
    </row>
    <row r="972">
      <c r="E972" s="234"/>
      <c r="L972" s="234"/>
      <c r="AE972" s="234"/>
    </row>
    <row r="973">
      <c r="E973" s="234"/>
      <c r="L973" s="234"/>
      <c r="AE973" s="234"/>
    </row>
    <row r="974">
      <c r="E974" s="234"/>
      <c r="L974" s="234"/>
      <c r="AE974" s="234"/>
    </row>
    <row r="975">
      <c r="E975" s="234"/>
      <c r="L975" s="234"/>
      <c r="AE975" s="234"/>
    </row>
    <row r="976">
      <c r="E976" s="234"/>
      <c r="L976" s="234"/>
      <c r="AE976" s="234"/>
    </row>
    <row r="977">
      <c r="E977" s="234"/>
      <c r="L977" s="234"/>
      <c r="AE977" s="234"/>
    </row>
    <row r="978">
      <c r="E978" s="234"/>
      <c r="L978" s="234"/>
      <c r="AE978" s="234"/>
    </row>
    <row r="979">
      <c r="E979" s="234"/>
      <c r="L979" s="234"/>
      <c r="AE979" s="234"/>
    </row>
    <row r="980">
      <c r="E980" s="234"/>
      <c r="L980" s="234"/>
      <c r="AE980" s="234"/>
    </row>
    <row r="981">
      <c r="E981" s="234"/>
      <c r="L981" s="234"/>
      <c r="AE981" s="234"/>
    </row>
    <row r="982">
      <c r="E982" s="234"/>
      <c r="L982" s="234"/>
      <c r="AE982" s="234"/>
    </row>
    <row r="983">
      <c r="E983" s="234"/>
      <c r="L983" s="234"/>
      <c r="AE983" s="234"/>
    </row>
    <row r="984">
      <c r="E984" s="234"/>
      <c r="L984" s="234"/>
      <c r="AE984" s="234"/>
    </row>
    <row r="985">
      <c r="E985" s="234"/>
      <c r="L985" s="234"/>
      <c r="AE985" s="234"/>
    </row>
    <row r="986">
      <c r="E986" s="234"/>
      <c r="L986" s="234"/>
      <c r="AE986" s="234"/>
    </row>
    <row r="987">
      <c r="E987" s="234"/>
      <c r="L987" s="234"/>
      <c r="AE987" s="234"/>
    </row>
    <row r="988">
      <c r="E988" s="234"/>
      <c r="L988" s="234"/>
      <c r="AE988" s="234"/>
    </row>
    <row r="989">
      <c r="E989" s="234"/>
      <c r="L989" s="234"/>
      <c r="AE989" s="234"/>
    </row>
    <row r="990">
      <c r="E990" s="234"/>
      <c r="L990" s="234"/>
      <c r="AE990" s="234"/>
    </row>
    <row r="991">
      <c r="E991" s="234"/>
      <c r="L991" s="234"/>
      <c r="AE991" s="234"/>
    </row>
    <row r="992">
      <c r="E992" s="234"/>
      <c r="L992" s="234"/>
      <c r="AE992" s="234"/>
    </row>
    <row r="993">
      <c r="E993" s="234"/>
      <c r="L993" s="234"/>
      <c r="AE993" s="234"/>
    </row>
    <row r="994">
      <c r="E994" s="234"/>
      <c r="L994" s="234"/>
      <c r="AE994" s="234"/>
    </row>
    <row r="995">
      <c r="E995" s="234"/>
      <c r="L995" s="234"/>
      <c r="AE995" s="234"/>
    </row>
    <row r="996">
      <c r="E996" s="234"/>
      <c r="L996" s="234"/>
      <c r="AE996" s="234"/>
    </row>
    <row r="997">
      <c r="E997" s="234"/>
      <c r="L997" s="234"/>
      <c r="AE997" s="234"/>
    </row>
    <row r="998">
      <c r="E998" s="234"/>
      <c r="L998" s="234"/>
      <c r="AE998" s="234"/>
    </row>
    <row r="999">
      <c r="E999" s="234"/>
      <c r="L999" s="234"/>
      <c r="AE999" s="234"/>
    </row>
    <row r="1000">
      <c r="E1000" s="234"/>
      <c r="L1000" s="234"/>
      <c r="AE1000" s="234"/>
    </row>
    <row r="1001">
      <c r="E1001" s="234"/>
      <c r="L1001" s="234"/>
      <c r="AE1001" s="234"/>
    </row>
    <row r="1002">
      <c r="E1002" s="234"/>
      <c r="L1002" s="234"/>
      <c r="AE1002" s="234"/>
    </row>
    <row r="1003">
      <c r="E1003" s="234"/>
      <c r="L1003" s="234"/>
      <c r="AE1003" s="234"/>
    </row>
    <row r="1004">
      <c r="E1004" s="234"/>
      <c r="L1004" s="234"/>
      <c r="AE1004" s="234"/>
    </row>
  </sheetData>
  <mergeCells count="9">
    <mergeCell ref="A49:A68"/>
    <mergeCell ref="A70:A87"/>
    <mergeCell ref="A1:A2"/>
    <mergeCell ref="B1:B2"/>
    <mergeCell ref="C1:C2"/>
    <mergeCell ref="D1:D2"/>
    <mergeCell ref="A3:A4"/>
    <mergeCell ref="A5:A31"/>
    <mergeCell ref="A32:A48"/>
  </mergeCells>
  <conditionalFormatting sqref="D3:D87">
    <cfRule type="cellIs" dxfId="4" priority="1" operator="between">
      <formula>"08:00:00"</formula>
      <formula>"07:00:00"</formula>
    </cfRule>
  </conditionalFormatting>
  <conditionalFormatting sqref="D3:D87">
    <cfRule type="cellIs" dxfId="5" priority="2" operator="between">
      <formula>"07:00:00"</formula>
      <formula>"00:00:01"</formula>
    </cfRule>
  </conditionalFormatting>
  <conditionalFormatting sqref="D3:D87">
    <cfRule type="containsText" dxfId="6" priority="3" operator="containsText" text="Leave">
      <formula>NOT(ISERROR(SEARCH(("Leave"),(D3))))</formula>
    </cfRule>
  </conditionalFormatting>
  <conditionalFormatting sqref="E3:AI87">
    <cfRule type="notContainsText" dxfId="8" priority="4" operator="notContains" text="0">
      <formula>ISERROR(SEARCH(("0"),(E3)))</formula>
    </cfRule>
  </conditionalFormatting>
  <conditionalFormatting sqref="D3:AI87">
    <cfRule type="cellIs" dxfId="2" priority="5" operator="greaterThanOrEqual">
      <formula>"08:45:00"</formula>
    </cfRule>
  </conditionalFormatting>
  <conditionalFormatting sqref="D3:AI87">
    <cfRule type="cellIs" dxfId="3" priority="6" operator="between">
      <formula>"08:44:00"</formula>
      <formula>"08:00:00"</formula>
    </cfRule>
  </conditionalFormatting>
  <conditionalFormatting sqref="E3:AI87">
    <cfRule type="cellIs" dxfId="9" priority="7" operator="between">
      <formula>"07:59:00"</formula>
      <formula>"07:00:00"</formula>
    </cfRule>
  </conditionalFormatting>
  <conditionalFormatting sqref="E3:AI87">
    <cfRule type="cellIs" dxfId="5" priority="8" operator="between">
      <formula>"06:59:00"</formula>
      <formula>"00:00:01"</formula>
    </cfRule>
  </conditionalFormatting>
  <conditionalFormatting sqref="E3:AI87">
    <cfRule type="notContainsBlanks" dxfId="10" priority="9">
      <formula>LEN(TRIM(E3))&gt;0</formula>
    </cfRule>
  </conditionalFormatting>
  <conditionalFormatting sqref="E3:AI87">
    <cfRule type="containsText" dxfId="11" priority="10" operator="containsText" text="Leave">
      <formula>NOT(ISERROR(SEARCH(("Leave"),(E3))))</formula>
    </cfRule>
  </conditionalFormatting>
  <conditionalFormatting sqref="D3:AI87">
    <cfRule type="notContainsBlanks" dxfId="7" priority="11">
      <formula>LEN(TRIM(D3))&gt;0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5"/>
    <col customWidth="1" min="2" max="2" width="23.13"/>
    <col customWidth="1" min="3" max="3" width="17.88"/>
    <col customWidth="1" min="4" max="4" width="12.25"/>
    <col customWidth="1" min="5" max="5" width="11.63"/>
    <col customWidth="1" min="6" max="6" width="11.75"/>
    <col customWidth="1" min="7" max="7" width="9.25"/>
    <col customWidth="1" min="8" max="8" width="9.88"/>
    <col customWidth="1" min="9" max="9" width="12.75"/>
    <col customWidth="1" min="10" max="10" width="12.0"/>
    <col customWidth="1" min="12" max="12" width="11.38"/>
    <col customWidth="1" min="13" max="13" width="12.5"/>
    <col customWidth="1" min="14" max="14" width="14.13"/>
    <col customWidth="1" min="15" max="15" width="12.25"/>
    <col customWidth="1" min="16" max="16" width="11.63"/>
    <col customWidth="1" min="17" max="17" width="11.5"/>
    <col customWidth="1" min="18" max="18" width="9.25"/>
    <col customWidth="1" min="19" max="19" width="9.88"/>
    <col customWidth="1" min="20" max="20" width="12.75"/>
    <col customWidth="1" min="21" max="21" width="12.0"/>
  </cols>
  <sheetData>
    <row r="1">
      <c r="A1" s="67"/>
      <c r="B1" s="68"/>
      <c r="C1" s="69" t="s">
        <v>428</v>
      </c>
      <c r="D1" s="68"/>
      <c r="E1" s="68"/>
      <c r="F1" s="68"/>
      <c r="G1" s="68"/>
      <c r="H1" s="68"/>
      <c r="I1" s="68"/>
      <c r="J1" s="70"/>
    </row>
    <row r="2">
      <c r="A2" s="173" t="s">
        <v>290</v>
      </c>
      <c r="B2" s="173" t="s">
        <v>2</v>
      </c>
      <c r="C2" s="173" t="s">
        <v>291</v>
      </c>
      <c r="D2" s="173" t="s">
        <v>292</v>
      </c>
      <c r="E2" s="175" t="s">
        <v>293</v>
      </c>
      <c r="F2" s="175" t="s">
        <v>429</v>
      </c>
      <c r="G2" s="175" t="s">
        <v>296</v>
      </c>
      <c r="H2" s="175" t="s">
        <v>297</v>
      </c>
      <c r="I2" s="173" t="s">
        <v>298</v>
      </c>
      <c r="J2" s="175" t="s">
        <v>430</v>
      </c>
    </row>
    <row r="3">
      <c r="A3" s="114">
        <v>1.0</v>
      </c>
      <c r="B3" s="91" t="s">
        <v>222</v>
      </c>
      <c r="C3" s="80" t="s">
        <v>301</v>
      </c>
      <c r="D3" s="80">
        <v>23.0</v>
      </c>
      <c r="E3" s="246">
        <f t="shared" ref="E3:E87" si="1">D3-J3</f>
        <v>22</v>
      </c>
      <c r="F3" s="180">
        <v>10.0</v>
      </c>
      <c r="G3" s="235">
        <v>8.25</v>
      </c>
      <c r="H3" s="247">
        <v>8.209722222222222</v>
      </c>
      <c r="I3" s="88">
        <f t="shared" ref="I3:I87" si="2">H3-G3</f>
        <v>-0.04027777778</v>
      </c>
      <c r="J3" s="246">
        <v>1.0</v>
      </c>
      <c r="N3" s="226"/>
    </row>
    <row r="4">
      <c r="A4" s="114">
        <v>2.0</v>
      </c>
      <c r="B4" s="232" t="s">
        <v>41</v>
      </c>
      <c r="C4" s="80" t="s">
        <v>301</v>
      </c>
      <c r="D4" s="80">
        <v>23.0</v>
      </c>
      <c r="E4" s="246">
        <f t="shared" si="1"/>
        <v>22.5</v>
      </c>
      <c r="F4" s="114">
        <v>11.0</v>
      </c>
      <c r="G4" s="237">
        <v>8.4375</v>
      </c>
      <c r="H4" s="238">
        <v>8.54513888888889</v>
      </c>
      <c r="I4" s="88">
        <f t="shared" si="2"/>
        <v>0.1076388889</v>
      </c>
      <c r="J4" s="246">
        <v>0.5</v>
      </c>
      <c r="N4" s="226"/>
    </row>
    <row r="5">
      <c r="A5" s="114">
        <v>3.0</v>
      </c>
      <c r="B5" s="232" t="s">
        <v>234</v>
      </c>
      <c r="C5" s="80" t="s">
        <v>301</v>
      </c>
      <c r="D5" s="80">
        <v>23.0</v>
      </c>
      <c r="E5" s="246">
        <f t="shared" si="1"/>
        <v>19.5</v>
      </c>
      <c r="F5" s="114">
        <v>8.0</v>
      </c>
      <c r="G5" s="237">
        <v>7.3125</v>
      </c>
      <c r="H5" s="238">
        <v>7.238194444444445</v>
      </c>
      <c r="I5" s="88">
        <f t="shared" si="2"/>
        <v>-0.07430555556</v>
      </c>
      <c r="J5" s="246">
        <v>3.5</v>
      </c>
      <c r="N5" s="226"/>
    </row>
    <row r="6">
      <c r="A6" s="114">
        <v>4.0</v>
      </c>
      <c r="B6" s="232" t="s">
        <v>201</v>
      </c>
      <c r="C6" s="80" t="s">
        <v>300</v>
      </c>
      <c r="D6" s="80">
        <v>23.0</v>
      </c>
      <c r="E6" s="246">
        <f t="shared" si="1"/>
        <v>22</v>
      </c>
      <c r="F6" s="114">
        <v>8.0</v>
      </c>
      <c r="G6" s="237">
        <v>8.25</v>
      </c>
      <c r="H6" s="238">
        <v>8.161111111111111</v>
      </c>
      <c r="I6" s="88">
        <f t="shared" si="2"/>
        <v>-0.08888888889</v>
      </c>
      <c r="J6" s="246">
        <v>1.0</v>
      </c>
      <c r="N6" s="226"/>
    </row>
    <row r="7">
      <c r="A7" s="114">
        <v>5.0</v>
      </c>
      <c r="B7" s="232" t="s">
        <v>246</v>
      </c>
      <c r="C7" s="80" t="s">
        <v>300</v>
      </c>
      <c r="D7" s="80">
        <v>23.0</v>
      </c>
      <c r="E7" s="246">
        <f t="shared" si="1"/>
        <v>22</v>
      </c>
      <c r="F7" s="114">
        <v>22.0</v>
      </c>
      <c r="G7" s="237">
        <v>8.25</v>
      </c>
      <c r="H7" s="237">
        <v>8.25</v>
      </c>
      <c r="I7" s="88">
        <f t="shared" si="2"/>
        <v>0</v>
      </c>
      <c r="J7" s="246">
        <v>1.0</v>
      </c>
      <c r="N7" s="226"/>
    </row>
    <row r="8">
      <c r="A8" s="114">
        <v>6.0</v>
      </c>
      <c r="B8" s="239" t="s">
        <v>231</v>
      </c>
      <c r="C8" s="80" t="s">
        <v>303</v>
      </c>
      <c r="D8" s="80">
        <v>23.0</v>
      </c>
      <c r="E8" s="246">
        <f t="shared" si="1"/>
        <v>23</v>
      </c>
      <c r="F8" s="114">
        <v>16.0</v>
      </c>
      <c r="G8" s="237">
        <v>8.625</v>
      </c>
      <c r="H8" s="238">
        <v>8.432638888888889</v>
      </c>
      <c r="I8" s="88">
        <f t="shared" si="2"/>
        <v>-0.1923611111</v>
      </c>
      <c r="J8" s="246"/>
      <c r="N8" s="226"/>
    </row>
    <row r="9">
      <c r="A9" s="114">
        <v>7.0</v>
      </c>
      <c r="B9" s="232" t="s">
        <v>147</v>
      </c>
      <c r="C9" s="80" t="s">
        <v>303</v>
      </c>
      <c r="D9" s="80">
        <v>23.0</v>
      </c>
      <c r="E9" s="246">
        <f t="shared" si="1"/>
        <v>22.5</v>
      </c>
      <c r="F9" s="114">
        <v>0.0</v>
      </c>
      <c r="G9" s="237">
        <v>8.4375</v>
      </c>
      <c r="H9" s="238">
        <v>8.240277777777777</v>
      </c>
      <c r="I9" s="88">
        <f t="shared" si="2"/>
        <v>-0.1972222222</v>
      </c>
      <c r="J9" s="246">
        <v>0.5</v>
      </c>
      <c r="N9" s="226"/>
    </row>
    <row r="10">
      <c r="A10" s="114">
        <v>8.0</v>
      </c>
      <c r="B10" s="232" t="s">
        <v>177</v>
      </c>
      <c r="C10" s="80" t="s">
        <v>304</v>
      </c>
      <c r="D10" s="80">
        <v>23.0</v>
      </c>
      <c r="E10" s="246">
        <f t="shared" si="1"/>
        <v>16</v>
      </c>
      <c r="F10" s="114">
        <v>7.0</v>
      </c>
      <c r="G10" s="237">
        <v>6.0</v>
      </c>
      <c r="H10" s="238">
        <v>5.780555555555555</v>
      </c>
      <c r="I10" s="88">
        <f t="shared" si="2"/>
        <v>-0.2194444444</v>
      </c>
      <c r="J10" s="246">
        <v>7.0</v>
      </c>
      <c r="N10" s="226"/>
    </row>
    <row r="11">
      <c r="A11" s="114">
        <v>9.0</v>
      </c>
      <c r="B11" s="232" t="s">
        <v>216</v>
      </c>
      <c r="C11" s="80" t="s">
        <v>300</v>
      </c>
      <c r="D11" s="80">
        <v>23.0</v>
      </c>
      <c r="E11" s="246">
        <f t="shared" si="1"/>
        <v>21</v>
      </c>
      <c r="F11" s="114">
        <v>21.0</v>
      </c>
      <c r="G11" s="235">
        <v>7.875</v>
      </c>
      <c r="H11" s="235">
        <v>7.875</v>
      </c>
      <c r="I11" s="88">
        <f t="shared" si="2"/>
        <v>0</v>
      </c>
      <c r="J11" s="246">
        <v>2.0</v>
      </c>
      <c r="N11" s="226"/>
    </row>
    <row r="12">
      <c r="A12" s="114">
        <v>10.0</v>
      </c>
      <c r="B12" s="232" t="s">
        <v>385</v>
      </c>
      <c r="C12" s="80" t="s">
        <v>303</v>
      </c>
      <c r="D12" s="80">
        <v>23.0</v>
      </c>
      <c r="E12" s="246">
        <f t="shared" si="1"/>
        <v>22</v>
      </c>
      <c r="F12" s="114">
        <v>11.0</v>
      </c>
      <c r="G12" s="235">
        <v>8.25</v>
      </c>
      <c r="H12" s="248">
        <v>7.798611111111111</v>
      </c>
      <c r="I12" s="88">
        <f t="shared" si="2"/>
        <v>-0.4513888889</v>
      </c>
      <c r="J12" s="246">
        <v>1.0</v>
      </c>
      <c r="N12" s="226"/>
    </row>
    <row r="13">
      <c r="A13" s="114">
        <v>11.0</v>
      </c>
      <c r="B13" s="232" t="s">
        <v>386</v>
      </c>
      <c r="C13" s="80" t="s">
        <v>303</v>
      </c>
      <c r="D13" s="80">
        <v>23.0</v>
      </c>
      <c r="E13" s="246">
        <f t="shared" si="1"/>
        <v>19</v>
      </c>
      <c r="F13" s="114">
        <v>5.0</v>
      </c>
      <c r="G13" s="235">
        <v>7.5</v>
      </c>
      <c r="H13" s="238">
        <v>7.014583333333333</v>
      </c>
      <c r="I13" s="88">
        <f t="shared" si="2"/>
        <v>-0.4854166667</v>
      </c>
      <c r="J13" s="246">
        <v>4.0</v>
      </c>
      <c r="N13" s="226"/>
    </row>
    <row r="14">
      <c r="A14" s="114">
        <v>12.0</v>
      </c>
      <c r="B14" s="232" t="s">
        <v>387</v>
      </c>
      <c r="C14" s="80" t="s">
        <v>304</v>
      </c>
      <c r="D14" s="80">
        <v>23.0</v>
      </c>
      <c r="E14" s="246">
        <f t="shared" si="1"/>
        <v>22</v>
      </c>
      <c r="F14" s="114">
        <v>8.0</v>
      </c>
      <c r="G14" s="235">
        <v>8.25</v>
      </c>
      <c r="H14" s="238">
        <v>8.14027777777778</v>
      </c>
      <c r="I14" s="88">
        <f t="shared" si="2"/>
        <v>-0.1097222222</v>
      </c>
      <c r="J14" s="246">
        <v>1.0</v>
      </c>
      <c r="N14" s="226"/>
    </row>
    <row r="15">
      <c r="A15" s="114">
        <v>13.0</v>
      </c>
      <c r="B15" s="239" t="s">
        <v>400</v>
      </c>
      <c r="C15" s="80" t="s">
        <v>303</v>
      </c>
      <c r="D15" s="80">
        <v>23.0</v>
      </c>
      <c r="E15" s="246">
        <f t="shared" si="1"/>
        <v>18</v>
      </c>
      <c r="F15" s="114">
        <v>8.0</v>
      </c>
      <c r="G15" s="235">
        <v>6.75</v>
      </c>
      <c r="H15" s="238">
        <v>7.01875</v>
      </c>
      <c r="I15" s="88">
        <f t="shared" si="2"/>
        <v>0.26875</v>
      </c>
      <c r="J15" s="246">
        <v>5.0</v>
      </c>
      <c r="N15" s="226"/>
    </row>
    <row r="16">
      <c r="A16" s="114">
        <v>14.0</v>
      </c>
      <c r="B16" s="232" t="s">
        <v>389</v>
      </c>
      <c r="C16" s="80" t="s">
        <v>305</v>
      </c>
      <c r="D16" s="80">
        <v>23.0</v>
      </c>
      <c r="E16" s="246">
        <f t="shared" si="1"/>
        <v>23</v>
      </c>
      <c r="F16" s="114">
        <v>8.0</v>
      </c>
      <c r="G16" s="237">
        <v>8.625</v>
      </c>
      <c r="H16" s="238">
        <v>8.145833333333332</v>
      </c>
      <c r="I16" s="88">
        <f t="shared" si="2"/>
        <v>-0.4791666667</v>
      </c>
      <c r="J16" s="246"/>
      <c r="N16" s="226"/>
    </row>
    <row r="17">
      <c r="A17" s="114">
        <v>15.0</v>
      </c>
      <c r="B17" s="232" t="s">
        <v>390</v>
      </c>
      <c r="C17" s="80" t="s">
        <v>303</v>
      </c>
      <c r="D17" s="80">
        <v>23.0</v>
      </c>
      <c r="E17" s="246">
        <f t="shared" si="1"/>
        <v>22</v>
      </c>
      <c r="F17" s="114">
        <v>6.0</v>
      </c>
      <c r="G17" s="235">
        <v>8.25</v>
      </c>
      <c r="H17" s="238">
        <v>8.207638888888889</v>
      </c>
      <c r="I17" s="88">
        <f t="shared" si="2"/>
        <v>-0.04236111111</v>
      </c>
      <c r="J17" s="246">
        <v>1.0</v>
      </c>
      <c r="N17" s="226"/>
    </row>
    <row r="18">
      <c r="A18" s="114">
        <v>16.0</v>
      </c>
      <c r="B18" s="232" t="s">
        <v>391</v>
      </c>
      <c r="C18" s="80" t="s">
        <v>303</v>
      </c>
      <c r="D18" s="80">
        <v>23.0</v>
      </c>
      <c r="E18" s="246">
        <f t="shared" si="1"/>
        <v>23</v>
      </c>
      <c r="F18" s="114">
        <v>0.0</v>
      </c>
      <c r="G18" s="237">
        <v>8.625</v>
      </c>
      <c r="H18" s="238">
        <v>9.65625</v>
      </c>
      <c r="I18" s="88">
        <f t="shared" si="2"/>
        <v>1.03125</v>
      </c>
      <c r="J18" s="246"/>
      <c r="N18" s="226"/>
    </row>
    <row r="19">
      <c r="A19" s="114">
        <v>17.0</v>
      </c>
      <c r="B19" s="232" t="s">
        <v>392</v>
      </c>
      <c r="C19" s="80" t="s">
        <v>303</v>
      </c>
      <c r="D19" s="80">
        <v>23.0</v>
      </c>
      <c r="E19" s="246">
        <f t="shared" si="1"/>
        <v>21.5</v>
      </c>
      <c r="F19" s="114">
        <v>4.0</v>
      </c>
      <c r="G19" s="237">
        <v>8.0625</v>
      </c>
      <c r="H19" s="238">
        <v>7.304166666666667</v>
      </c>
      <c r="I19" s="88">
        <f t="shared" si="2"/>
        <v>-0.7583333333</v>
      </c>
      <c r="J19" s="246">
        <v>1.5</v>
      </c>
      <c r="N19" s="226"/>
    </row>
    <row r="20">
      <c r="A20" s="114">
        <v>18.0</v>
      </c>
      <c r="B20" s="232" t="s">
        <v>150</v>
      </c>
      <c r="C20" s="80" t="s">
        <v>300</v>
      </c>
      <c r="D20" s="80">
        <v>23.0</v>
      </c>
      <c r="E20" s="246">
        <f t="shared" si="1"/>
        <v>23</v>
      </c>
      <c r="F20" s="114">
        <v>8.0</v>
      </c>
      <c r="G20" s="237">
        <v>8.625</v>
      </c>
      <c r="H20" s="238">
        <v>8.358333333333334</v>
      </c>
      <c r="I20" s="88">
        <f t="shared" si="2"/>
        <v>-0.2666666667</v>
      </c>
      <c r="J20" s="246"/>
      <c r="N20" s="226"/>
    </row>
    <row r="21">
      <c r="A21" s="114">
        <v>19.0</v>
      </c>
      <c r="B21" s="239" t="s">
        <v>403</v>
      </c>
      <c r="C21" s="80" t="s">
        <v>303</v>
      </c>
      <c r="D21" s="80">
        <v>23.0</v>
      </c>
      <c r="E21" s="246">
        <f t="shared" si="1"/>
        <v>23</v>
      </c>
      <c r="F21" s="114">
        <v>4.0</v>
      </c>
      <c r="G21" s="237">
        <v>8.625</v>
      </c>
      <c r="H21" s="238">
        <v>8.634027777777778</v>
      </c>
      <c r="I21" s="88">
        <f t="shared" si="2"/>
        <v>0.009027777778</v>
      </c>
      <c r="J21" s="246"/>
      <c r="N21" s="226"/>
    </row>
    <row r="22">
      <c r="A22" s="114">
        <v>20.0</v>
      </c>
      <c r="B22" s="239" t="s">
        <v>404</v>
      </c>
      <c r="C22" s="80" t="s">
        <v>301</v>
      </c>
      <c r="D22" s="80">
        <v>23.0</v>
      </c>
      <c r="E22" s="246">
        <f t="shared" si="1"/>
        <v>21</v>
      </c>
      <c r="F22" s="114">
        <v>4.0</v>
      </c>
      <c r="G22" s="235">
        <v>7.875</v>
      </c>
      <c r="H22" s="238">
        <v>7.622222222222223</v>
      </c>
      <c r="I22" s="88">
        <f t="shared" si="2"/>
        <v>-0.2527777778</v>
      </c>
      <c r="J22" s="246">
        <v>2.0</v>
      </c>
      <c r="N22" s="226"/>
    </row>
    <row r="23">
      <c r="A23" s="114">
        <v>21.0</v>
      </c>
      <c r="B23" s="239" t="s">
        <v>405</v>
      </c>
      <c r="C23" s="80" t="s">
        <v>303</v>
      </c>
      <c r="D23" s="80">
        <v>23.0</v>
      </c>
      <c r="E23" s="246">
        <f t="shared" si="1"/>
        <v>22</v>
      </c>
      <c r="F23" s="114">
        <v>6.0</v>
      </c>
      <c r="G23" s="235">
        <v>8.25</v>
      </c>
      <c r="H23" s="238">
        <v>7.843055555555556</v>
      </c>
      <c r="I23" s="88">
        <f t="shared" si="2"/>
        <v>-0.4069444444</v>
      </c>
      <c r="J23" s="246">
        <v>1.0</v>
      </c>
      <c r="N23" s="226"/>
    </row>
    <row r="24">
      <c r="A24" s="114">
        <v>22.0</v>
      </c>
      <c r="B24" s="239" t="s">
        <v>406</v>
      </c>
      <c r="C24" s="80" t="s">
        <v>304</v>
      </c>
      <c r="D24" s="80">
        <v>23.0</v>
      </c>
      <c r="E24" s="246">
        <f t="shared" si="1"/>
        <v>23</v>
      </c>
      <c r="F24" s="114">
        <v>10.0</v>
      </c>
      <c r="G24" s="237">
        <v>8.625</v>
      </c>
      <c r="H24" s="238">
        <v>8.918055555555556</v>
      </c>
      <c r="I24" s="88">
        <f t="shared" si="2"/>
        <v>0.2930555556</v>
      </c>
      <c r="J24" s="246"/>
      <c r="N24" s="226"/>
    </row>
    <row r="25">
      <c r="A25" s="114">
        <v>23.0</v>
      </c>
      <c r="B25" s="239" t="s">
        <v>407</v>
      </c>
      <c r="C25" s="80" t="s">
        <v>303</v>
      </c>
      <c r="D25" s="80">
        <v>23.0</v>
      </c>
      <c r="E25" s="246">
        <f t="shared" si="1"/>
        <v>23</v>
      </c>
      <c r="F25" s="114">
        <v>5.0</v>
      </c>
      <c r="G25" s="237">
        <v>8.625</v>
      </c>
      <c r="H25" s="238">
        <v>8.677083333333332</v>
      </c>
      <c r="I25" s="88">
        <f t="shared" si="2"/>
        <v>0.05208333333</v>
      </c>
      <c r="J25" s="246"/>
      <c r="N25" s="226"/>
    </row>
    <row r="26">
      <c r="A26" s="114">
        <v>24.0</v>
      </c>
      <c r="B26" s="239" t="s">
        <v>408</v>
      </c>
      <c r="C26" s="80" t="s">
        <v>300</v>
      </c>
      <c r="D26" s="80">
        <v>23.0</v>
      </c>
      <c r="E26" s="246">
        <f t="shared" si="1"/>
        <v>22</v>
      </c>
      <c r="F26" s="114">
        <v>5.0</v>
      </c>
      <c r="G26" s="235">
        <v>8.25</v>
      </c>
      <c r="H26" s="238">
        <v>7.900694444444445</v>
      </c>
      <c r="I26" s="88">
        <f t="shared" si="2"/>
        <v>-0.3493055556</v>
      </c>
      <c r="J26" s="246">
        <v>1.0</v>
      </c>
    </row>
    <row r="27">
      <c r="A27" s="114">
        <v>25.0</v>
      </c>
      <c r="B27" s="249" t="s">
        <v>423</v>
      </c>
      <c r="C27" s="80" t="s">
        <v>303</v>
      </c>
      <c r="D27" s="80">
        <v>23.0</v>
      </c>
      <c r="E27" s="246">
        <f t="shared" si="1"/>
        <v>22</v>
      </c>
      <c r="F27" s="114">
        <v>5.0</v>
      </c>
      <c r="G27" s="235">
        <v>8.25</v>
      </c>
      <c r="H27" s="238">
        <v>7.76111111111111</v>
      </c>
      <c r="I27" s="88">
        <f t="shared" si="2"/>
        <v>-0.4888888889</v>
      </c>
      <c r="J27" s="246">
        <v>1.0</v>
      </c>
    </row>
    <row r="28">
      <c r="A28" s="114">
        <v>26.0</v>
      </c>
      <c r="B28" s="249" t="s">
        <v>424</v>
      </c>
      <c r="C28" s="80" t="s">
        <v>301</v>
      </c>
      <c r="D28" s="80">
        <v>20.0</v>
      </c>
      <c r="E28" s="246">
        <f t="shared" si="1"/>
        <v>19</v>
      </c>
      <c r="F28" s="114">
        <v>8.0</v>
      </c>
      <c r="G28" s="235">
        <v>7.5</v>
      </c>
      <c r="H28" s="238">
        <v>6.190277777777778</v>
      </c>
      <c r="I28" s="88">
        <f t="shared" si="2"/>
        <v>-1.309722222</v>
      </c>
      <c r="J28" s="246">
        <v>1.0</v>
      </c>
    </row>
    <row r="29">
      <c r="A29" s="114">
        <v>27.0</v>
      </c>
      <c r="B29" s="249" t="s">
        <v>426</v>
      </c>
      <c r="C29" s="80" t="s">
        <v>303</v>
      </c>
      <c r="D29" s="80">
        <v>13.0</v>
      </c>
      <c r="E29" s="246">
        <f t="shared" si="1"/>
        <v>13</v>
      </c>
      <c r="F29" s="114">
        <v>2.0</v>
      </c>
      <c r="G29" s="237">
        <v>4.875</v>
      </c>
      <c r="H29" s="238">
        <v>4.9125000000000005</v>
      </c>
      <c r="I29" s="88">
        <f t="shared" si="2"/>
        <v>0.0375</v>
      </c>
      <c r="J29" s="246"/>
    </row>
    <row r="30">
      <c r="A30" s="114">
        <v>28.0</v>
      </c>
      <c r="B30" s="249" t="s">
        <v>427</v>
      </c>
      <c r="C30" s="80" t="s">
        <v>303</v>
      </c>
      <c r="D30" s="80">
        <v>10.0</v>
      </c>
      <c r="E30" s="246">
        <f t="shared" si="1"/>
        <v>9</v>
      </c>
      <c r="F30" s="114">
        <v>0.0</v>
      </c>
      <c r="G30" s="235">
        <v>3.75</v>
      </c>
      <c r="H30" s="238">
        <v>3.1840277777777772</v>
      </c>
      <c r="I30" s="88">
        <f t="shared" si="2"/>
        <v>-0.5659722222</v>
      </c>
      <c r="J30" s="246">
        <v>1.0</v>
      </c>
    </row>
    <row r="31">
      <c r="A31" s="114">
        <v>29.0</v>
      </c>
      <c r="B31" s="232" t="s">
        <v>393</v>
      </c>
      <c r="C31" s="80" t="s">
        <v>303</v>
      </c>
      <c r="D31" s="80">
        <v>23.0</v>
      </c>
      <c r="E31" s="246">
        <f t="shared" si="1"/>
        <v>22</v>
      </c>
      <c r="F31" s="114">
        <v>6.0</v>
      </c>
      <c r="G31" s="235">
        <v>8.25</v>
      </c>
      <c r="H31" s="238">
        <v>7.877777777777777</v>
      </c>
      <c r="I31" s="88">
        <f t="shared" si="2"/>
        <v>-0.3722222222</v>
      </c>
      <c r="J31" s="246">
        <v>1.0</v>
      </c>
    </row>
    <row r="32">
      <c r="A32" s="114">
        <v>30.0</v>
      </c>
      <c r="B32" s="232" t="s">
        <v>213</v>
      </c>
      <c r="C32" s="80" t="s">
        <v>302</v>
      </c>
      <c r="D32" s="80">
        <v>23.0</v>
      </c>
      <c r="E32" s="246">
        <f t="shared" si="1"/>
        <v>22</v>
      </c>
      <c r="F32" s="114">
        <v>15.0</v>
      </c>
      <c r="G32" s="235">
        <v>8.25</v>
      </c>
      <c r="H32" s="238">
        <v>8.064583333333333</v>
      </c>
      <c r="I32" s="88">
        <f t="shared" si="2"/>
        <v>-0.1854166667</v>
      </c>
      <c r="J32" s="246">
        <v>1.0</v>
      </c>
    </row>
    <row r="33">
      <c r="A33" s="114">
        <v>31.0</v>
      </c>
      <c r="B33" s="232" t="s">
        <v>54</v>
      </c>
      <c r="C33" s="80" t="s">
        <v>302</v>
      </c>
      <c r="D33" s="80">
        <v>23.0</v>
      </c>
      <c r="E33" s="246">
        <f t="shared" si="1"/>
        <v>23</v>
      </c>
      <c r="F33" s="114">
        <v>16.0</v>
      </c>
      <c r="G33" s="237">
        <v>8.625</v>
      </c>
      <c r="H33" s="238">
        <v>8.095833333333333</v>
      </c>
      <c r="I33" s="88">
        <f t="shared" si="2"/>
        <v>-0.5291666667</v>
      </c>
      <c r="J33" s="246"/>
    </row>
    <row r="34">
      <c r="A34" s="114">
        <v>32.0</v>
      </c>
      <c r="B34" s="232" t="s">
        <v>159</v>
      </c>
      <c r="C34" s="80" t="s">
        <v>302</v>
      </c>
      <c r="D34" s="80">
        <v>23.0</v>
      </c>
      <c r="E34" s="246">
        <f t="shared" si="1"/>
        <v>21</v>
      </c>
      <c r="F34" s="114">
        <v>15.0</v>
      </c>
      <c r="G34" s="235">
        <v>7.875</v>
      </c>
      <c r="H34" s="238">
        <v>7.554166666666667</v>
      </c>
      <c r="I34" s="88">
        <f t="shared" si="2"/>
        <v>-0.3208333333</v>
      </c>
      <c r="J34" s="246">
        <v>2.0</v>
      </c>
    </row>
    <row r="35">
      <c r="A35" s="114">
        <v>33.0</v>
      </c>
      <c r="B35" s="232" t="s">
        <v>156</v>
      </c>
      <c r="C35" s="80" t="s">
        <v>302</v>
      </c>
      <c r="D35" s="80">
        <v>23.0</v>
      </c>
      <c r="E35" s="246">
        <f t="shared" si="1"/>
        <v>22</v>
      </c>
      <c r="F35" s="114">
        <v>15.0</v>
      </c>
      <c r="G35" s="235">
        <v>8.25</v>
      </c>
      <c r="H35" s="238">
        <v>8.57986111111111</v>
      </c>
      <c r="I35" s="88">
        <f t="shared" si="2"/>
        <v>0.3298611111</v>
      </c>
      <c r="J35" s="246">
        <v>1.0</v>
      </c>
    </row>
    <row r="36">
      <c r="A36" s="114">
        <v>34.0</v>
      </c>
      <c r="B36" s="232" t="s">
        <v>57</v>
      </c>
      <c r="C36" s="80" t="s">
        <v>302</v>
      </c>
      <c r="D36" s="80">
        <v>23.0</v>
      </c>
      <c r="E36" s="246">
        <f t="shared" si="1"/>
        <v>23</v>
      </c>
      <c r="F36" s="114">
        <v>14.0</v>
      </c>
      <c r="G36" s="237">
        <v>8.625</v>
      </c>
      <c r="H36" s="238">
        <v>8.196527777777778</v>
      </c>
      <c r="I36" s="88">
        <f t="shared" si="2"/>
        <v>-0.4284722222</v>
      </c>
      <c r="J36" s="246"/>
    </row>
    <row r="37">
      <c r="A37" s="114">
        <v>35.0</v>
      </c>
      <c r="B37" s="232" t="s">
        <v>263</v>
      </c>
      <c r="C37" s="80" t="s">
        <v>303</v>
      </c>
      <c r="D37" s="80">
        <v>23.0</v>
      </c>
      <c r="E37" s="246">
        <f t="shared" si="1"/>
        <v>22</v>
      </c>
      <c r="F37" s="114">
        <v>10.0</v>
      </c>
      <c r="G37" s="235">
        <v>8.25</v>
      </c>
      <c r="H37" s="238">
        <v>7.302777777777778</v>
      </c>
      <c r="I37" s="88">
        <f t="shared" si="2"/>
        <v>-0.9472222222</v>
      </c>
      <c r="J37" s="246">
        <v>1.0</v>
      </c>
    </row>
    <row r="38">
      <c r="A38" s="114">
        <v>36.0</v>
      </c>
      <c r="B38" s="239" t="s">
        <v>339</v>
      </c>
      <c r="C38" s="80" t="s">
        <v>303</v>
      </c>
      <c r="D38" s="80">
        <v>23.0</v>
      </c>
      <c r="E38" s="246">
        <f t="shared" si="1"/>
        <v>22</v>
      </c>
      <c r="F38" s="114">
        <v>10.0</v>
      </c>
      <c r="G38" s="235">
        <v>8.25</v>
      </c>
      <c r="H38" s="238">
        <v>8.086805555555555</v>
      </c>
      <c r="I38" s="88">
        <f t="shared" si="2"/>
        <v>-0.1631944444</v>
      </c>
      <c r="J38" s="246">
        <v>1.0</v>
      </c>
    </row>
    <row r="39">
      <c r="A39" s="114">
        <v>37.0</v>
      </c>
      <c r="B39" s="232" t="s">
        <v>257</v>
      </c>
      <c r="C39" s="80" t="s">
        <v>300</v>
      </c>
      <c r="D39" s="80">
        <v>23.0</v>
      </c>
      <c r="E39" s="246">
        <f t="shared" si="1"/>
        <v>22</v>
      </c>
      <c r="F39" s="114">
        <v>17.0</v>
      </c>
      <c r="G39" s="235">
        <v>8.25</v>
      </c>
      <c r="H39" s="238">
        <v>7.763888888888889</v>
      </c>
      <c r="I39" s="88">
        <f t="shared" si="2"/>
        <v>-0.4861111111</v>
      </c>
      <c r="J39" s="246">
        <v>1.0</v>
      </c>
    </row>
    <row r="40">
      <c r="A40" s="114">
        <v>38.0</v>
      </c>
      <c r="B40" s="232" t="s">
        <v>132</v>
      </c>
      <c r="C40" s="80" t="s">
        <v>303</v>
      </c>
      <c r="D40" s="80">
        <v>23.0</v>
      </c>
      <c r="E40" s="246">
        <f t="shared" si="1"/>
        <v>23</v>
      </c>
      <c r="F40" s="114">
        <v>10.0</v>
      </c>
      <c r="G40" s="237">
        <v>8.625</v>
      </c>
      <c r="H40" s="238">
        <v>8.74861111111111</v>
      </c>
      <c r="I40" s="88">
        <f t="shared" si="2"/>
        <v>0.1236111111</v>
      </c>
      <c r="J40" s="246"/>
    </row>
    <row r="41">
      <c r="A41" s="114">
        <v>39.0</v>
      </c>
      <c r="B41" s="232" t="s">
        <v>99</v>
      </c>
      <c r="C41" s="80" t="s">
        <v>305</v>
      </c>
      <c r="D41" s="80">
        <v>23.0</v>
      </c>
      <c r="E41" s="246">
        <f t="shared" si="1"/>
        <v>23</v>
      </c>
      <c r="F41" s="114">
        <v>12.0</v>
      </c>
      <c r="G41" s="237">
        <v>8.625</v>
      </c>
      <c r="H41" s="238">
        <v>8.508333333333333</v>
      </c>
      <c r="I41" s="88">
        <f t="shared" si="2"/>
        <v>-0.1166666667</v>
      </c>
      <c r="J41" s="246"/>
    </row>
    <row r="42">
      <c r="A42" s="114">
        <v>40.0</v>
      </c>
      <c r="B42" s="232" t="s">
        <v>93</v>
      </c>
      <c r="C42" s="80" t="s">
        <v>303</v>
      </c>
      <c r="D42" s="80">
        <v>23.0</v>
      </c>
      <c r="E42" s="246">
        <f t="shared" si="1"/>
        <v>23</v>
      </c>
      <c r="F42" s="114">
        <v>8.0</v>
      </c>
      <c r="G42" s="237">
        <v>8.625</v>
      </c>
      <c r="H42" s="238">
        <v>8.9875</v>
      </c>
      <c r="I42" s="88">
        <f t="shared" si="2"/>
        <v>0.3625</v>
      </c>
      <c r="J42" s="246"/>
    </row>
    <row r="43">
      <c r="A43" s="114">
        <v>41.0</v>
      </c>
      <c r="B43" s="232" t="s">
        <v>135</v>
      </c>
      <c r="C43" s="80" t="s">
        <v>303</v>
      </c>
      <c r="D43" s="80">
        <v>23.0</v>
      </c>
      <c r="E43" s="246">
        <f t="shared" si="1"/>
        <v>21</v>
      </c>
      <c r="F43" s="114">
        <v>11.0</v>
      </c>
      <c r="G43" s="235">
        <v>7.875</v>
      </c>
      <c r="H43" s="238">
        <v>8.151388888888889</v>
      </c>
      <c r="I43" s="88">
        <f t="shared" si="2"/>
        <v>0.2763888889</v>
      </c>
      <c r="J43" s="246">
        <v>2.0</v>
      </c>
    </row>
    <row r="44">
      <c r="A44" s="114">
        <v>42.0</v>
      </c>
      <c r="B44" s="232" t="s">
        <v>183</v>
      </c>
      <c r="C44" s="80" t="s">
        <v>303</v>
      </c>
      <c r="D44" s="80">
        <v>23.0</v>
      </c>
      <c r="E44" s="246">
        <f t="shared" si="1"/>
        <v>16</v>
      </c>
      <c r="F44" s="114">
        <v>4.0</v>
      </c>
      <c r="G44" s="235">
        <v>6.0</v>
      </c>
      <c r="H44" s="238">
        <v>6.173611111111111</v>
      </c>
      <c r="I44" s="88">
        <f t="shared" si="2"/>
        <v>0.1736111111</v>
      </c>
      <c r="J44" s="246">
        <v>7.0</v>
      </c>
    </row>
    <row r="45">
      <c r="A45" s="114">
        <v>43.0</v>
      </c>
      <c r="B45" s="232" t="s">
        <v>186</v>
      </c>
      <c r="C45" s="80" t="s">
        <v>303</v>
      </c>
      <c r="D45" s="80">
        <v>23.0</v>
      </c>
      <c r="E45" s="246">
        <f t="shared" si="1"/>
        <v>17</v>
      </c>
      <c r="F45" s="114">
        <v>7.0</v>
      </c>
      <c r="G45" s="235">
        <v>6.375</v>
      </c>
      <c r="H45" s="238">
        <v>6.415972222222221</v>
      </c>
      <c r="I45" s="88">
        <f t="shared" si="2"/>
        <v>0.04097222222</v>
      </c>
      <c r="J45" s="246">
        <v>6.0</v>
      </c>
    </row>
    <row r="46">
      <c r="A46" s="114">
        <v>44.0</v>
      </c>
      <c r="B46" s="232" t="s">
        <v>141</v>
      </c>
      <c r="C46" s="80" t="s">
        <v>300</v>
      </c>
      <c r="D46" s="80">
        <v>23.0</v>
      </c>
      <c r="E46" s="246">
        <f t="shared" si="1"/>
        <v>21</v>
      </c>
      <c r="F46" s="114">
        <v>10.0</v>
      </c>
      <c r="G46" s="235">
        <v>7.875</v>
      </c>
      <c r="H46" s="238">
        <v>7.7875000000000005</v>
      </c>
      <c r="I46" s="88">
        <f t="shared" si="2"/>
        <v>-0.0875</v>
      </c>
      <c r="J46" s="246">
        <v>2.0</v>
      </c>
    </row>
    <row r="47">
      <c r="A47" s="114">
        <v>45.0</v>
      </c>
      <c r="B47" s="232" t="s">
        <v>207</v>
      </c>
      <c r="C47" s="80" t="s">
        <v>303</v>
      </c>
      <c r="D47" s="80">
        <v>23.0</v>
      </c>
      <c r="E47" s="246">
        <f t="shared" si="1"/>
        <v>19</v>
      </c>
      <c r="F47" s="114">
        <v>11.0</v>
      </c>
      <c r="G47" s="237">
        <v>7.5</v>
      </c>
      <c r="H47" s="238">
        <v>7.869444444444444</v>
      </c>
      <c r="I47" s="88">
        <f t="shared" si="2"/>
        <v>0.3694444444</v>
      </c>
      <c r="J47" s="246">
        <v>4.0</v>
      </c>
    </row>
    <row r="48">
      <c r="A48" s="114">
        <v>46.0</v>
      </c>
      <c r="B48" s="232" t="s">
        <v>78</v>
      </c>
      <c r="C48" s="80" t="s">
        <v>303</v>
      </c>
      <c r="D48" s="80">
        <v>23.0</v>
      </c>
      <c r="E48" s="246">
        <f t="shared" si="1"/>
        <v>23</v>
      </c>
      <c r="F48" s="114">
        <v>2.0</v>
      </c>
      <c r="G48" s="237">
        <v>8.625</v>
      </c>
      <c r="H48" s="238">
        <v>7.8826388888888905</v>
      </c>
      <c r="I48" s="88">
        <f t="shared" si="2"/>
        <v>-0.7423611111</v>
      </c>
      <c r="J48" s="246"/>
    </row>
    <row r="49">
      <c r="A49" s="114">
        <v>47.0</v>
      </c>
      <c r="B49" s="232" t="s">
        <v>14</v>
      </c>
      <c r="C49" s="80" t="s">
        <v>300</v>
      </c>
      <c r="D49" s="80">
        <v>23.0</v>
      </c>
      <c r="E49" s="246">
        <f t="shared" si="1"/>
        <v>23</v>
      </c>
      <c r="F49" s="114">
        <v>8.0</v>
      </c>
      <c r="G49" s="237">
        <v>8.625</v>
      </c>
      <c r="H49" s="238">
        <v>8.970833333333333</v>
      </c>
      <c r="I49" s="88">
        <f t="shared" si="2"/>
        <v>0.3458333333</v>
      </c>
      <c r="J49" s="246"/>
    </row>
    <row r="50">
      <c r="A50" s="114">
        <v>48.0</v>
      </c>
      <c r="B50" s="232" t="s">
        <v>105</v>
      </c>
      <c r="C50" s="80" t="s">
        <v>300</v>
      </c>
      <c r="D50" s="80">
        <v>23.0</v>
      </c>
      <c r="E50" s="246">
        <f t="shared" si="1"/>
        <v>23</v>
      </c>
      <c r="F50" s="114">
        <v>23.0</v>
      </c>
      <c r="G50" s="237">
        <v>8.625</v>
      </c>
      <c r="H50" s="237">
        <v>8.625</v>
      </c>
      <c r="I50" s="88">
        <f t="shared" si="2"/>
        <v>0</v>
      </c>
      <c r="J50" s="246"/>
    </row>
    <row r="51">
      <c r="A51" s="114">
        <v>49.0</v>
      </c>
      <c r="B51" s="232" t="s">
        <v>29</v>
      </c>
      <c r="C51" s="80" t="s">
        <v>300</v>
      </c>
      <c r="D51" s="80">
        <v>23.0</v>
      </c>
      <c r="E51" s="246">
        <f t="shared" si="1"/>
        <v>22</v>
      </c>
      <c r="F51" s="114">
        <v>22.0</v>
      </c>
      <c r="G51" s="235">
        <v>8.25</v>
      </c>
      <c r="H51" s="235">
        <v>8.25</v>
      </c>
      <c r="I51" s="88">
        <f t="shared" si="2"/>
        <v>0</v>
      </c>
      <c r="J51" s="246">
        <v>1.0</v>
      </c>
    </row>
    <row r="52">
      <c r="A52" s="114">
        <v>50.0</v>
      </c>
      <c r="B52" s="232" t="s">
        <v>17</v>
      </c>
      <c r="C52" s="80" t="s">
        <v>300</v>
      </c>
      <c r="D52" s="80">
        <v>23.0</v>
      </c>
      <c r="E52" s="246">
        <f t="shared" si="1"/>
        <v>22</v>
      </c>
      <c r="F52" s="114">
        <v>6.0</v>
      </c>
      <c r="G52" s="235">
        <v>8.25</v>
      </c>
      <c r="H52" s="238">
        <v>8.2</v>
      </c>
      <c r="I52" s="88">
        <f t="shared" si="2"/>
        <v>-0.05</v>
      </c>
      <c r="J52" s="246">
        <v>1.0</v>
      </c>
    </row>
    <row r="53">
      <c r="A53" s="114">
        <v>51.0</v>
      </c>
      <c r="B53" s="232" t="s">
        <v>249</v>
      </c>
      <c r="C53" s="80" t="s">
        <v>304</v>
      </c>
      <c r="D53" s="80">
        <v>23.0</v>
      </c>
      <c r="E53" s="246">
        <f t="shared" si="1"/>
        <v>22</v>
      </c>
      <c r="F53" s="114">
        <v>9.0</v>
      </c>
      <c r="G53" s="235">
        <v>8.25</v>
      </c>
      <c r="H53" s="238">
        <v>8.027777777777779</v>
      </c>
      <c r="I53" s="88">
        <f t="shared" si="2"/>
        <v>-0.2222222222</v>
      </c>
      <c r="J53" s="246">
        <v>1.0</v>
      </c>
    </row>
    <row r="54">
      <c r="A54" s="114">
        <v>52.0</v>
      </c>
      <c r="B54" s="232" t="s">
        <v>394</v>
      </c>
      <c r="C54" s="80" t="s">
        <v>305</v>
      </c>
      <c r="D54" s="80">
        <v>23.0</v>
      </c>
      <c r="E54" s="246">
        <f t="shared" si="1"/>
        <v>22</v>
      </c>
      <c r="F54" s="114">
        <v>9.0</v>
      </c>
      <c r="G54" s="235">
        <v>8.25</v>
      </c>
      <c r="H54" s="238">
        <v>8.20625</v>
      </c>
      <c r="I54" s="88">
        <f t="shared" si="2"/>
        <v>-0.04375</v>
      </c>
      <c r="J54" s="246">
        <v>1.0</v>
      </c>
    </row>
    <row r="55">
      <c r="A55" s="114">
        <v>53.0</v>
      </c>
      <c r="B55" s="232" t="s">
        <v>72</v>
      </c>
      <c r="C55" s="80" t="s">
        <v>300</v>
      </c>
      <c r="D55" s="80">
        <v>23.0</v>
      </c>
      <c r="E55" s="246">
        <f t="shared" si="1"/>
        <v>22</v>
      </c>
      <c r="F55" s="114">
        <v>9.0</v>
      </c>
      <c r="G55" s="235">
        <v>8.25</v>
      </c>
      <c r="H55" s="238">
        <v>9.150694444444444</v>
      </c>
      <c r="I55" s="88">
        <f t="shared" si="2"/>
        <v>0.9006944444</v>
      </c>
      <c r="J55" s="246">
        <v>1.0</v>
      </c>
    </row>
    <row r="56">
      <c r="A56" s="114">
        <v>54.0</v>
      </c>
      <c r="B56" s="232" t="s">
        <v>204</v>
      </c>
      <c r="C56" s="80" t="s">
        <v>300</v>
      </c>
      <c r="D56" s="80">
        <v>23.0</v>
      </c>
      <c r="E56" s="246">
        <f t="shared" si="1"/>
        <v>23</v>
      </c>
      <c r="F56" s="114">
        <v>23.0</v>
      </c>
      <c r="G56" s="237">
        <v>8.625</v>
      </c>
      <c r="H56" s="237">
        <v>8.625</v>
      </c>
      <c r="I56" s="88">
        <f t="shared" si="2"/>
        <v>0</v>
      </c>
      <c r="J56" s="246"/>
    </row>
    <row r="57">
      <c r="A57" s="114">
        <v>55.0</v>
      </c>
      <c r="B57" s="239" t="s">
        <v>410</v>
      </c>
      <c r="C57" s="80" t="s">
        <v>303</v>
      </c>
      <c r="D57" s="80">
        <v>23.0</v>
      </c>
      <c r="E57" s="246">
        <f t="shared" si="1"/>
        <v>23</v>
      </c>
      <c r="F57" s="114">
        <v>5.0</v>
      </c>
      <c r="G57" s="237">
        <v>8.625</v>
      </c>
      <c r="H57" s="238">
        <v>7.933333333333334</v>
      </c>
      <c r="I57" s="88">
        <f t="shared" si="2"/>
        <v>-0.6916666667</v>
      </c>
      <c r="J57" s="246"/>
    </row>
    <row r="58">
      <c r="A58" s="114">
        <v>56.0</v>
      </c>
      <c r="B58" s="239" t="s">
        <v>420</v>
      </c>
      <c r="C58" s="80" t="s">
        <v>303</v>
      </c>
      <c r="D58" s="80">
        <v>23.0</v>
      </c>
      <c r="E58" s="246">
        <f t="shared" si="1"/>
        <v>18</v>
      </c>
      <c r="F58" s="114">
        <v>4.0</v>
      </c>
      <c r="G58" s="235">
        <v>6.75</v>
      </c>
      <c r="H58" s="238">
        <v>7.572222222222223</v>
      </c>
      <c r="I58" s="88">
        <f t="shared" si="2"/>
        <v>0.8222222222</v>
      </c>
      <c r="J58" s="246">
        <v>5.0</v>
      </c>
    </row>
    <row r="59">
      <c r="A59" s="114">
        <v>57.0</v>
      </c>
      <c r="B59" s="232" t="s">
        <v>153</v>
      </c>
      <c r="C59" s="80" t="s">
        <v>300</v>
      </c>
      <c r="D59" s="80">
        <v>23.0</v>
      </c>
      <c r="E59" s="246">
        <f t="shared" si="1"/>
        <v>23</v>
      </c>
      <c r="F59" s="114">
        <v>10.0</v>
      </c>
      <c r="G59" s="237">
        <v>8.625</v>
      </c>
      <c r="H59" s="238">
        <v>9.025694444444444</v>
      </c>
      <c r="I59" s="88">
        <f t="shared" si="2"/>
        <v>0.4006944444</v>
      </c>
      <c r="J59" s="246"/>
    </row>
    <row r="60">
      <c r="A60" s="114">
        <v>58.0</v>
      </c>
      <c r="B60" s="232" t="s">
        <v>198</v>
      </c>
      <c r="C60" s="80" t="s">
        <v>303</v>
      </c>
      <c r="D60" s="80">
        <v>23.0</v>
      </c>
      <c r="E60" s="246">
        <f t="shared" si="1"/>
        <v>15</v>
      </c>
      <c r="F60" s="114">
        <v>6.0</v>
      </c>
      <c r="G60" s="235">
        <v>5.625</v>
      </c>
      <c r="H60" s="238">
        <v>5.5875</v>
      </c>
      <c r="I60" s="88">
        <f t="shared" si="2"/>
        <v>-0.0375</v>
      </c>
      <c r="J60" s="246">
        <v>8.0</v>
      </c>
    </row>
    <row r="61">
      <c r="A61" s="114">
        <v>59.0</v>
      </c>
      <c r="B61" s="239" t="s">
        <v>411</v>
      </c>
      <c r="C61" s="80" t="s">
        <v>302</v>
      </c>
      <c r="D61" s="80">
        <v>23.0</v>
      </c>
      <c r="E61" s="246">
        <f t="shared" si="1"/>
        <v>23</v>
      </c>
      <c r="F61" s="114">
        <v>12.0</v>
      </c>
      <c r="G61" s="237">
        <v>8.625</v>
      </c>
      <c r="H61" s="238">
        <v>9.01388888888889</v>
      </c>
      <c r="I61" s="88">
        <f t="shared" si="2"/>
        <v>0.3888888889</v>
      </c>
      <c r="J61" s="246"/>
    </row>
    <row r="62">
      <c r="A62" s="114">
        <v>60.0</v>
      </c>
      <c r="B62" s="239" t="s">
        <v>412</v>
      </c>
      <c r="C62" s="80" t="s">
        <v>300</v>
      </c>
      <c r="D62" s="80">
        <v>23.0</v>
      </c>
      <c r="E62" s="246">
        <f t="shared" si="1"/>
        <v>22</v>
      </c>
      <c r="F62" s="114">
        <v>5.0</v>
      </c>
      <c r="G62" s="235">
        <v>8.25</v>
      </c>
      <c r="H62" s="238">
        <v>7.901388888888889</v>
      </c>
      <c r="I62" s="88">
        <f t="shared" si="2"/>
        <v>-0.3486111111</v>
      </c>
      <c r="J62" s="246">
        <v>1.0</v>
      </c>
    </row>
    <row r="63">
      <c r="A63" s="114">
        <v>61.0</v>
      </c>
      <c r="B63" s="232" t="s">
        <v>260</v>
      </c>
      <c r="C63" s="80" t="s">
        <v>303</v>
      </c>
      <c r="D63" s="80">
        <v>23.0</v>
      </c>
      <c r="E63" s="246">
        <f t="shared" si="1"/>
        <v>22</v>
      </c>
      <c r="F63" s="114">
        <v>11.0</v>
      </c>
      <c r="G63" s="235">
        <v>8.25</v>
      </c>
      <c r="H63" s="238">
        <v>7.354166666666666</v>
      </c>
      <c r="I63" s="88">
        <f t="shared" si="2"/>
        <v>-0.8958333333</v>
      </c>
      <c r="J63" s="246">
        <v>1.0</v>
      </c>
    </row>
    <row r="64">
      <c r="A64" s="114">
        <v>62.0</v>
      </c>
      <c r="B64" s="232" t="s">
        <v>26</v>
      </c>
      <c r="C64" s="80" t="s">
        <v>305</v>
      </c>
      <c r="D64" s="80">
        <v>23.0</v>
      </c>
      <c r="E64" s="246">
        <f t="shared" si="1"/>
        <v>22</v>
      </c>
      <c r="F64" s="114">
        <v>10.0</v>
      </c>
      <c r="G64" s="235">
        <v>8.25</v>
      </c>
      <c r="H64" s="238">
        <v>8.103472222222223</v>
      </c>
      <c r="I64" s="88">
        <f t="shared" si="2"/>
        <v>-0.1465277778</v>
      </c>
      <c r="J64" s="246">
        <v>1.0</v>
      </c>
    </row>
    <row r="65">
      <c r="A65" s="114">
        <v>63.0</v>
      </c>
      <c r="B65" s="232" t="s">
        <v>51</v>
      </c>
      <c r="C65" s="80" t="s">
        <v>303</v>
      </c>
      <c r="D65" s="80">
        <v>23.0</v>
      </c>
      <c r="E65" s="246">
        <f t="shared" si="1"/>
        <v>21</v>
      </c>
      <c r="F65" s="114">
        <v>14.0</v>
      </c>
      <c r="G65" s="235">
        <v>7.875</v>
      </c>
      <c r="H65" s="238">
        <v>7.538194444444445</v>
      </c>
      <c r="I65" s="88">
        <f t="shared" si="2"/>
        <v>-0.3368055556</v>
      </c>
      <c r="J65" s="246">
        <v>2.0</v>
      </c>
    </row>
    <row r="66">
      <c r="A66" s="114">
        <v>64.0</v>
      </c>
      <c r="B66" s="239" t="s">
        <v>413</v>
      </c>
      <c r="C66" s="80" t="s">
        <v>305</v>
      </c>
      <c r="D66" s="80">
        <v>23.0</v>
      </c>
      <c r="E66" s="246">
        <f t="shared" si="1"/>
        <v>21</v>
      </c>
      <c r="F66" s="114">
        <v>8.0</v>
      </c>
      <c r="G66" s="235">
        <v>7.875</v>
      </c>
      <c r="H66" s="238">
        <v>7.545138888888889</v>
      </c>
      <c r="I66" s="88">
        <f t="shared" si="2"/>
        <v>-0.3298611111</v>
      </c>
      <c r="J66" s="246">
        <v>2.0</v>
      </c>
    </row>
    <row r="67">
      <c r="A67" s="114">
        <v>65.0</v>
      </c>
      <c r="B67" s="232" t="s">
        <v>397</v>
      </c>
      <c r="C67" s="80" t="s">
        <v>305</v>
      </c>
      <c r="D67" s="80">
        <v>23.0</v>
      </c>
      <c r="E67" s="246">
        <f t="shared" si="1"/>
        <v>22</v>
      </c>
      <c r="F67" s="114">
        <v>10.0</v>
      </c>
      <c r="G67" s="235">
        <v>8.25</v>
      </c>
      <c r="H67" s="238">
        <v>8.04375</v>
      </c>
      <c r="I67" s="88">
        <f t="shared" si="2"/>
        <v>-0.20625</v>
      </c>
      <c r="J67" s="246">
        <v>1.0</v>
      </c>
    </row>
    <row r="68">
      <c r="A68" s="114">
        <v>66.0</v>
      </c>
      <c r="B68" s="232" t="s">
        <v>32</v>
      </c>
      <c r="C68" s="80" t="s">
        <v>302</v>
      </c>
      <c r="D68" s="80">
        <v>23.0</v>
      </c>
      <c r="E68" s="246">
        <f t="shared" si="1"/>
        <v>21</v>
      </c>
      <c r="F68" s="114">
        <v>7.0</v>
      </c>
      <c r="G68" s="237">
        <v>7.875</v>
      </c>
      <c r="H68" s="238">
        <v>7.543055555555555</v>
      </c>
      <c r="I68" s="88">
        <f t="shared" si="2"/>
        <v>-0.3319444444</v>
      </c>
      <c r="J68" s="246">
        <v>2.0</v>
      </c>
    </row>
    <row r="69">
      <c r="A69" s="114">
        <v>67.0</v>
      </c>
      <c r="B69" s="232" t="s">
        <v>23</v>
      </c>
      <c r="C69" s="80" t="s">
        <v>300</v>
      </c>
      <c r="D69" s="80">
        <v>23.0</v>
      </c>
      <c r="E69" s="246">
        <f t="shared" si="1"/>
        <v>21</v>
      </c>
      <c r="F69" s="114">
        <v>7.0</v>
      </c>
      <c r="G69" s="237">
        <v>7.875</v>
      </c>
      <c r="H69" s="238">
        <v>7.095138888888889</v>
      </c>
      <c r="I69" s="88">
        <f t="shared" si="2"/>
        <v>-0.7798611111</v>
      </c>
      <c r="J69" s="246">
        <v>2.0</v>
      </c>
    </row>
    <row r="70">
      <c r="A70" s="114">
        <v>68.0</v>
      </c>
      <c r="B70" s="232" t="s">
        <v>138</v>
      </c>
      <c r="C70" s="80" t="s">
        <v>303</v>
      </c>
      <c r="D70" s="80">
        <v>23.0</v>
      </c>
      <c r="E70" s="246">
        <f t="shared" si="1"/>
        <v>22</v>
      </c>
      <c r="F70" s="114">
        <v>11.0</v>
      </c>
      <c r="G70" s="235">
        <v>8.25</v>
      </c>
      <c r="H70" s="238">
        <v>7.579861111111111</v>
      </c>
      <c r="I70" s="88">
        <f t="shared" si="2"/>
        <v>-0.6701388889</v>
      </c>
      <c r="J70" s="246">
        <v>1.0</v>
      </c>
    </row>
    <row r="71">
      <c r="A71" s="114">
        <v>69.0</v>
      </c>
      <c r="B71" s="232" t="s">
        <v>228</v>
      </c>
      <c r="C71" s="80" t="s">
        <v>303</v>
      </c>
      <c r="D71" s="80">
        <v>23.0</v>
      </c>
      <c r="E71" s="246">
        <f t="shared" si="1"/>
        <v>16</v>
      </c>
      <c r="F71" s="114">
        <v>6.0</v>
      </c>
      <c r="G71" s="235">
        <v>6.0</v>
      </c>
      <c r="H71" s="238">
        <v>5.071527777777778</v>
      </c>
      <c r="I71" s="88">
        <f t="shared" si="2"/>
        <v>-0.9284722222</v>
      </c>
      <c r="J71" s="246">
        <v>7.0</v>
      </c>
    </row>
    <row r="72">
      <c r="A72" s="114">
        <v>70.0</v>
      </c>
      <c r="B72" s="232" t="s">
        <v>273</v>
      </c>
      <c r="C72" s="80" t="s">
        <v>303</v>
      </c>
      <c r="D72" s="80">
        <v>23.0</v>
      </c>
      <c r="E72" s="246">
        <f t="shared" si="1"/>
        <v>23</v>
      </c>
      <c r="F72" s="114">
        <v>12.0</v>
      </c>
      <c r="G72" s="237">
        <v>8.625</v>
      </c>
      <c r="H72" s="238">
        <v>7.922916666666667</v>
      </c>
      <c r="I72" s="88">
        <f t="shared" si="2"/>
        <v>-0.7020833333</v>
      </c>
      <c r="J72" s="246"/>
    </row>
    <row r="73">
      <c r="A73" s="114">
        <v>71.0</v>
      </c>
      <c r="B73" s="232" t="s">
        <v>10</v>
      </c>
      <c r="C73" s="80" t="s">
        <v>303</v>
      </c>
      <c r="D73" s="80">
        <v>23.0</v>
      </c>
      <c r="E73" s="246">
        <f t="shared" si="1"/>
        <v>23</v>
      </c>
      <c r="F73" s="114">
        <v>10.0</v>
      </c>
      <c r="G73" s="237">
        <v>8.625</v>
      </c>
      <c r="H73" s="238">
        <v>9.472916666666666</v>
      </c>
      <c r="I73" s="88">
        <f t="shared" si="2"/>
        <v>0.8479166667</v>
      </c>
      <c r="J73" s="246"/>
    </row>
    <row r="74">
      <c r="A74" s="114">
        <v>72.0</v>
      </c>
      <c r="B74" s="232" t="s">
        <v>6</v>
      </c>
      <c r="C74" s="80" t="s">
        <v>301</v>
      </c>
      <c r="D74" s="80">
        <v>23.0</v>
      </c>
      <c r="E74" s="246">
        <f t="shared" si="1"/>
        <v>21</v>
      </c>
      <c r="F74" s="114">
        <v>0.0</v>
      </c>
      <c r="G74" s="237">
        <v>7.875</v>
      </c>
      <c r="H74" s="238">
        <v>10.1375</v>
      </c>
      <c r="I74" s="88">
        <f t="shared" si="2"/>
        <v>2.2625</v>
      </c>
      <c r="J74" s="246">
        <v>2.0</v>
      </c>
    </row>
    <row r="75">
      <c r="A75" s="114">
        <v>73.0</v>
      </c>
      <c r="B75" s="232" t="s">
        <v>75</v>
      </c>
      <c r="C75" s="80" t="s">
        <v>303</v>
      </c>
      <c r="D75" s="80">
        <v>23.0</v>
      </c>
      <c r="E75" s="246">
        <f t="shared" si="1"/>
        <v>23</v>
      </c>
      <c r="F75" s="114">
        <v>9.0</v>
      </c>
      <c r="G75" s="237">
        <v>8.625</v>
      </c>
      <c r="H75" s="238">
        <v>7.2444444444444445</v>
      </c>
      <c r="I75" s="88">
        <f t="shared" si="2"/>
        <v>-1.380555556</v>
      </c>
      <c r="J75" s="246"/>
    </row>
    <row r="76">
      <c r="A76" s="114">
        <v>74.0</v>
      </c>
      <c r="B76" s="232" t="s">
        <v>120</v>
      </c>
      <c r="C76" s="80" t="s">
        <v>303</v>
      </c>
      <c r="D76" s="80">
        <v>27.0</v>
      </c>
      <c r="E76" s="246">
        <f t="shared" si="1"/>
        <v>27</v>
      </c>
      <c r="F76" s="114">
        <v>0.0</v>
      </c>
      <c r="G76" s="237">
        <v>10.125</v>
      </c>
      <c r="H76" s="238">
        <v>7.528472222222222</v>
      </c>
      <c r="I76" s="88">
        <f t="shared" si="2"/>
        <v>-2.596527778</v>
      </c>
      <c r="J76" s="246"/>
    </row>
    <row r="77">
      <c r="A77" s="114">
        <v>75.0</v>
      </c>
      <c r="B77" s="232" t="s">
        <v>123</v>
      </c>
      <c r="C77" s="80" t="s">
        <v>303</v>
      </c>
      <c r="D77" s="80">
        <v>27.0</v>
      </c>
      <c r="E77" s="246">
        <f t="shared" si="1"/>
        <v>27</v>
      </c>
      <c r="F77" s="114">
        <v>0.0</v>
      </c>
      <c r="G77" s="237">
        <v>10.125</v>
      </c>
      <c r="H77" s="238">
        <v>7.442361111111111</v>
      </c>
      <c r="I77" s="88">
        <f t="shared" si="2"/>
        <v>-2.682638889</v>
      </c>
      <c r="J77" s="246"/>
    </row>
    <row r="78">
      <c r="A78" s="114">
        <v>76.0</v>
      </c>
      <c r="B78" s="232" t="s">
        <v>111</v>
      </c>
      <c r="C78" s="80" t="s">
        <v>303</v>
      </c>
      <c r="D78" s="80">
        <v>27.0</v>
      </c>
      <c r="E78" s="246">
        <f t="shared" si="1"/>
        <v>27</v>
      </c>
      <c r="F78" s="114">
        <v>0.0</v>
      </c>
      <c r="G78" s="237">
        <v>10.125</v>
      </c>
      <c r="H78" s="238">
        <v>8.684722222222224</v>
      </c>
      <c r="I78" s="88">
        <f t="shared" si="2"/>
        <v>-1.440277778</v>
      </c>
      <c r="J78" s="246"/>
    </row>
    <row r="79">
      <c r="A79" s="114">
        <v>77.0</v>
      </c>
      <c r="B79" s="232" t="s">
        <v>114</v>
      </c>
      <c r="C79" s="80" t="s">
        <v>303</v>
      </c>
      <c r="D79" s="80">
        <v>27.0</v>
      </c>
      <c r="E79" s="246">
        <f t="shared" si="1"/>
        <v>27</v>
      </c>
      <c r="F79" s="114">
        <v>0.0</v>
      </c>
      <c r="G79" s="237">
        <v>10.125</v>
      </c>
      <c r="H79" s="238">
        <v>10.14722222222222</v>
      </c>
      <c r="I79" s="88">
        <f t="shared" si="2"/>
        <v>0.02222222222</v>
      </c>
      <c r="J79" s="246"/>
    </row>
    <row r="80">
      <c r="A80" s="114">
        <v>78.0</v>
      </c>
      <c r="B80" s="232" t="s">
        <v>129</v>
      </c>
      <c r="C80" s="80" t="s">
        <v>303</v>
      </c>
      <c r="D80" s="80">
        <v>27.0</v>
      </c>
      <c r="E80" s="246">
        <f t="shared" si="1"/>
        <v>27</v>
      </c>
      <c r="F80" s="114">
        <v>0.0</v>
      </c>
      <c r="G80" s="235">
        <v>10.125</v>
      </c>
      <c r="H80" s="238">
        <v>9.063194444444443</v>
      </c>
      <c r="I80" s="88">
        <f t="shared" si="2"/>
        <v>-1.061805556</v>
      </c>
      <c r="J80" s="246"/>
    </row>
    <row r="81">
      <c r="A81" s="114">
        <v>79.0</v>
      </c>
      <c r="B81" s="232" t="s">
        <v>126</v>
      </c>
      <c r="C81" s="80" t="s">
        <v>303</v>
      </c>
      <c r="D81" s="80">
        <v>27.0</v>
      </c>
      <c r="E81" s="246">
        <f t="shared" si="1"/>
        <v>27</v>
      </c>
      <c r="F81" s="114">
        <v>0.0</v>
      </c>
      <c r="G81" s="237">
        <v>10.125</v>
      </c>
      <c r="H81" s="238">
        <v>13.970833333333333</v>
      </c>
      <c r="I81" s="88">
        <f t="shared" si="2"/>
        <v>3.845833333</v>
      </c>
      <c r="J81" s="246"/>
    </row>
    <row r="82">
      <c r="A82" s="114">
        <v>80.0</v>
      </c>
      <c r="B82" s="232" t="s">
        <v>287</v>
      </c>
      <c r="C82" s="80" t="s">
        <v>303</v>
      </c>
      <c r="D82" s="80">
        <v>27.0</v>
      </c>
      <c r="E82" s="246">
        <f t="shared" si="1"/>
        <v>27</v>
      </c>
      <c r="F82" s="114">
        <v>0.0</v>
      </c>
      <c r="G82" s="237">
        <v>10.125</v>
      </c>
      <c r="H82" s="238">
        <v>8.983333333333333</v>
      </c>
      <c r="I82" s="88">
        <f t="shared" si="2"/>
        <v>-1.141666667</v>
      </c>
      <c r="J82" s="246"/>
    </row>
    <row r="83">
      <c r="A83" s="114">
        <v>81.0</v>
      </c>
      <c r="B83" s="232" t="s">
        <v>162</v>
      </c>
      <c r="C83" s="80" t="s">
        <v>303</v>
      </c>
      <c r="D83" s="80">
        <v>27.0</v>
      </c>
      <c r="E83" s="246">
        <f t="shared" si="1"/>
        <v>27</v>
      </c>
      <c r="F83" s="114">
        <v>0.0</v>
      </c>
      <c r="G83" s="237">
        <v>10.125</v>
      </c>
      <c r="H83" s="238">
        <v>10.78263888888889</v>
      </c>
      <c r="I83" s="88">
        <f t="shared" si="2"/>
        <v>0.6576388889</v>
      </c>
      <c r="J83" s="246"/>
    </row>
    <row r="84">
      <c r="A84" s="114">
        <v>82.0</v>
      </c>
      <c r="B84" s="232" t="s">
        <v>117</v>
      </c>
      <c r="C84" s="80" t="s">
        <v>303</v>
      </c>
      <c r="D84" s="80">
        <v>23.0</v>
      </c>
      <c r="E84" s="246">
        <f t="shared" si="1"/>
        <v>23</v>
      </c>
      <c r="F84" s="114">
        <v>0.0</v>
      </c>
      <c r="G84" s="237">
        <v>8.625</v>
      </c>
      <c r="H84" s="238">
        <v>9.729861111111113</v>
      </c>
      <c r="I84" s="88">
        <f t="shared" si="2"/>
        <v>1.104861111</v>
      </c>
      <c r="J84" s="246"/>
    </row>
    <row r="85">
      <c r="A85" s="114">
        <v>83.0</v>
      </c>
      <c r="B85" s="232" t="s">
        <v>237</v>
      </c>
      <c r="C85" s="80" t="s">
        <v>303</v>
      </c>
      <c r="D85" s="80">
        <v>27.0</v>
      </c>
      <c r="E85" s="246">
        <f t="shared" si="1"/>
        <v>27</v>
      </c>
      <c r="F85" s="114">
        <v>0.0</v>
      </c>
      <c r="G85" s="237">
        <v>10.125</v>
      </c>
      <c r="H85" s="238">
        <v>8.177777777777777</v>
      </c>
      <c r="I85" s="88">
        <f t="shared" si="2"/>
        <v>-1.947222222</v>
      </c>
      <c r="J85" s="246"/>
    </row>
    <row r="86">
      <c r="A86" s="114">
        <v>84.0</v>
      </c>
      <c r="B86" s="232" t="s">
        <v>288</v>
      </c>
      <c r="C86" s="80" t="s">
        <v>303</v>
      </c>
      <c r="D86" s="80">
        <v>27.0</v>
      </c>
      <c r="E86" s="246">
        <f t="shared" si="1"/>
        <v>27</v>
      </c>
      <c r="F86" s="114">
        <v>0.0</v>
      </c>
      <c r="G86" s="237">
        <v>10.125</v>
      </c>
      <c r="H86" s="238">
        <v>9.165972222222221</v>
      </c>
      <c r="I86" s="88">
        <f t="shared" si="2"/>
        <v>-0.9590277778</v>
      </c>
      <c r="J86" s="246"/>
    </row>
    <row r="87">
      <c r="A87" s="114">
        <v>85.0</v>
      </c>
      <c r="B87" s="239" t="s">
        <v>409</v>
      </c>
      <c r="C87" s="80" t="s">
        <v>303</v>
      </c>
      <c r="D87" s="80">
        <v>5.0</v>
      </c>
      <c r="E87" s="246">
        <f t="shared" si="1"/>
        <v>3</v>
      </c>
      <c r="F87" s="114">
        <v>0.0</v>
      </c>
      <c r="G87" s="237">
        <v>1.125</v>
      </c>
      <c r="H87" s="238">
        <v>1.1020833333333333</v>
      </c>
      <c r="I87" s="88">
        <f t="shared" si="2"/>
        <v>-0.02291666667</v>
      </c>
      <c r="J87" s="246">
        <v>2.0</v>
      </c>
    </row>
  </sheetData>
  <autoFilter ref="$A$1:$J$87"/>
  <mergeCells count="2">
    <mergeCell ref="A1:B1"/>
    <mergeCell ref="C1:J1"/>
  </mergeCells>
  <conditionalFormatting sqref="I3:I87">
    <cfRule type="cellIs" dxfId="12" priority="1" operator="lessThan">
      <formula>"00:00:00"</formula>
    </cfRule>
  </conditionalFormatting>
  <conditionalFormatting sqref="I3:I87">
    <cfRule type="cellIs" dxfId="7" priority="2" operator="greaterThan">
      <formula>"00:00:00"</formula>
    </cfRule>
  </conditionalFormatting>
  <dataValidations>
    <dataValidation type="list" allowBlank="1" showErrorMessage="1" sqref="C3:C87">
      <formula1>"JetClass,FAMS,DevOps,Voltro,SS,Special Projects"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63"/>
    <col customWidth="1" min="2" max="2" width="11.13"/>
    <col customWidth="1" min="3" max="3" width="23.13"/>
    <col customWidth="1" min="4" max="4" width="10.13"/>
    <col customWidth="1" min="5" max="13" width="8.38"/>
    <col customWidth="1" min="14" max="14" width="9.38"/>
    <col customWidth="1" min="15" max="15" width="9.25"/>
    <col customWidth="1" min="16" max="34" width="9.38"/>
  </cols>
  <sheetData>
    <row r="1">
      <c r="A1" s="133" t="s">
        <v>1</v>
      </c>
      <c r="B1" s="132" t="s">
        <v>265</v>
      </c>
      <c r="C1" s="133" t="s">
        <v>266</v>
      </c>
      <c r="D1" s="133" t="s">
        <v>267</v>
      </c>
      <c r="E1" s="250" t="str">
        <f t="shared" ref="E1:AH1" si="1">text(E2, "ddd")</f>
        <v>Sat</v>
      </c>
      <c r="F1" s="135" t="str">
        <f t="shared" si="1"/>
        <v>Sun</v>
      </c>
      <c r="G1" s="134" t="str">
        <f t="shared" si="1"/>
        <v>Mon</v>
      </c>
      <c r="H1" s="134" t="str">
        <f t="shared" si="1"/>
        <v>Tue</v>
      </c>
      <c r="I1" s="134" t="str">
        <f t="shared" si="1"/>
        <v>Wed</v>
      </c>
      <c r="J1" s="134" t="str">
        <f t="shared" si="1"/>
        <v>Thu</v>
      </c>
      <c r="K1" s="134" t="str">
        <f t="shared" si="1"/>
        <v>Fri</v>
      </c>
      <c r="L1" s="250" t="str">
        <f t="shared" si="1"/>
        <v>Sat</v>
      </c>
      <c r="M1" s="135" t="str">
        <f t="shared" si="1"/>
        <v>Sun</v>
      </c>
      <c r="N1" s="218" t="str">
        <f t="shared" si="1"/>
        <v>Mon</v>
      </c>
      <c r="O1" s="134" t="str">
        <f t="shared" si="1"/>
        <v>Tue</v>
      </c>
      <c r="P1" s="134" t="str">
        <f t="shared" si="1"/>
        <v>Wed</v>
      </c>
      <c r="Q1" s="134" t="str">
        <f t="shared" si="1"/>
        <v>Thu</v>
      </c>
      <c r="R1" s="134" t="str">
        <f t="shared" si="1"/>
        <v>Fri</v>
      </c>
      <c r="S1" s="250" t="str">
        <f t="shared" si="1"/>
        <v>Sat</v>
      </c>
      <c r="T1" s="135" t="str">
        <f t="shared" si="1"/>
        <v>Sun</v>
      </c>
      <c r="U1" s="134" t="str">
        <f t="shared" si="1"/>
        <v>Mon</v>
      </c>
      <c r="V1" s="134" t="str">
        <f t="shared" si="1"/>
        <v>Tue</v>
      </c>
      <c r="W1" s="134" t="str">
        <f t="shared" si="1"/>
        <v>Wed</v>
      </c>
      <c r="X1" s="134" t="str">
        <f t="shared" si="1"/>
        <v>Thu</v>
      </c>
      <c r="Y1" s="134" t="str">
        <f t="shared" si="1"/>
        <v>Fri</v>
      </c>
      <c r="Z1" s="250" t="str">
        <f t="shared" si="1"/>
        <v>Sat</v>
      </c>
      <c r="AA1" s="135" t="str">
        <f t="shared" si="1"/>
        <v>Sun</v>
      </c>
      <c r="AB1" s="134" t="str">
        <f t="shared" si="1"/>
        <v>Mon</v>
      </c>
      <c r="AC1" s="134" t="str">
        <f t="shared" si="1"/>
        <v>Tue</v>
      </c>
      <c r="AD1" s="134" t="str">
        <f t="shared" si="1"/>
        <v>Wed</v>
      </c>
      <c r="AE1" s="218" t="str">
        <f t="shared" si="1"/>
        <v>Thu</v>
      </c>
      <c r="AF1" s="134" t="str">
        <f t="shared" si="1"/>
        <v>Fri</v>
      </c>
      <c r="AG1" s="250" t="str">
        <f t="shared" si="1"/>
        <v>Sat</v>
      </c>
      <c r="AH1" s="250" t="str">
        <f t="shared" si="1"/>
        <v>Sun</v>
      </c>
    </row>
    <row r="2">
      <c r="A2" s="15"/>
      <c r="C2" s="15"/>
      <c r="D2" s="15"/>
      <c r="E2" s="251">
        <v>45962.0</v>
      </c>
      <c r="F2" s="251">
        <v>45963.0</v>
      </c>
      <c r="G2" s="219">
        <v>45964.0</v>
      </c>
      <c r="H2" s="219">
        <v>45965.0</v>
      </c>
      <c r="I2" s="219">
        <v>45966.0</v>
      </c>
      <c r="J2" s="219">
        <v>45967.0</v>
      </c>
      <c r="K2" s="219">
        <v>45968.0</v>
      </c>
      <c r="L2" s="251">
        <v>45969.0</v>
      </c>
      <c r="M2" s="251">
        <v>45970.0</v>
      </c>
      <c r="N2" s="219">
        <v>45971.0</v>
      </c>
      <c r="O2" s="219">
        <v>45972.0</v>
      </c>
      <c r="P2" s="219">
        <v>45973.0</v>
      </c>
      <c r="Q2" s="219">
        <v>45974.0</v>
      </c>
      <c r="R2" s="219">
        <v>45975.0</v>
      </c>
      <c r="S2" s="251">
        <v>45976.0</v>
      </c>
      <c r="T2" s="251">
        <v>45977.0</v>
      </c>
      <c r="U2" s="219">
        <v>45978.0</v>
      </c>
      <c r="V2" s="219">
        <v>45979.0</v>
      </c>
      <c r="W2" s="219">
        <v>45980.0</v>
      </c>
      <c r="X2" s="219">
        <v>45981.0</v>
      </c>
      <c r="Y2" s="219">
        <v>45982.0</v>
      </c>
      <c r="Z2" s="251">
        <v>45983.0</v>
      </c>
      <c r="AA2" s="251">
        <v>45984.0</v>
      </c>
      <c r="AB2" s="219">
        <v>45985.0</v>
      </c>
      <c r="AC2" s="219">
        <v>45986.0</v>
      </c>
      <c r="AD2" s="219">
        <v>45987.0</v>
      </c>
      <c r="AE2" s="219">
        <v>45988.0</v>
      </c>
      <c r="AF2" s="219">
        <v>45989.0</v>
      </c>
      <c r="AG2" s="251">
        <v>45990.0</v>
      </c>
      <c r="AH2" s="251">
        <v>45991.0</v>
      </c>
    </row>
    <row r="3">
      <c r="A3" s="252">
        <v>1.0</v>
      </c>
      <c r="B3" s="138">
        <v>45452.0</v>
      </c>
      <c r="C3" s="197" t="s">
        <v>222</v>
      </c>
      <c r="D3" s="22">
        <f t="shared" ref="D3:D89" si="2">sum(E3:AH3)</f>
        <v>4.75</v>
      </c>
      <c r="E3" s="244"/>
      <c r="F3" s="244"/>
      <c r="G3" s="224">
        <v>0.39652777777777776</v>
      </c>
      <c r="H3" s="117">
        <v>0.38958333333333334</v>
      </c>
      <c r="I3" s="114" t="s">
        <v>316</v>
      </c>
      <c r="J3" s="117">
        <v>0.38472222222222224</v>
      </c>
      <c r="K3" s="223" t="s">
        <v>316</v>
      </c>
      <c r="L3" s="244"/>
      <c r="M3" s="244"/>
      <c r="N3" s="224">
        <v>0.38055555555555554</v>
      </c>
      <c r="O3" s="224">
        <v>0.37569444444444444</v>
      </c>
      <c r="P3" s="223" t="s">
        <v>316</v>
      </c>
      <c r="Q3" s="224">
        <v>0.3861111111111111</v>
      </c>
      <c r="R3" s="223" t="s">
        <v>271</v>
      </c>
      <c r="S3" s="221"/>
      <c r="T3" s="221"/>
      <c r="U3" s="224">
        <v>0.38263888888888886</v>
      </c>
      <c r="V3" s="224">
        <v>0.37569444444444444</v>
      </c>
      <c r="W3" s="224">
        <v>0.37916666666666665</v>
      </c>
      <c r="X3" s="223" t="s">
        <v>316</v>
      </c>
      <c r="Y3" s="223" t="s">
        <v>316</v>
      </c>
      <c r="Z3" s="244"/>
      <c r="AA3" s="244"/>
      <c r="AB3" s="224">
        <v>0.3819444444444444</v>
      </c>
      <c r="AC3" s="224">
        <v>0.37777777777777777</v>
      </c>
      <c r="AD3" s="224">
        <v>0.3729166666666667</v>
      </c>
      <c r="AE3" s="224">
        <v>0.16666666666666666</v>
      </c>
      <c r="AF3" s="223" t="s">
        <v>431</v>
      </c>
      <c r="AG3" s="244"/>
      <c r="AH3" s="244"/>
    </row>
    <row r="4">
      <c r="A4" s="252">
        <v>2.0</v>
      </c>
      <c r="B4" s="15"/>
      <c r="C4" s="197" t="s">
        <v>41</v>
      </c>
      <c r="D4" s="22">
        <f t="shared" si="2"/>
        <v>3.092361111</v>
      </c>
      <c r="E4" s="244"/>
      <c r="F4" s="244"/>
      <c r="G4" s="224">
        <v>0.38958333333333334</v>
      </c>
      <c r="H4" s="114" t="s">
        <v>316</v>
      </c>
      <c r="I4" s="117">
        <v>0.37569444444444444</v>
      </c>
      <c r="J4" s="117">
        <v>0.39652777777777776</v>
      </c>
      <c r="K4" s="223" t="s">
        <v>316</v>
      </c>
      <c r="L4" s="244"/>
      <c r="M4" s="244"/>
      <c r="N4" s="223" t="s">
        <v>272</v>
      </c>
      <c r="O4" s="223" t="s">
        <v>272</v>
      </c>
      <c r="P4" s="223" t="s">
        <v>272</v>
      </c>
      <c r="Q4" s="223" t="s">
        <v>272</v>
      </c>
      <c r="R4" s="223" t="s">
        <v>272</v>
      </c>
      <c r="S4" s="221"/>
      <c r="T4" s="221"/>
      <c r="U4" s="223" t="s">
        <v>272</v>
      </c>
      <c r="V4" s="223" t="s">
        <v>272</v>
      </c>
      <c r="W4" s="224">
        <v>0.38819444444444445</v>
      </c>
      <c r="X4" s="224">
        <v>0.38055555555555554</v>
      </c>
      <c r="Y4" s="223" t="s">
        <v>316</v>
      </c>
      <c r="Z4" s="244"/>
      <c r="AA4" s="244"/>
      <c r="AB4" s="224">
        <v>0.3701388888888889</v>
      </c>
      <c r="AC4" s="224">
        <v>0.20833333333333334</v>
      </c>
      <c r="AD4" s="224">
        <v>0.20833333333333334</v>
      </c>
      <c r="AE4" s="224">
        <v>0.375</v>
      </c>
      <c r="AF4" s="223" t="s">
        <v>316</v>
      </c>
      <c r="AG4" s="244"/>
      <c r="AH4" s="244"/>
    </row>
    <row r="5">
      <c r="A5" s="253">
        <v>3.0</v>
      </c>
      <c r="B5" s="254">
        <v>45848.0</v>
      </c>
      <c r="C5" s="198" t="s">
        <v>201</v>
      </c>
      <c r="D5" s="22">
        <f t="shared" si="2"/>
        <v>5.879166667</v>
      </c>
      <c r="E5" s="244"/>
      <c r="F5" s="244"/>
      <c r="G5" s="222">
        <v>0.3625</v>
      </c>
      <c r="H5" s="116">
        <v>0.5236111111111111</v>
      </c>
      <c r="I5" s="116">
        <v>0.3715277777777778</v>
      </c>
      <c r="J5" s="116">
        <v>0.4173611111111111</v>
      </c>
      <c r="K5" s="223" t="s">
        <v>316</v>
      </c>
      <c r="L5" s="244"/>
      <c r="M5" s="244"/>
      <c r="N5" s="222">
        <v>0.33958333333333335</v>
      </c>
      <c r="O5" s="224">
        <v>0.36041666666666666</v>
      </c>
      <c r="P5" s="222">
        <v>0.35833333333333334</v>
      </c>
      <c r="Q5" s="222">
        <v>0.37916666666666665</v>
      </c>
      <c r="R5" s="223" t="s">
        <v>316</v>
      </c>
      <c r="S5" s="221"/>
      <c r="T5" s="221"/>
      <c r="U5" s="222">
        <v>0.3277777777777778</v>
      </c>
      <c r="V5" s="223" t="s">
        <v>316</v>
      </c>
      <c r="W5" s="222">
        <v>0.31875</v>
      </c>
      <c r="X5" s="222">
        <v>0.35555555555555557</v>
      </c>
      <c r="Y5" s="222">
        <v>0.3611111111111111</v>
      </c>
      <c r="Z5" s="244"/>
      <c r="AA5" s="244"/>
      <c r="AB5" s="222">
        <v>0.34652777777777777</v>
      </c>
      <c r="AC5" s="222">
        <v>0.36041666666666666</v>
      </c>
      <c r="AD5" s="222">
        <v>0.3590277777777778</v>
      </c>
      <c r="AE5" s="222">
        <v>0.3375</v>
      </c>
      <c r="AF5" s="223" t="s">
        <v>316</v>
      </c>
      <c r="AG5" s="244"/>
      <c r="AH5" s="244"/>
    </row>
    <row r="6">
      <c r="A6" s="252">
        <v>4.0</v>
      </c>
      <c r="B6" s="32"/>
      <c r="C6" s="198" t="s">
        <v>246</v>
      </c>
      <c r="D6" s="22">
        <f t="shared" si="2"/>
        <v>2.982638889</v>
      </c>
      <c r="E6" s="244"/>
      <c r="F6" s="244"/>
      <c r="G6" s="222">
        <v>0.34930555555555554</v>
      </c>
      <c r="H6" s="114" t="s">
        <v>316</v>
      </c>
      <c r="I6" s="116">
        <v>0.3020833333333333</v>
      </c>
      <c r="J6" s="114" t="s">
        <v>316</v>
      </c>
      <c r="K6" s="223" t="s">
        <v>316</v>
      </c>
      <c r="L6" s="244"/>
      <c r="M6" s="244"/>
      <c r="N6" s="222">
        <v>0.2951388888888889</v>
      </c>
      <c r="O6" s="223" t="s">
        <v>316</v>
      </c>
      <c r="P6" s="222">
        <v>0.3611111111111111</v>
      </c>
      <c r="Q6" s="222">
        <v>0.2743055555555556</v>
      </c>
      <c r="R6" s="223" t="s">
        <v>316</v>
      </c>
      <c r="S6" s="221"/>
      <c r="T6" s="221"/>
      <c r="U6" s="222">
        <v>0.36527777777777776</v>
      </c>
      <c r="V6" s="223" t="s">
        <v>316</v>
      </c>
      <c r="W6" s="222">
        <v>0.3736111111111111</v>
      </c>
      <c r="X6" s="223" t="s">
        <v>316</v>
      </c>
      <c r="Y6" s="223" t="s">
        <v>316</v>
      </c>
      <c r="Z6" s="244"/>
      <c r="AA6" s="244"/>
      <c r="AB6" s="222">
        <v>0.3020833333333333</v>
      </c>
      <c r="AC6" s="223" t="s">
        <v>316</v>
      </c>
      <c r="AD6" s="224">
        <v>0.3597222222222222</v>
      </c>
      <c r="AE6" s="223" t="s">
        <v>269</v>
      </c>
      <c r="AF6" s="223" t="s">
        <v>316</v>
      </c>
      <c r="AG6" s="244"/>
      <c r="AH6" s="244"/>
    </row>
    <row r="7">
      <c r="A7" s="252">
        <v>5.0</v>
      </c>
      <c r="B7" s="32"/>
      <c r="C7" s="200" t="s">
        <v>421</v>
      </c>
      <c r="D7" s="22">
        <f t="shared" si="2"/>
        <v>1.759722222</v>
      </c>
      <c r="E7" s="244"/>
      <c r="F7" s="244"/>
      <c r="G7" s="223" t="s">
        <v>316</v>
      </c>
      <c r="H7" s="117">
        <v>0.36875</v>
      </c>
      <c r="I7" s="117">
        <v>0.40069444444444446</v>
      </c>
      <c r="J7" s="114" t="s">
        <v>269</v>
      </c>
      <c r="K7" s="224">
        <v>0.3958333333333333</v>
      </c>
      <c r="L7" s="244"/>
      <c r="M7" s="244"/>
      <c r="N7" s="224">
        <v>0.3506944444444444</v>
      </c>
      <c r="O7" s="224">
        <v>0.24375</v>
      </c>
      <c r="P7" s="223" t="s">
        <v>316</v>
      </c>
      <c r="Q7" s="223" t="s">
        <v>316</v>
      </c>
      <c r="R7" s="223" t="s">
        <v>316</v>
      </c>
      <c r="S7" s="221"/>
      <c r="T7" s="221"/>
      <c r="U7" s="223" t="s">
        <v>272</v>
      </c>
      <c r="V7" s="223" t="s">
        <v>272</v>
      </c>
      <c r="W7" s="223" t="s">
        <v>272</v>
      </c>
      <c r="X7" s="223" t="s">
        <v>272</v>
      </c>
      <c r="Y7" s="223" t="s">
        <v>272</v>
      </c>
      <c r="Z7" s="244"/>
      <c r="AA7" s="244"/>
      <c r="AB7" s="223" t="s">
        <v>272</v>
      </c>
      <c r="AC7" s="223" t="s">
        <v>272</v>
      </c>
      <c r="AD7" s="223" t="s">
        <v>316</v>
      </c>
      <c r="AE7" s="223" t="s">
        <v>316</v>
      </c>
      <c r="AF7" s="223" t="s">
        <v>316</v>
      </c>
      <c r="AG7" s="244"/>
      <c r="AH7" s="244"/>
    </row>
    <row r="8">
      <c r="A8" s="253">
        <v>6.0</v>
      </c>
      <c r="B8" s="32"/>
      <c r="C8" s="199" t="s">
        <v>147</v>
      </c>
      <c r="D8" s="22">
        <f t="shared" si="2"/>
        <v>7.053472222</v>
      </c>
      <c r="E8" s="244"/>
      <c r="F8" s="244"/>
      <c r="G8" s="222">
        <v>0.2708333333333333</v>
      </c>
      <c r="H8" s="116">
        <v>0.40069444444444446</v>
      </c>
      <c r="I8" s="116">
        <v>0.37916666666666665</v>
      </c>
      <c r="J8" s="116">
        <v>0.36527777777777776</v>
      </c>
      <c r="K8" s="222">
        <v>0.3548611111111111</v>
      </c>
      <c r="L8" s="244"/>
      <c r="M8" s="244"/>
      <c r="N8" s="222">
        <v>0.34305555555555556</v>
      </c>
      <c r="O8" s="224">
        <v>0.35347222222222224</v>
      </c>
      <c r="P8" s="222">
        <v>0.35208333333333336</v>
      </c>
      <c r="Q8" s="222">
        <v>0.3798611111111111</v>
      </c>
      <c r="R8" s="222">
        <v>0.3680555555555556</v>
      </c>
      <c r="S8" s="221"/>
      <c r="T8" s="221"/>
      <c r="U8" s="222">
        <v>0.1798611111111111</v>
      </c>
      <c r="V8" s="222">
        <v>0.36527777777777776</v>
      </c>
      <c r="W8" s="222">
        <v>0.3729166666666667</v>
      </c>
      <c r="X8" s="222">
        <v>0.35347222222222224</v>
      </c>
      <c r="Y8" s="222">
        <v>0.3625</v>
      </c>
      <c r="Z8" s="244"/>
      <c r="AA8" s="244"/>
      <c r="AB8" s="224">
        <v>0.3645833333333333</v>
      </c>
      <c r="AC8" s="222">
        <v>0.3819444444444444</v>
      </c>
      <c r="AD8" s="222">
        <v>0.36736111111111114</v>
      </c>
      <c r="AE8" s="222">
        <v>0.37430555555555556</v>
      </c>
      <c r="AF8" s="222">
        <v>0.3638888888888889</v>
      </c>
      <c r="AG8" s="244"/>
      <c r="AH8" s="244"/>
    </row>
    <row r="9">
      <c r="A9" s="252">
        <v>7.0</v>
      </c>
      <c r="B9" s="32"/>
      <c r="C9" s="198" t="s">
        <v>177</v>
      </c>
      <c r="D9" s="22">
        <f t="shared" si="2"/>
        <v>4.188888889</v>
      </c>
      <c r="E9" s="244"/>
      <c r="F9" s="244"/>
      <c r="G9" s="223" t="s">
        <v>272</v>
      </c>
      <c r="H9" s="223" t="s">
        <v>272</v>
      </c>
      <c r="I9" s="223" t="s">
        <v>272</v>
      </c>
      <c r="J9" s="223" t="s">
        <v>272</v>
      </c>
      <c r="K9" s="223" t="s">
        <v>316</v>
      </c>
      <c r="L9" s="244"/>
      <c r="M9" s="244"/>
      <c r="N9" s="222">
        <v>0.3576388888888889</v>
      </c>
      <c r="O9" s="224">
        <v>0.3625</v>
      </c>
      <c r="P9" s="222">
        <v>0.32430555555555557</v>
      </c>
      <c r="Q9" s="222">
        <v>0.3597222222222222</v>
      </c>
      <c r="R9" s="223" t="s">
        <v>316</v>
      </c>
      <c r="S9" s="221"/>
      <c r="T9" s="221"/>
      <c r="U9" s="222">
        <v>0.31805555555555554</v>
      </c>
      <c r="V9" s="222">
        <v>0.3388888888888889</v>
      </c>
      <c r="W9" s="222">
        <v>0.37083333333333335</v>
      </c>
      <c r="X9" s="222">
        <v>0.35</v>
      </c>
      <c r="Y9" s="223" t="s">
        <v>316</v>
      </c>
      <c r="Z9" s="244"/>
      <c r="AA9" s="244"/>
      <c r="AB9" s="222">
        <v>0.3506944444444444</v>
      </c>
      <c r="AC9" s="222">
        <v>0.34652777777777777</v>
      </c>
      <c r="AD9" s="222">
        <v>0.35833333333333334</v>
      </c>
      <c r="AE9" s="222">
        <v>0.35138888888888886</v>
      </c>
      <c r="AF9" s="223" t="s">
        <v>316</v>
      </c>
      <c r="AG9" s="244"/>
      <c r="AH9" s="244"/>
    </row>
    <row r="10">
      <c r="A10" s="252">
        <v>8.0</v>
      </c>
      <c r="B10" s="32"/>
      <c r="C10" s="199" t="s">
        <v>216</v>
      </c>
      <c r="D10" s="22">
        <f t="shared" si="2"/>
        <v>0</v>
      </c>
      <c r="E10" s="244"/>
      <c r="F10" s="244"/>
      <c r="G10" s="223" t="s">
        <v>271</v>
      </c>
      <c r="H10" s="114" t="s">
        <v>316</v>
      </c>
      <c r="I10" s="114" t="s">
        <v>316</v>
      </c>
      <c r="J10" s="114" t="s">
        <v>316</v>
      </c>
      <c r="K10" s="223" t="s">
        <v>316</v>
      </c>
      <c r="L10" s="244"/>
      <c r="M10" s="244"/>
      <c r="N10" s="223" t="s">
        <v>316</v>
      </c>
      <c r="O10" s="223" t="s">
        <v>316</v>
      </c>
      <c r="P10" s="223" t="s">
        <v>316</v>
      </c>
      <c r="Q10" s="223" t="s">
        <v>316</v>
      </c>
      <c r="R10" s="223" t="s">
        <v>316</v>
      </c>
      <c r="S10" s="221"/>
      <c r="T10" s="221"/>
      <c r="U10" s="223" t="s">
        <v>316</v>
      </c>
      <c r="V10" s="223" t="s">
        <v>316</v>
      </c>
      <c r="W10" s="223" t="s">
        <v>316</v>
      </c>
      <c r="X10" s="223" t="s">
        <v>316</v>
      </c>
      <c r="Y10" s="223" t="s">
        <v>316</v>
      </c>
      <c r="Z10" s="244"/>
      <c r="AA10" s="244"/>
      <c r="AB10" s="223" t="s">
        <v>316</v>
      </c>
      <c r="AC10" s="223" t="s">
        <v>316</v>
      </c>
      <c r="AD10" s="223" t="s">
        <v>316</v>
      </c>
      <c r="AE10" s="223" t="s">
        <v>316</v>
      </c>
      <c r="AF10" s="223" t="s">
        <v>316</v>
      </c>
      <c r="AG10" s="244"/>
      <c r="AH10" s="244"/>
    </row>
    <row r="11">
      <c r="A11" s="253">
        <v>9.0</v>
      </c>
      <c r="B11" s="32"/>
      <c r="C11" s="198" t="s">
        <v>386</v>
      </c>
      <c r="D11" s="22">
        <f t="shared" si="2"/>
        <v>5.404166667</v>
      </c>
      <c r="E11" s="244"/>
      <c r="F11" s="244"/>
      <c r="G11" s="222">
        <v>0.35694444444444445</v>
      </c>
      <c r="H11" s="116">
        <v>0.3590277777777778</v>
      </c>
      <c r="I11" s="116">
        <v>0.35625</v>
      </c>
      <c r="J11" s="116">
        <v>0.33958333333333335</v>
      </c>
      <c r="K11" s="223" t="s">
        <v>316</v>
      </c>
      <c r="L11" s="244"/>
      <c r="M11" s="244"/>
      <c r="N11" s="222">
        <v>0.3701388888888889</v>
      </c>
      <c r="O11" s="224">
        <v>0.3645833333333333</v>
      </c>
      <c r="P11" s="222">
        <v>0.37083333333333335</v>
      </c>
      <c r="Q11" s="222">
        <v>0.35208333333333336</v>
      </c>
      <c r="R11" s="223" t="s">
        <v>316</v>
      </c>
      <c r="S11" s="221"/>
      <c r="T11" s="221"/>
      <c r="U11" s="222">
        <v>0.35208333333333336</v>
      </c>
      <c r="V11" s="222">
        <v>0.35347222222222224</v>
      </c>
      <c r="W11" s="222">
        <v>0.3701388888888889</v>
      </c>
      <c r="X11" s="223" t="s">
        <v>432</v>
      </c>
      <c r="Y11" s="223" t="s">
        <v>316</v>
      </c>
      <c r="Z11" s="244"/>
      <c r="AA11" s="244"/>
      <c r="AB11" s="222">
        <v>0.3541666666666667</v>
      </c>
      <c r="AC11" s="222">
        <v>0.36319444444444443</v>
      </c>
      <c r="AD11" s="222">
        <v>0.35347222222222224</v>
      </c>
      <c r="AE11" s="222">
        <v>0.38819444444444445</v>
      </c>
      <c r="AF11" s="223" t="s">
        <v>316</v>
      </c>
      <c r="AG11" s="244"/>
      <c r="AH11" s="244"/>
    </row>
    <row r="12">
      <c r="A12" s="252">
        <v>10.0</v>
      </c>
      <c r="B12" s="32"/>
      <c r="C12" s="198" t="s">
        <v>387</v>
      </c>
      <c r="D12" s="22">
        <f t="shared" si="2"/>
        <v>5.559722222</v>
      </c>
      <c r="E12" s="244"/>
      <c r="F12" s="244"/>
      <c r="G12" s="222">
        <v>0.3527777777777778</v>
      </c>
      <c r="H12" s="116">
        <v>0.3506944444444444</v>
      </c>
      <c r="I12" s="116">
        <v>0.37430555555555556</v>
      </c>
      <c r="J12" s="116">
        <v>0.33055555555555555</v>
      </c>
      <c r="K12" s="223" t="s">
        <v>316</v>
      </c>
      <c r="L12" s="244"/>
      <c r="M12" s="244"/>
      <c r="N12" s="222">
        <v>0.3763888888888889</v>
      </c>
      <c r="O12" s="224">
        <v>0.4215277777777778</v>
      </c>
      <c r="P12" s="222">
        <v>0.33819444444444446</v>
      </c>
      <c r="Q12" s="222">
        <v>0.3625</v>
      </c>
      <c r="R12" s="223" t="s">
        <v>316</v>
      </c>
      <c r="S12" s="221"/>
      <c r="T12" s="221"/>
      <c r="U12" s="222">
        <v>0.38819444444444445</v>
      </c>
      <c r="V12" s="224">
        <v>0.16666666666666666</v>
      </c>
      <c r="W12" s="222">
        <v>0.36666666666666664</v>
      </c>
      <c r="X12" s="222">
        <v>0.3451388888888889</v>
      </c>
      <c r="Y12" s="223" t="s">
        <v>316</v>
      </c>
      <c r="Z12" s="244"/>
      <c r="AA12" s="244"/>
      <c r="AB12" s="222">
        <v>0.35694444444444445</v>
      </c>
      <c r="AC12" s="222">
        <v>0.3284722222222222</v>
      </c>
      <c r="AD12" s="222">
        <v>0.3541666666666667</v>
      </c>
      <c r="AE12" s="222">
        <v>0.34652777777777777</v>
      </c>
      <c r="AF12" s="223" t="s">
        <v>316</v>
      </c>
      <c r="AG12" s="244"/>
      <c r="AH12" s="244"/>
    </row>
    <row r="13">
      <c r="A13" s="252">
        <v>11.0</v>
      </c>
      <c r="B13" s="32"/>
      <c r="C13" s="198" t="s">
        <v>389</v>
      </c>
      <c r="D13" s="22">
        <f t="shared" si="2"/>
        <v>6.005555556</v>
      </c>
      <c r="E13" s="244"/>
      <c r="F13" s="244"/>
      <c r="G13" s="222">
        <v>0.4131944444444444</v>
      </c>
      <c r="H13" s="116">
        <v>0.3770833333333333</v>
      </c>
      <c r="I13" s="116">
        <v>0.3770833333333333</v>
      </c>
      <c r="J13" s="116">
        <v>0.40347222222222223</v>
      </c>
      <c r="K13" s="223" t="s">
        <v>316</v>
      </c>
      <c r="L13" s="244"/>
      <c r="M13" s="244"/>
      <c r="N13" s="222">
        <v>0.3763888888888889</v>
      </c>
      <c r="O13" s="224">
        <v>0.37430555555555556</v>
      </c>
      <c r="P13" s="222">
        <v>0.38472222222222224</v>
      </c>
      <c r="Q13" s="222">
        <v>0.3923611111111111</v>
      </c>
      <c r="R13" s="223" t="s">
        <v>316</v>
      </c>
      <c r="S13" s="221"/>
      <c r="T13" s="221"/>
      <c r="U13" s="222">
        <v>0.42916666666666664</v>
      </c>
      <c r="V13" s="222">
        <v>0.35</v>
      </c>
      <c r="W13" s="222">
        <v>0.3902777777777778</v>
      </c>
      <c r="X13" s="222">
        <v>0.29305555555555557</v>
      </c>
      <c r="Y13" s="223" t="s">
        <v>316</v>
      </c>
      <c r="Z13" s="244"/>
      <c r="AA13" s="244"/>
      <c r="AB13" s="222">
        <v>0.34791666666666665</v>
      </c>
      <c r="AC13" s="222">
        <v>0.40694444444444444</v>
      </c>
      <c r="AD13" s="222">
        <v>0.3284722222222222</v>
      </c>
      <c r="AE13" s="222">
        <v>0.3611111111111111</v>
      </c>
      <c r="AF13" s="223" t="s">
        <v>316</v>
      </c>
      <c r="AG13" s="244"/>
      <c r="AH13" s="244"/>
    </row>
    <row r="14">
      <c r="A14" s="253">
        <v>12.0</v>
      </c>
      <c r="B14" s="32"/>
      <c r="C14" s="198" t="s">
        <v>391</v>
      </c>
      <c r="D14" s="22">
        <f t="shared" si="2"/>
        <v>7.916666667</v>
      </c>
      <c r="E14" s="244"/>
      <c r="F14" s="244"/>
      <c r="G14" s="222">
        <v>0.3840277777777778</v>
      </c>
      <c r="H14" s="116">
        <v>0.45416666666666666</v>
      </c>
      <c r="I14" s="116">
        <v>0.39375</v>
      </c>
      <c r="J14" s="116">
        <v>0.40625</v>
      </c>
      <c r="K14" s="222">
        <v>0.19652777777777777</v>
      </c>
      <c r="L14" s="244"/>
      <c r="M14" s="244"/>
      <c r="N14" s="222">
        <v>0.41180555555555554</v>
      </c>
      <c r="O14" s="224">
        <v>0.41805555555555557</v>
      </c>
      <c r="P14" s="222">
        <v>0.4465277777777778</v>
      </c>
      <c r="Q14" s="222">
        <v>0.39444444444444443</v>
      </c>
      <c r="R14" s="222">
        <v>0.43125</v>
      </c>
      <c r="S14" s="221"/>
      <c r="T14" s="221"/>
      <c r="U14" s="222">
        <v>0.4444444444444444</v>
      </c>
      <c r="V14" s="222">
        <v>0.42777777777777776</v>
      </c>
      <c r="W14" s="222">
        <v>0.3736111111111111</v>
      </c>
      <c r="X14" s="222">
        <v>0.37222222222222223</v>
      </c>
      <c r="Y14" s="222">
        <v>0.44305555555555554</v>
      </c>
      <c r="Z14" s="244"/>
      <c r="AA14" s="244"/>
      <c r="AB14" s="222">
        <v>0.3736111111111111</v>
      </c>
      <c r="AC14" s="222">
        <v>0.3861111111111111</v>
      </c>
      <c r="AD14" s="222">
        <v>0.3958333333333333</v>
      </c>
      <c r="AE14" s="222">
        <v>0.38125</v>
      </c>
      <c r="AF14" s="222">
        <v>0.3819444444444444</v>
      </c>
      <c r="AG14" s="244"/>
      <c r="AH14" s="244"/>
    </row>
    <row r="15">
      <c r="A15" s="252">
        <v>13.0</v>
      </c>
      <c r="B15" s="32"/>
      <c r="C15" s="198" t="s">
        <v>392</v>
      </c>
      <c r="D15" s="22">
        <f t="shared" si="2"/>
        <v>6.06875</v>
      </c>
      <c r="E15" s="244"/>
      <c r="F15" s="244"/>
      <c r="G15" s="222">
        <v>0.36041666666666666</v>
      </c>
      <c r="H15" s="114" t="s">
        <v>401</v>
      </c>
      <c r="I15" s="116">
        <v>0.4388888888888889</v>
      </c>
      <c r="J15" s="116">
        <v>0.4708333333333333</v>
      </c>
      <c r="K15" s="224">
        <v>0.38819444444444445</v>
      </c>
      <c r="L15" s="244"/>
      <c r="M15" s="244"/>
      <c r="N15" s="222">
        <v>0.31527777777777777</v>
      </c>
      <c r="O15" s="224">
        <v>0.43819444444444444</v>
      </c>
      <c r="P15" s="223" t="s">
        <v>330</v>
      </c>
      <c r="Q15" s="222">
        <v>0.41388888888888886</v>
      </c>
      <c r="R15" s="222">
        <v>0.3138888888888889</v>
      </c>
      <c r="S15" s="221"/>
      <c r="T15" s="221"/>
      <c r="U15" s="222">
        <v>0.3715277777777778</v>
      </c>
      <c r="V15" s="222">
        <v>0.4263888888888889</v>
      </c>
      <c r="W15" s="224">
        <v>0.16666666666666666</v>
      </c>
      <c r="X15" s="223" t="s">
        <v>330</v>
      </c>
      <c r="Y15" s="222">
        <v>0.3548611111111111</v>
      </c>
      <c r="Z15" s="244"/>
      <c r="AA15" s="244"/>
      <c r="AB15" s="222">
        <v>0.3020833333333333</v>
      </c>
      <c r="AC15" s="222">
        <v>0.4444444444444444</v>
      </c>
      <c r="AD15" s="224">
        <v>0.3784722222222222</v>
      </c>
      <c r="AE15" s="222">
        <v>0.31805555555555554</v>
      </c>
      <c r="AF15" s="224">
        <v>0.16666666666666666</v>
      </c>
      <c r="AG15" s="244"/>
      <c r="AH15" s="244"/>
    </row>
    <row r="16">
      <c r="A16" s="252">
        <v>14.0</v>
      </c>
      <c r="B16" s="32"/>
      <c r="C16" s="200" t="s">
        <v>403</v>
      </c>
      <c r="D16" s="22">
        <f t="shared" si="2"/>
        <v>5.971527778</v>
      </c>
      <c r="E16" s="244"/>
      <c r="F16" s="244"/>
      <c r="G16" s="222">
        <v>0.38263888888888886</v>
      </c>
      <c r="H16" s="116">
        <v>0.33055555555555555</v>
      </c>
      <c r="I16" s="114" t="s">
        <v>316</v>
      </c>
      <c r="J16" s="114" t="s">
        <v>316</v>
      </c>
      <c r="K16" s="223" t="s">
        <v>316</v>
      </c>
      <c r="L16" s="244"/>
      <c r="M16" s="244"/>
      <c r="N16" s="222">
        <v>0.3736111111111111</v>
      </c>
      <c r="O16" s="224">
        <v>0.3888888888888889</v>
      </c>
      <c r="P16" s="222">
        <v>0.3798611111111111</v>
      </c>
      <c r="Q16" s="222">
        <v>0.3840277777777778</v>
      </c>
      <c r="R16" s="222">
        <v>0.3770833333333333</v>
      </c>
      <c r="S16" s="221"/>
      <c r="T16" s="221"/>
      <c r="U16" s="222">
        <v>0.3798611111111111</v>
      </c>
      <c r="V16" s="222">
        <v>0.2</v>
      </c>
      <c r="W16" s="222">
        <v>0.38333333333333336</v>
      </c>
      <c r="X16" s="224">
        <v>0.37083333333333335</v>
      </c>
      <c r="Y16" s="222">
        <v>0.3715277777777778</v>
      </c>
      <c r="Z16" s="244"/>
      <c r="AA16" s="244"/>
      <c r="AB16" s="222">
        <v>0.3638888888888889</v>
      </c>
      <c r="AC16" s="222">
        <v>0.36666666666666664</v>
      </c>
      <c r="AD16" s="222">
        <v>0.42291666666666666</v>
      </c>
      <c r="AE16" s="222">
        <v>0.49583333333333335</v>
      </c>
      <c r="AF16" s="223" t="s">
        <v>271</v>
      </c>
      <c r="AG16" s="244"/>
      <c r="AH16" s="244"/>
    </row>
    <row r="17">
      <c r="A17" s="253">
        <v>15.0</v>
      </c>
      <c r="B17" s="32"/>
      <c r="C17" s="200" t="s">
        <v>404</v>
      </c>
      <c r="D17" s="22">
        <f t="shared" si="2"/>
        <v>7.340972222</v>
      </c>
      <c r="E17" s="244"/>
      <c r="F17" s="244"/>
      <c r="G17" s="224">
        <v>0.3645833333333333</v>
      </c>
      <c r="H17" s="117">
        <v>0.36041666666666666</v>
      </c>
      <c r="I17" s="117">
        <v>0.3659722222222222</v>
      </c>
      <c r="J17" s="117">
        <v>0.3736111111111111</v>
      </c>
      <c r="K17" s="224">
        <v>0.2513888888888889</v>
      </c>
      <c r="L17" s="244"/>
      <c r="M17" s="244"/>
      <c r="N17" s="224">
        <v>0.38055555555555554</v>
      </c>
      <c r="O17" s="224">
        <v>0.36319444444444443</v>
      </c>
      <c r="P17" s="222">
        <v>0.37777777777777777</v>
      </c>
      <c r="Q17" s="222">
        <v>0.36944444444444446</v>
      </c>
      <c r="R17" s="222">
        <v>0.37569444444444444</v>
      </c>
      <c r="S17" s="221"/>
      <c r="T17" s="221"/>
      <c r="U17" s="222">
        <v>0.3701388888888889</v>
      </c>
      <c r="V17" s="222">
        <v>0.38125</v>
      </c>
      <c r="W17" s="222">
        <v>0.39375</v>
      </c>
      <c r="X17" s="222">
        <v>0.37083333333333335</v>
      </c>
      <c r="Y17" s="222">
        <v>0.3680555555555556</v>
      </c>
      <c r="Z17" s="244"/>
      <c r="AA17" s="244"/>
      <c r="AB17" s="224">
        <v>0.3736111111111111</v>
      </c>
      <c r="AC17" s="224">
        <v>0.3770833333333333</v>
      </c>
      <c r="AD17" s="224">
        <v>0.3680555555555556</v>
      </c>
      <c r="AE17" s="224">
        <v>0.37569444444444444</v>
      </c>
      <c r="AF17" s="224">
        <v>0.3798611111111111</v>
      </c>
      <c r="AG17" s="244"/>
      <c r="AH17" s="244"/>
    </row>
    <row r="18">
      <c r="A18" s="252">
        <v>16.0</v>
      </c>
      <c r="B18" s="32"/>
      <c r="C18" s="200" t="s">
        <v>405</v>
      </c>
      <c r="D18" s="22">
        <f t="shared" si="2"/>
        <v>4.772222222</v>
      </c>
      <c r="E18" s="244"/>
      <c r="F18" s="244"/>
      <c r="G18" s="223" t="s">
        <v>315</v>
      </c>
      <c r="H18" s="117">
        <v>0.16666666666666666</v>
      </c>
      <c r="I18" s="116">
        <v>0.36041666666666666</v>
      </c>
      <c r="J18" s="117">
        <v>0.21319444444444444</v>
      </c>
      <c r="K18" s="222">
        <v>0.34444444444444444</v>
      </c>
      <c r="L18" s="244"/>
      <c r="M18" s="244"/>
      <c r="N18" s="223" t="s">
        <v>315</v>
      </c>
      <c r="O18" s="224">
        <v>0.35347222222222224</v>
      </c>
      <c r="P18" s="222">
        <v>0.3576388888888889</v>
      </c>
      <c r="Q18" s="222">
        <v>0.35694444444444445</v>
      </c>
      <c r="R18" s="222">
        <v>0.3347222222222222</v>
      </c>
      <c r="S18" s="221"/>
      <c r="T18" s="221"/>
      <c r="U18" s="222">
        <v>0.3194444444444444</v>
      </c>
      <c r="V18" s="222">
        <v>0.31527777777777777</v>
      </c>
      <c r="W18" s="223" t="s">
        <v>315</v>
      </c>
      <c r="X18" s="222">
        <v>0.3854166666666667</v>
      </c>
      <c r="Y18" s="222">
        <v>0.35833333333333334</v>
      </c>
      <c r="Z18" s="244"/>
      <c r="AA18" s="244"/>
      <c r="AB18" s="222">
        <v>0.36180555555555555</v>
      </c>
      <c r="AC18" s="222">
        <v>0.3701388888888889</v>
      </c>
      <c r="AD18" s="222">
        <v>0.17430555555555555</v>
      </c>
      <c r="AE18" s="223" t="s">
        <v>433</v>
      </c>
      <c r="AF18" s="223" t="s">
        <v>433</v>
      </c>
      <c r="AG18" s="244"/>
      <c r="AH18" s="244"/>
    </row>
    <row r="19">
      <c r="A19" s="252">
        <v>17.0</v>
      </c>
      <c r="B19" s="32"/>
      <c r="C19" s="200" t="s">
        <v>406</v>
      </c>
      <c r="D19" s="22">
        <f t="shared" si="2"/>
        <v>5.420138889</v>
      </c>
      <c r="E19" s="244"/>
      <c r="F19" s="244"/>
      <c r="G19" s="223" t="s">
        <v>316</v>
      </c>
      <c r="H19" s="116">
        <v>0.41805555555555557</v>
      </c>
      <c r="I19" s="116">
        <v>0.35694444444444445</v>
      </c>
      <c r="J19" s="116">
        <v>0.38333333333333336</v>
      </c>
      <c r="K19" s="223" t="s">
        <v>316</v>
      </c>
      <c r="L19" s="244"/>
      <c r="M19" s="244"/>
      <c r="N19" s="222">
        <v>0.36319444444444443</v>
      </c>
      <c r="O19" s="224">
        <v>0.3506944444444444</v>
      </c>
      <c r="P19" s="222">
        <v>0.38472222222222224</v>
      </c>
      <c r="Q19" s="222">
        <v>0.43333333333333335</v>
      </c>
      <c r="R19" s="223" t="s">
        <v>316</v>
      </c>
      <c r="S19" s="221"/>
      <c r="T19" s="221"/>
      <c r="U19" s="222">
        <v>0.37777777777777777</v>
      </c>
      <c r="V19" s="222">
        <v>0.4131944444444444</v>
      </c>
      <c r="W19" s="222">
        <v>0.3784722222222222</v>
      </c>
      <c r="X19" s="223" t="s">
        <v>316</v>
      </c>
      <c r="Y19" s="223" t="s">
        <v>316</v>
      </c>
      <c r="Z19" s="244"/>
      <c r="AA19" s="244"/>
      <c r="AB19" s="222">
        <v>0.39791666666666664</v>
      </c>
      <c r="AC19" s="222">
        <v>0.37916666666666665</v>
      </c>
      <c r="AD19" s="222">
        <v>0.3548611111111111</v>
      </c>
      <c r="AE19" s="222">
        <v>0.4284722222222222</v>
      </c>
      <c r="AF19" s="223" t="s">
        <v>316</v>
      </c>
      <c r="AG19" s="244"/>
      <c r="AH19" s="244"/>
    </row>
    <row r="20">
      <c r="A20" s="253">
        <v>18.0</v>
      </c>
      <c r="B20" s="32"/>
      <c r="C20" s="200" t="s">
        <v>407</v>
      </c>
      <c r="D20" s="22">
        <f t="shared" si="2"/>
        <v>7.374305556</v>
      </c>
      <c r="E20" s="244"/>
      <c r="F20" s="244"/>
      <c r="G20" s="222">
        <v>0.37569444444444444</v>
      </c>
      <c r="H20" s="116">
        <v>0.3923611111111111</v>
      </c>
      <c r="I20" s="116">
        <v>0.37222222222222223</v>
      </c>
      <c r="J20" s="116">
        <v>0.33402777777777776</v>
      </c>
      <c r="K20" s="224">
        <v>0.3951388888888889</v>
      </c>
      <c r="L20" s="244"/>
      <c r="M20" s="244"/>
      <c r="N20" s="222">
        <v>0.38125</v>
      </c>
      <c r="O20" s="224">
        <v>0.38125</v>
      </c>
      <c r="P20" s="222">
        <v>0.3993055555555556</v>
      </c>
      <c r="Q20" s="222">
        <v>0.3888888888888889</v>
      </c>
      <c r="R20" s="222">
        <v>0.37222222222222223</v>
      </c>
      <c r="S20" s="221"/>
      <c r="T20" s="221"/>
      <c r="U20" s="222">
        <v>0.38819444444444445</v>
      </c>
      <c r="V20" s="222">
        <v>0.39375</v>
      </c>
      <c r="W20" s="224">
        <v>0.16666666666666666</v>
      </c>
      <c r="X20" s="222">
        <v>0.3854166666666667</v>
      </c>
      <c r="Y20" s="222">
        <v>0.3770833333333333</v>
      </c>
      <c r="Z20" s="244"/>
      <c r="AA20" s="244"/>
      <c r="AB20" s="222">
        <v>0.3784722222222222</v>
      </c>
      <c r="AC20" s="222">
        <v>0.3770833333333333</v>
      </c>
      <c r="AD20" s="222">
        <v>0.3736111111111111</v>
      </c>
      <c r="AE20" s="222">
        <v>0.35833333333333334</v>
      </c>
      <c r="AF20" s="222">
        <v>0.38333333333333336</v>
      </c>
      <c r="AG20" s="244"/>
      <c r="AH20" s="244"/>
    </row>
    <row r="21">
      <c r="A21" s="252">
        <v>19.0</v>
      </c>
      <c r="B21" s="32"/>
      <c r="C21" s="200" t="s">
        <v>408</v>
      </c>
      <c r="D21" s="22">
        <f t="shared" si="2"/>
        <v>7.724305556</v>
      </c>
      <c r="E21" s="244"/>
      <c r="F21" s="244"/>
      <c r="G21" s="222">
        <v>0.41597222222222224</v>
      </c>
      <c r="H21" s="116">
        <v>0.35208333333333336</v>
      </c>
      <c r="I21" s="116">
        <v>0.39652777777777776</v>
      </c>
      <c r="J21" s="116">
        <v>0.36944444444444446</v>
      </c>
      <c r="K21" s="222">
        <v>0.4</v>
      </c>
      <c r="L21" s="244"/>
      <c r="M21" s="244"/>
      <c r="N21" s="222">
        <v>0.35625</v>
      </c>
      <c r="O21" s="224">
        <v>0.47708333333333336</v>
      </c>
      <c r="P21" s="222">
        <v>0.31527777777777777</v>
      </c>
      <c r="Q21" s="222">
        <v>0.35833333333333334</v>
      </c>
      <c r="R21" s="222">
        <v>0.3486111111111111</v>
      </c>
      <c r="S21" s="221"/>
      <c r="T21" s="221"/>
      <c r="U21" s="222">
        <v>0.3909722222222222</v>
      </c>
      <c r="V21" s="222">
        <v>0.4270833333333333</v>
      </c>
      <c r="W21" s="222">
        <v>0.41805555555555557</v>
      </c>
      <c r="X21" s="222">
        <v>0.32430555555555557</v>
      </c>
      <c r="Y21" s="222">
        <v>0.4340277777777778</v>
      </c>
      <c r="Z21" s="244"/>
      <c r="AA21" s="244"/>
      <c r="AB21" s="222">
        <v>0.3736111111111111</v>
      </c>
      <c r="AC21" s="222">
        <v>0.3611111111111111</v>
      </c>
      <c r="AD21" s="222">
        <v>0.4625</v>
      </c>
      <c r="AE21" s="222">
        <v>0.34930555555555554</v>
      </c>
      <c r="AF21" s="222">
        <v>0.39375</v>
      </c>
      <c r="AG21" s="244"/>
      <c r="AH21" s="244"/>
    </row>
    <row r="22">
      <c r="A22" s="252">
        <v>20.0</v>
      </c>
      <c r="B22" s="32"/>
      <c r="C22" s="200" t="s">
        <v>423</v>
      </c>
      <c r="D22" s="22">
        <f t="shared" si="2"/>
        <v>6.882638889</v>
      </c>
      <c r="E22" s="244"/>
      <c r="F22" s="244"/>
      <c r="G22" s="222">
        <v>0.38263888888888886</v>
      </c>
      <c r="H22" s="116">
        <v>0.3798611111111111</v>
      </c>
      <c r="I22" s="117">
        <v>0.16666666666666666</v>
      </c>
      <c r="J22" s="116">
        <v>0.3472222222222222</v>
      </c>
      <c r="K22" s="222">
        <v>0.3875</v>
      </c>
      <c r="L22" s="244"/>
      <c r="M22" s="244"/>
      <c r="N22" s="222">
        <v>0.37430555555555556</v>
      </c>
      <c r="O22" s="224">
        <v>0.37569444444444444</v>
      </c>
      <c r="P22" s="222">
        <v>0.38680555555555557</v>
      </c>
      <c r="Q22" s="222">
        <v>0.30833333333333335</v>
      </c>
      <c r="R22" s="222">
        <v>0.4013888888888889</v>
      </c>
      <c r="S22" s="221"/>
      <c r="T22" s="221"/>
      <c r="U22" s="222">
        <v>0.3715277777777778</v>
      </c>
      <c r="V22" s="222">
        <v>0.3701388888888889</v>
      </c>
      <c r="W22" s="224">
        <v>0.3645833333333333</v>
      </c>
      <c r="X22" s="222">
        <v>0.34444444444444444</v>
      </c>
      <c r="Y22" s="222">
        <v>0.31319444444444444</v>
      </c>
      <c r="Z22" s="244"/>
      <c r="AA22" s="244"/>
      <c r="AB22" s="224">
        <v>0.16666666666666666</v>
      </c>
      <c r="AC22" s="222">
        <v>0.3284722222222222</v>
      </c>
      <c r="AD22" s="222">
        <v>0.38125</v>
      </c>
      <c r="AE22" s="222">
        <v>0.37083333333333335</v>
      </c>
      <c r="AF22" s="224">
        <v>0.3611111111111111</v>
      </c>
      <c r="AG22" s="244"/>
      <c r="AH22" s="244"/>
    </row>
    <row r="23">
      <c r="A23" s="253">
        <v>21.0</v>
      </c>
      <c r="B23" s="32"/>
      <c r="C23" s="200" t="s">
        <v>424</v>
      </c>
      <c r="D23" s="22">
        <f t="shared" si="2"/>
        <v>5.608333333</v>
      </c>
      <c r="E23" s="244"/>
      <c r="F23" s="244"/>
      <c r="G23" s="222">
        <v>0.3263888888888889</v>
      </c>
      <c r="H23" s="116">
        <v>0.3784722222222222</v>
      </c>
      <c r="I23" s="116">
        <v>0.4340277777777778</v>
      </c>
      <c r="J23" s="116">
        <v>0.41388888888888886</v>
      </c>
      <c r="K23" s="223" t="s">
        <v>316</v>
      </c>
      <c r="L23" s="244"/>
      <c r="M23" s="244"/>
      <c r="N23" s="222">
        <v>0.33541666666666664</v>
      </c>
      <c r="O23" s="224">
        <v>0.4131944444444444</v>
      </c>
      <c r="P23" s="222">
        <v>0.3527777777777778</v>
      </c>
      <c r="Q23" s="222">
        <v>0.4173611111111111</v>
      </c>
      <c r="R23" s="223" t="s">
        <v>316</v>
      </c>
      <c r="S23" s="221"/>
      <c r="T23" s="221"/>
      <c r="U23" s="222">
        <v>0.4083333333333333</v>
      </c>
      <c r="V23" s="222">
        <v>0.36041666666666666</v>
      </c>
      <c r="W23" s="222">
        <v>0.35833333333333334</v>
      </c>
      <c r="X23" s="222">
        <v>0.3020833333333333</v>
      </c>
      <c r="Y23" s="223" t="s">
        <v>316</v>
      </c>
      <c r="Z23" s="244"/>
      <c r="AA23" s="244"/>
      <c r="AB23" s="222">
        <v>0.33402777777777776</v>
      </c>
      <c r="AC23" s="222">
        <v>0.4388888888888889</v>
      </c>
      <c r="AD23" s="223" t="s">
        <v>316</v>
      </c>
      <c r="AE23" s="222">
        <v>0.3347222222222222</v>
      </c>
      <c r="AF23" s="223" t="s">
        <v>316</v>
      </c>
      <c r="AG23" s="244"/>
      <c r="AH23" s="244"/>
    </row>
    <row r="24">
      <c r="A24" s="252">
        <v>22.0</v>
      </c>
      <c r="B24" s="32"/>
      <c r="C24" s="200" t="s">
        <v>426</v>
      </c>
      <c r="D24" s="22">
        <f t="shared" si="2"/>
        <v>7.438888889</v>
      </c>
      <c r="E24" s="244"/>
      <c r="F24" s="244"/>
      <c r="G24" s="222">
        <v>0.37430555555555556</v>
      </c>
      <c r="H24" s="116">
        <v>0.3680555555555556</v>
      </c>
      <c r="I24" s="116">
        <v>0.3701388888888889</v>
      </c>
      <c r="J24" s="116">
        <v>0.37222222222222223</v>
      </c>
      <c r="K24" s="222">
        <v>0.41041666666666665</v>
      </c>
      <c r="L24" s="244"/>
      <c r="M24" s="244"/>
      <c r="N24" s="222">
        <v>0.36666666666666664</v>
      </c>
      <c r="O24" s="224">
        <v>0.3625</v>
      </c>
      <c r="P24" s="222">
        <v>0.3701388888888889</v>
      </c>
      <c r="Q24" s="222">
        <v>0.36736111111111114</v>
      </c>
      <c r="R24" s="222">
        <v>0.38055555555555554</v>
      </c>
      <c r="S24" s="221"/>
      <c r="T24" s="221"/>
      <c r="U24" s="222">
        <v>0.36319444444444443</v>
      </c>
      <c r="V24" s="222">
        <v>0.375</v>
      </c>
      <c r="W24" s="222">
        <v>0.3875</v>
      </c>
      <c r="X24" s="222">
        <v>0.38125</v>
      </c>
      <c r="Y24" s="222">
        <v>0.37569444444444444</v>
      </c>
      <c r="Z24" s="244"/>
      <c r="AA24" s="244"/>
      <c r="AB24" s="222">
        <v>0.3736111111111111</v>
      </c>
      <c r="AC24" s="222">
        <v>0.37430555555555556</v>
      </c>
      <c r="AD24" s="222">
        <v>0.37916666666666665</v>
      </c>
      <c r="AE24" s="222">
        <v>0.3861111111111111</v>
      </c>
      <c r="AF24" s="222">
        <v>0.30069444444444443</v>
      </c>
      <c r="AG24" s="244"/>
      <c r="AH24" s="244"/>
    </row>
    <row r="25">
      <c r="A25" s="252">
        <v>23.0</v>
      </c>
      <c r="B25" s="32"/>
      <c r="C25" s="200" t="s">
        <v>427</v>
      </c>
      <c r="D25" s="22">
        <f t="shared" si="2"/>
        <v>7.304166667</v>
      </c>
      <c r="E25" s="244"/>
      <c r="F25" s="244"/>
      <c r="G25" s="222">
        <v>0.3659722222222222</v>
      </c>
      <c r="H25" s="116">
        <v>0.3715277777777778</v>
      </c>
      <c r="I25" s="116">
        <v>0.3701388888888889</v>
      </c>
      <c r="J25" s="117">
        <v>0.16666666666666666</v>
      </c>
      <c r="K25" s="222">
        <v>0.37430555555555556</v>
      </c>
      <c r="L25" s="244"/>
      <c r="M25" s="244"/>
      <c r="N25" s="222">
        <v>0.36944444444444446</v>
      </c>
      <c r="O25" s="224">
        <v>0.37569444444444444</v>
      </c>
      <c r="P25" s="222">
        <v>0.38333333333333336</v>
      </c>
      <c r="Q25" s="222">
        <v>0.3770833333333333</v>
      </c>
      <c r="R25" s="222">
        <v>0.3784722222222222</v>
      </c>
      <c r="S25" s="221"/>
      <c r="T25" s="221"/>
      <c r="U25" s="222">
        <v>0.375</v>
      </c>
      <c r="V25" s="222">
        <v>0.3958333333333333</v>
      </c>
      <c r="W25" s="222">
        <v>0.3819444444444444</v>
      </c>
      <c r="X25" s="222">
        <v>0.37430555555555556</v>
      </c>
      <c r="Y25" s="222">
        <v>0.3784722222222222</v>
      </c>
      <c r="Z25" s="244"/>
      <c r="AA25" s="244"/>
      <c r="AB25" s="222">
        <v>0.3659722222222222</v>
      </c>
      <c r="AC25" s="222">
        <v>0.38055555555555554</v>
      </c>
      <c r="AD25" s="222">
        <v>0.36944444444444446</v>
      </c>
      <c r="AE25" s="222">
        <v>0.3701388888888889</v>
      </c>
      <c r="AF25" s="222">
        <v>0.3798611111111111</v>
      </c>
      <c r="AG25" s="244"/>
      <c r="AH25" s="244"/>
    </row>
    <row r="26">
      <c r="A26" s="253">
        <v>24.0</v>
      </c>
      <c r="B26" s="32"/>
      <c r="C26" s="200" t="s">
        <v>409</v>
      </c>
      <c r="D26" s="22">
        <f t="shared" si="2"/>
        <v>7.136805556</v>
      </c>
      <c r="E26" s="244"/>
      <c r="F26" s="244"/>
      <c r="G26" s="222">
        <v>0.36527777777777776</v>
      </c>
      <c r="H26" s="116">
        <v>0.3638888888888889</v>
      </c>
      <c r="I26" s="116">
        <v>0.3680555555555556</v>
      </c>
      <c r="J26" s="116">
        <v>0.37083333333333335</v>
      </c>
      <c r="K26" s="222">
        <v>0.31180555555555556</v>
      </c>
      <c r="L26" s="244"/>
      <c r="M26" s="244"/>
      <c r="N26" s="222">
        <v>0.2951388888888889</v>
      </c>
      <c r="O26" s="224">
        <v>0.37569444444444444</v>
      </c>
      <c r="P26" s="222">
        <v>0.36736111111111114</v>
      </c>
      <c r="Q26" s="222">
        <v>0.36736111111111114</v>
      </c>
      <c r="R26" s="222">
        <v>0.3638888888888889</v>
      </c>
      <c r="S26" s="221"/>
      <c r="T26" s="221"/>
      <c r="U26" s="222">
        <v>0.3625</v>
      </c>
      <c r="V26" s="222">
        <v>0.36319444444444443</v>
      </c>
      <c r="W26" s="222">
        <v>0.37777777777777777</v>
      </c>
      <c r="X26" s="222">
        <v>0.3729166666666667</v>
      </c>
      <c r="Y26" s="222">
        <v>0.3125</v>
      </c>
      <c r="Z26" s="244"/>
      <c r="AA26" s="244"/>
      <c r="AB26" s="222">
        <v>0.30833333333333335</v>
      </c>
      <c r="AC26" s="222">
        <v>0.3729166666666667</v>
      </c>
      <c r="AD26" s="222">
        <v>0.3736111111111111</v>
      </c>
      <c r="AE26" s="222">
        <v>0.3729166666666667</v>
      </c>
      <c r="AF26" s="222">
        <v>0.37083333333333335</v>
      </c>
      <c r="AG26" s="244"/>
      <c r="AH26" s="244"/>
    </row>
    <row r="27">
      <c r="A27" s="252">
        <v>25.0</v>
      </c>
      <c r="B27" s="32"/>
      <c r="C27" s="200" t="s">
        <v>434</v>
      </c>
      <c r="D27" s="22">
        <f t="shared" si="2"/>
        <v>3.679166667</v>
      </c>
      <c r="E27" s="244"/>
      <c r="F27" s="244"/>
      <c r="G27" s="223" t="s">
        <v>425</v>
      </c>
      <c r="H27" s="114" t="s">
        <v>425</v>
      </c>
      <c r="I27" s="114" t="s">
        <v>425</v>
      </c>
      <c r="J27" s="114" t="s">
        <v>425</v>
      </c>
      <c r="K27" s="223" t="s">
        <v>425</v>
      </c>
      <c r="L27" s="244"/>
      <c r="M27" s="244"/>
      <c r="N27" s="223" t="s">
        <v>425</v>
      </c>
      <c r="O27" s="223" t="s">
        <v>425</v>
      </c>
      <c r="P27" s="223" t="s">
        <v>425</v>
      </c>
      <c r="Q27" s="223" t="s">
        <v>425</v>
      </c>
      <c r="R27" s="223" t="s">
        <v>425</v>
      </c>
      <c r="S27" s="221"/>
      <c r="T27" s="221"/>
      <c r="U27" s="222">
        <v>0.3284722222222222</v>
      </c>
      <c r="V27" s="222">
        <v>0.38263888888888886</v>
      </c>
      <c r="W27" s="222">
        <v>0.3763888888888889</v>
      </c>
      <c r="X27" s="222">
        <v>0.40555555555555556</v>
      </c>
      <c r="Y27" s="222">
        <v>0.3875</v>
      </c>
      <c r="Z27" s="244"/>
      <c r="AA27" s="244"/>
      <c r="AB27" s="222">
        <v>0.40069444444444446</v>
      </c>
      <c r="AC27" s="222">
        <v>0.38472222222222224</v>
      </c>
      <c r="AD27" s="224">
        <v>0.16666666666666666</v>
      </c>
      <c r="AE27" s="222">
        <v>0.40555555555555556</v>
      </c>
      <c r="AF27" s="222">
        <v>0.4409722222222222</v>
      </c>
      <c r="AG27" s="244"/>
      <c r="AH27" s="244"/>
    </row>
    <row r="28">
      <c r="A28" s="252">
        <v>26.0</v>
      </c>
      <c r="B28" s="153" t="s">
        <v>274</v>
      </c>
      <c r="C28" s="201" t="s">
        <v>234</v>
      </c>
      <c r="D28" s="22">
        <f t="shared" si="2"/>
        <v>4.444444444</v>
      </c>
      <c r="E28" s="244"/>
      <c r="F28" s="244"/>
      <c r="G28" s="223" t="s">
        <v>272</v>
      </c>
      <c r="H28" s="223" t="s">
        <v>272</v>
      </c>
      <c r="I28" s="223" t="s">
        <v>272</v>
      </c>
      <c r="J28" s="223" t="s">
        <v>272</v>
      </c>
      <c r="K28" s="224">
        <v>0.3736111111111111</v>
      </c>
      <c r="L28" s="244"/>
      <c r="M28" s="244"/>
      <c r="N28" s="224">
        <v>0.3645833333333333</v>
      </c>
      <c r="O28" s="224">
        <v>0.37569444444444444</v>
      </c>
      <c r="P28" s="224">
        <v>0.3701388888888889</v>
      </c>
      <c r="Q28" s="6" t="s">
        <v>316</v>
      </c>
      <c r="R28" s="224">
        <v>0.36666666666666664</v>
      </c>
      <c r="S28" s="221"/>
      <c r="T28" s="221"/>
      <c r="U28" s="223" t="s">
        <v>269</v>
      </c>
      <c r="V28" s="225">
        <v>0.37569444444444444</v>
      </c>
      <c r="W28" s="224">
        <v>0.3680555555555556</v>
      </c>
      <c r="X28" s="223" t="s">
        <v>316</v>
      </c>
      <c r="Y28" s="224">
        <v>0.3659722222222222</v>
      </c>
      <c r="Z28" s="244"/>
      <c r="AA28" s="244"/>
      <c r="AB28" s="224">
        <v>0.3715277777777778</v>
      </c>
      <c r="AC28" s="224">
        <v>0.37777777777777777</v>
      </c>
      <c r="AD28" s="224">
        <v>0.36875</v>
      </c>
      <c r="AE28" s="224">
        <v>0.3659722222222222</v>
      </c>
      <c r="AF28" s="223" t="s">
        <v>316</v>
      </c>
      <c r="AG28" s="244"/>
      <c r="AH28" s="244"/>
    </row>
    <row r="29">
      <c r="A29" s="253">
        <v>27.0</v>
      </c>
      <c r="B29" s="32"/>
      <c r="C29" s="201" t="s">
        <v>393</v>
      </c>
      <c r="D29" s="22">
        <f t="shared" si="2"/>
        <v>5.978483796</v>
      </c>
      <c r="E29" s="244"/>
      <c r="F29" s="244"/>
      <c r="G29" s="223" t="s">
        <v>316</v>
      </c>
      <c r="H29" s="116">
        <v>0.3840277777777778</v>
      </c>
      <c r="I29" s="116">
        <v>0.34375</v>
      </c>
      <c r="J29" s="116">
        <v>0.3506944444444444</v>
      </c>
      <c r="K29" s="222">
        <v>0.3645833333333333</v>
      </c>
      <c r="L29" s="244"/>
      <c r="M29" s="244"/>
      <c r="N29" s="222">
        <v>0.4888888888888889</v>
      </c>
      <c r="O29" s="224">
        <v>0.376400462962963</v>
      </c>
      <c r="P29" s="222">
        <v>0.3951388888888889</v>
      </c>
      <c r="Q29" s="223" t="s">
        <v>315</v>
      </c>
      <c r="R29" s="222">
        <v>0.36180555555555555</v>
      </c>
      <c r="S29" s="221"/>
      <c r="T29" s="221"/>
      <c r="U29" s="222">
        <v>0.3798611111111111</v>
      </c>
      <c r="V29" s="222">
        <v>0.37222222222222223</v>
      </c>
      <c r="W29" s="222">
        <v>0.3659722222222222</v>
      </c>
      <c r="X29" s="222">
        <v>0.34305555555555556</v>
      </c>
      <c r="Y29" s="222">
        <v>0.35694444444444445</v>
      </c>
      <c r="Z29" s="244"/>
      <c r="AA29" s="244"/>
      <c r="AB29" s="223" t="s">
        <v>316</v>
      </c>
      <c r="AC29" s="222">
        <v>0.3736111111111111</v>
      </c>
      <c r="AD29" s="222">
        <v>0.36319444444444443</v>
      </c>
      <c r="AE29" s="222">
        <v>0.35833333333333334</v>
      </c>
      <c r="AF29" s="223" t="s">
        <v>316</v>
      </c>
      <c r="AG29" s="244"/>
      <c r="AH29" s="244"/>
    </row>
    <row r="30">
      <c r="A30" s="252">
        <v>28.0</v>
      </c>
      <c r="B30" s="32"/>
      <c r="C30" s="201" t="s">
        <v>213</v>
      </c>
      <c r="D30" s="22">
        <f t="shared" si="2"/>
        <v>1.555555556</v>
      </c>
      <c r="E30" s="244"/>
      <c r="F30" s="244"/>
      <c r="G30" s="223" t="s">
        <v>316</v>
      </c>
      <c r="H30" s="223" t="s">
        <v>316</v>
      </c>
      <c r="I30" s="114" t="s">
        <v>422</v>
      </c>
      <c r="J30" s="114" t="s">
        <v>272</v>
      </c>
      <c r="K30" s="223" t="s">
        <v>272</v>
      </c>
      <c r="L30" s="244"/>
      <c r="M30" s="244"/>
      <c r="N30" s="223" t="s">
        <v>272</v>
      </c>
      <c r="O30" s="223" t="s">
        <v>272</v>
      </c>
      <c r="P30" s="223" t="s">
        <v>272</v>
      </c>
      <c r="Q30" s="223" t="s">
        <v>272</v>
      </c>
      <c r="R30" s="223" t="s">
        <v>316</v>
      </c>
      <c r="S30" s="221"/>
      <c r="T30" s="221"/>
      <c r="U30" s="223" t="s">
        <v>316</v>
      </c>
      <c r="V30" s="223" t="s">
        <v>316</v>
      </c>
      <c r="W30" s="224">
        <v>0.5444444444444444</v>
      </c>
      <c r="X30" s="222">
        <v>0.31527777777777777</v>
      </c>
      <c r="Y30" s="223" t="s">
        <v>316</v>
      </c>
      <c r="Z30" s="244"/>
      <c r="AA30" s="244"/>
      <c r="AB30" s="223" t="s">
        <v>316</v>
      </c>
      <c r="AC30" s="223" t="s">
        <v>316</v>
      </c>
      <c r="AD30" s="222">
        <v>0.37222222222222223</v>
      </c>
      <c r="AE30" s="222">
        <v>0.3236111111111111</v>
      </c>
      <c r="AF30" s="223" t="s">
        <v>316</v>
      </c>
      <c r="AG30" s="244"/>
      <c r="AH30" s="244"/>
    </row>
    <row r="31">
      <c r="A31" s="252">
        <v>29.0</v>
      </c>
      <c r="B31" s="32"/>
      <c r="C31" s="201" t="s">
        <v>54</v>
      </c>
      <c r="D31" s="22">
        <f t="shared" si="2"/>
        <v>2.227083333</v>
      </c>
      <c r="E31" s="244"/>
      <c r="F31" s="244"/>
      <c r="G31" s="222">
        <v>0.4465277777777778</v>
      </c>
      <c r="H31" s="116">
        <v>0.4930555555555556</v>
      </c>
      <c r="I31" s="114" t="s">
        <v>316</v>
      </c>
      <c r="J31" s="114" t="s">
        <v>316</v>
      </c>
      <c r="K31" s="223" t="s">
        <v>316</v>
      </c>
      <c r="L31" s="244"/>
      <c r="M31" s="244"/>
      <c r="N31" s="223" t="s">
        <v>316</v>
      </c>
      <c r="O31" s="223" t="s">
        <v>269</v>
      </c>
      <c r="P31" s="223" t="s">
        <v>316</v>
      </c>
      <c r="Q31" s="223" t="s">
        <v>316</v>
      </c>
      <c r="R31" s="223" t="s">
        <v>316</v>
      </c>
      <c r="S31" s="221"/>
      <c r="T31" s="221"/>
      <c r="U31" s="222">
        <v>0.3194444444444444</v>
      </c>
      <c r="V31" s="222">
        <v>0.35625</v>
      </c>
      <c r="W31" s="223" t="s">
        <v>316</v>
      </c>
      <c r="X31" s="223" t="s">
        <v>316</v>
      </c>
      <c r="Y31" s="223" t="s">
        <v>316</v>
      </c>
      <c r="Z31" s="244"/>
      <c r="AA31" s="244"/>
      <c r="AB31" s="224">
        <v>0.16666666666666666</v>
      </c>
      <c r="AC31" s="222">
        <v>0.44513888888888886</v>
      </c>
      <c r="AD31" s="223" t="s">
        <v>340</v>
      </c>
      <c r="AE31" s="223" t="s">
        <v>316</v>
      </c>
      <c r="AF31" s="223" t="s">
        <v>316</v>
      </c>
      <c r="AG31" s="244"/>
      <c r="AH31" s="244"/>
    </row>
    <row r="32">
      <c r="A32" s="253">
        <v>30.0</v>
      </c>
      <c r="B32" s="32"/>
      <c r="C32" s="201" t="s">
        <v>159</v>
      </c>
      <c r="D32" s="22">
        <f t="shared" si="2"/>
        <v>2.286111111</v>
      </c>
      <c r="E32" s="244"/>
      <c r="F32" s="244"/>
      <c r="G32" s="223" t="s">
        <v>316</v>
      </c>
      <c r="H32" s="116">
        <v>0.5159722222222223</v>
      </c>
      <c r="I32" s="116">
        <v>0.34097222222222223</v>
      </c>
      <c r="J32" s="114" t="s">
        <v>316</v>
      </c>
      <c r="K32" s="223" t="s">
        <v>316</v>
      </c>
      <c r="L32" s="244"/>
      <c r="M32" s="244"/>
      <c r="N32" s="223" t="s">
        <v>316</v>
      </c>
      <c r="O32" s="224">
        <v>0.3715277777777778</v>
      </c>
      <c r="P32" s="222">
        <v>0.36875</v>
      </c>
      <c r="Q32" s="223" t="s">
        <v>316</v>
      </c>
      <c r="R32" s="223" t="s">
        <v>316</v>
      </c>
      <c r="S32" s="221"/>
      <c r="T32" s="221"/>
      <c r="U32" s="223" t="s">
        <v>316</v>
      </c>
      <c r="V32" s="222">
        <v>0.36180555555555555</v>
      </c>
      <c r="W32" s="222">
        <v>0.32708333333333334</v>
      </c>
      <c r="X32" s="223" t="s">
        <v>272</v>
      </c>
      <c r="Y32" s="223" t="s">
        <v>272</v>
      </c>
      <c r="Z32" s="244"/>
      <c r="AA32" s="244"/>
      <c r="AB32" s="223" t="s">
        <v>272</v>
      </c>
      <c r="AC32" s="223" t="s">
        <v>272</v>
      </c>
      <c r="AD32" s="223" t="s">
        <v>272</v>
      </c>
      <c r="AE32" s="223" t="s">
        <v>272</v>
      </c>
      <c r="AF32" s="223" t="s">
        <v>272</v>
      </c>
      <c r="AG32" s="244"/>
      <c r="AH32" s="244"/>
    </row>
    <row r="33">
      <c r="A33" s="252">
        <v>31.0</v>
      </c>
      <c r="B33" s="32"/>
      <c r="C33" s="201" t="s">
        <v>156</v>
      </c>
      <c r="D33" s="22">
        <f t="shared" si="2"/>
        <v>3.313194444</v>
      </c>
      <c r="E33" s="244"/>
      <c r="F33" s="244"/>
      <c r="G33" s="222">
        <v>0.4409722222222222</v>
      </c>
      <c r="H33" s="114" t="s">
        <v>316</v>
      </c>
      <c r="I33" s="114" t="s">
        <v>316</v>
      </c>
      <c r="J33" s="116">
        <v>0.36736111111111114</v>
      </c>
      <c r="K33" s="223" t="s">
        <v>316</v>
      </c>
      <c r="L33" s="244"/>
      <c r="M33" s="244"/>
      <c r="N33" s="222">
        <v>0.4013888888888889</v>
      </c>
      <c r="O33" s="223" t="s">
        <v>316</v>
      </c>
      <c r="P33" s="223" t="s">
        <v>316</v>
      </c>
      <c r="Q33" s="222">
        <v>0.3798611111111111</v>
      </c>
      <c r="R33" s="223" t="s">
        <v>316</v>
      </c>
      <c r="S33" s="221"/>
      <c r="T33" s="221"/>
      <c r="U33" s="222">
        <v>0.5083333333333333</v>
      </c>
      <c r="V33" s="223" t="s">
        <v>316</v>
      </c>
      <c r="W33" s="223" t="s">
        <v>316</v>
      </c>
      <c r="X33" s="222">
        <v>0.4513888888888889</v>
      </c>
      <c r="Y33" s="223" t="s">
        <v>316</v>
      </c>
      <c r="Z33" s="244"/>
      <c r="AA33" s="244"/>
      <c r="AB33" s="222">
        <v>0.40555555555555556</v>
      </c>
      <c r="AC33" s="223" t="s">
        <v>316</v>
      </c>
      <c r="AD33" s="223" t="s">
        <v>316</v>
      </c>
      <c r="AE33" s="222">
        <v>0.35833333333333334</v>
      </c>
      <c r="AF33" s="223" t="s">
        <v>316</v>
      </c>
      <c r="AG33" s="244"/>
      <c r="AH33" s="244"/>
    </row>
    <row r="34">
      <c r="A34" s="252">
        <v>32.0</v>
      </c>
      <c r="B34" s="32"/>
      <c r="C34" s="201" t="s">
        <v>57</v>
      </c>
      <c r="D34" s="22">
        <f t="shared" si="2"/>
        <v>0.9576388889</v>
      </c>
      <c r="E34" s="244"/>
      <c r="F34" s="244"/>
      <c r="G34" s="222">
        <v>0.3451388888888889</v>
      </c>
      <c r="H34" s="114" t="s">
        <v>316</v>
      </c>
      <c r="I34" s="116">
        <v>0.30416666666666664</v>
      </c>
      <c r="J34" s="114" t="s">
        <v>316</v>
      </c>
      <c r="K34" s="223" t="s">
        <v>316</v>
      </c>
      <c r="L34" s="244"/>
      <c r="M34" s="244"/>
      <c r="N34" s="223" t="s">
        <v>272</v>
      </c>
      <c r="O34" s="223" t="s">
        <v>272</v>
      </c>
      <c r="P34" s="223" t="s">
        <v>272</v>
      </c>
      <c r="Q34" s="223" t="s">
        <v>272</v>
      </c>
      <c r="R34" s="223" t="s">
        <v>272</v>
      </c>
      <c r="S34" s="221"/>
      <c r="T34" s="221"/>
      <c r="U34" s="223" t="s">
        <v>272</v>
      </c>
      <c r="V34" s="223" t="s">
        <v>272</v>
      </c>
      <c r="W34" s="223" t="s">
        <v>272</v>
      </c>
      <c r="X34" s="223" t="s">
        <v>272</v>
      </c>
      <c r="Y34" s="223" t="s">
        <v>272</v>
      </c>
      <c r="Z34" s="244"/>
      <c r="AA34" s="244"/>
      <c r="AB34" s="222">
        <v>0.30833333333333335</v>
      </c>
      <c r="AC34" s="223" t="s">
        <v>272</v>
      </c>
      <c r="AD34" s="223" t="s">
        <v>272</v>
      </c>
      <c r="AE34" s="223" t="s">
        <v>272</v>
      </c>
      <c r="AF34" s="223" t="s">
        <v>272</v>
      </c>
      <c r="AG34" s="244"/>
      <c r="AH34" s="244"/>
    </row>
    <row r="35">
      <c r="A35" s="253">
        <v>33.0</v>
      </c>
      <c r="B35" s="32"/>
      <c r="C35" s="201" t="s">
        <v>263</v>
      </c>
      <c r="D35" s="22">
        <f t="shared" si="2"/>
        <v>4.689583333</v>
      </c>
      <c r="E35" s="244"/>
      <c r="F35" s="244"/>
      <c r="G35" s="222">
        <v>0.3138888888888889</v>
      </c>
      <c r="H35" s="114" t="s">
        <v>269</v>
      </c>
      <c r="I35" s="116">
        <v>0.4576388888888889</v>
      </c>
      <c r="J35" s="116">
        <v>0.2875</v>
      </c>
      <c r="K35" s="223" t="s">
        <v>316</v>
      </c>
      <c r="L35" s="244"/>
      <c r="M35" s="244"/>
      <c r="N35" s="222">
        <v>0.3527777777777778</v>
      </c>
      <c r="O35" s="224">
        <v>0.34375</v>
      </c>
      <c r="P35" s="223" t="s">
        <v>271</v>
      </c>
      <c r="Q35" s="222">
        <v>0.41458333333333336</v>
      </c>
      <c r="R35" s="223" t="s">
        <v>316</v>
      </c>
      <c r="S35" s="221"/>
      <c r="T35" s="221"/>
      <c r="U35" s="222">
        <v>0.38333333333333336</v>
      </c>
      <c r="V35" s="222">
        <v>0.33402777777777776</v>
      </c>
      <c r="W35" s="222">
        <v>0.26458333333333334</v>
      </c>
      <c r="X35" s="223" t="s">
        <v>316</v>
      </c>
      <c r="Y35" s="223" t="s">
        <v>316</v>
      </c>
      <c r="Z35" s="244"/>
      <c r="AA35" s="244"/>
      <c r="AB35" s="222">
        <v>0.3993055555555556</v>
      </c>
      <c r="AC35" s="222">
        <v>0.3472222222222222</v>
      </c>
      <c r="AD35" s="222">
        <v>0.4847222222222222</v>
      </c>
      <c r="AE35" s="222">
        <v>0.30625</v>
      </c>
      <c r="AF35" s="223" t="s">
        <v>316</v>
      </c>
      <c r="AG35" s="244"/>
      <c r="AH35" s="244"/>
    </row>
    <row r="36">
      <c r="A36" s="252">
        <v>34.0</v>
      </c>
      <c r="B36" s="32"/>
      <c r="C36" s="202" t="s">
        <v>339</v>
      </c>
      <c r="D36" s="22">
        <f t="shared" si="2"/>
        <v>3.96875</v>
      </c>
      <c r="E36" s="244"/>
      <c r="F36" s="244"/>
      <c r="G36" s="222">
        <v>0.30972222222222223</v>
      </c>
      <c r="H36" s="116">
        <v>0.3145833333333333</v>
      </c>
      <c r="I36" s="114" t="s">
        <v>316</v>
      </c>
      <c r="J36" s="116">
        <v>0.35694444444444445</v>
      </c>
      <c r="K36" s="223" t="s">
        <v>316</v>
      </c>
      <c r="L36" s="244"/>
      <c r="M36" s="244"/>
      <c r="N36" s="222">
        <v>0.2791666666666667</v>
      </c>
      <c r="O36" s="224">
        <v>0.25277777777777777</v>
      </c>
      <c r="P36" s="222">
        <v>0.3284722222222222</v>
      </c>
      <c r="Q36" s="223" t="s">
        <v>316</v>
      </c>
      <c r="R36" s="223" t="s">
        <v>316</v>
      </c>
      <c r="S36" s="221"/>
      <c r="T36" s="221"/>
      <c r="U36" s="222">
        <v>0.34930555555555554</v>
      </c>
      <c r="V36" s="223" t="s">
        <v>269</v>
      </c>
      <c r="W36" s="223" t="s">
        <v>316</v>
      </c>
      <c r="X36" s="222">
        <v>0.3611111111111111</v>
      </c>
      <c r="Y36" s="223" t="s">
        <v>316</v>
      </c>
      <c r="Z36" s="244"/>
      <c r="AA36" s="244"/>
      <c r="AB36" s="222">
        <v>0.33541666666666664</v>
      </c>
      <c r="AC36" s="222">
        <v>0.34097222222222223</v>
      </c>
      <c r="AD36" s="222">
        <v>0.37916666666666665</v>
      </c>
      <c r="AE36" s="222">
        <v>0.3611111111111111</v>
      </c>
      <c r="AF36" s="223" t="s">
        <v>316</v>
      </c>
      <c r="AG36" s="244"/>
      <c r="AH36" s="244"/>
    </row>
    <row r="37">
      <c r="A37" s="252">
        <v>35.0</v>
      </c>
      <c r="B37" s="32"/>
      <c r="C37" s="201" t="s">
        <v>257</v>
      </c>
      <c r="D37" s="22">
        <f t="shared" si="2"/>
        <v>2.333333333</v>
      </c>
      <c r="E37" s="244"/>
      <c r="F37" s="244"/>
      <c r="G37" s="222">
        <v>0.36180555555555555</v>
      </c>
      <c r="H37" s="114" t="s">
        <v>316</v>
      </c>
      <c r="I37" s="114" t="s">
        <v>269</v>
      </c>
      <c r="J37" s="114" t="s">
        <v>316</v>
      </c>
      <c r="K37" s="223" t="s">
        <v>316</v>
      </c>
      <c r="L37" s="244"/>
      <c r="M37" s="244"/>
      <c r="N37" s="222">
        <v>0.2826388888888889</v>
      </c>
      <c r="O37" s="223" t="s">
        <v>316</v>
      </c>
      <c r="P37" s="222">
        <v>0.34444444444444444</v>
      </c>
      <c r="Q37" s="223" t="s">
        <v>316</v>
      </c>
      <c r="R37" s="223" t="s">
        <v>316</v>
      </c>
      <c r="S37" s="221"/>
      <c r="T37" s="221"/>
      <c r="U37" s="222">
        <v>0.28125</v>
      </c>
      <c r="V37" s="223" t="s">
        <v>316</v>
      </c>
      <c r="W37" s="222">
        <v>0.36041666666666666</v>
      </c>
      <c r="X37" s="223" t="s">
        <v>271</v>
      </c>
      <c r="Y37" s="223" t="s">
        <v>316</v>
      </c>
      <c r="Z37" s="244"/>
      <c r="AA37" s="244"/>
      <c r="AB37" s="222">
        <v>0.3486111111111111</v>
      </c>
      <c r="AC37" s="223" t="s">
        <v>316</v>
      </c>
      <c r="AD37" s="222">
        <v>0.3541666666666667</v>
      </c>
      <c r="AE37" s="223" t="s">
        <v>316</v>
      </c>
      <c r="AF37" s="223" t="s">
        <v>316</v>
      </c>
      <c r="AG37" s="244"/>
      <c r="AH37" s="244"/>
    </row>
    <row r="38">
      <c r="A38" s="253">
        <v>36.0</v>
      </c>
      <c r="B38" s="32"/>
      <c r="C38" s="203" t="s">
        <v>132</v>
      </c>
      <c r="D38" s="22">
        <f t="shared" si="2"/>
        <v>5.36875</v>
      </c>
      <c r="E38" s="244"/>
      <c r="F38" s="244"/>
      <c r="G38" s="224">
        <v>0.16666666666666666</v>
      </c>
      <c r="H38" s="114" t="s">
        <v>269</v>
      </c>
      <c r="I38" s="117">
        <v>0.47430555555555554</v>
      </c>
      <c r="J38" s="117">
        <v>0.48125</v>
      </c>
      <c r="K38" s="223" t="s">
        <v>316</v>
      </c>
      <c r="L38" s="244"/>
      <c r="M38" s="244"/>
      <c r="N38" s="222">
        <v>0.325</v>
      </c>
      <c r="O38" s="224">
        <v>0.45208333333333334</v>
      </c>
      <c r="P38" s="222">
        <v>0.5618055555555556</v>
      </c>
      <c r="Q38" s="223" t="s">
        <v>316</v>
      </c>
      <c r="R38" s="222">
        <v>0.28680555555555554</v>
      </c>
      <c r="S38" s="221"/>
      <c r="T38" s="221"/>
      <c r="U38" s="224">
        <v>0.47152777777777777</v>
      </c>
      <c r="V38" s="222">
        <v>0.29444444444444445</v>
      </c>
      <c r="W38" s="224">
        <v>0.5756944444444444</v>
      </c>
      <c r="X38" s="222">
        <v>0.35555555555555557</v>
      </c>
      <c r="Y38" s="223" t="s">
        <v>316</v>
      </c>
      <c r="Z38" s="244"/>
      <c r="AA38" s="244"/>
      <c r="AB38" s="222">
        <v>0.39444444444444443</v>
      </c>
      <c r="AC38" s="223" t="s">
        <v>316</v>
      </c>
      <c r="AD38" s="223" t="s">
        <v>316</v>
      </c>
      <c r="AE38" s="224">
        <v>0.5291666666666667</v>
      </c>
      <c r="AF38" s="223" t="s">
        <v>316</v>
      </c>
      <c r="AG38" s="244"/>
      <c r="AH38" s="244"/>
    </row>
    <row r="39">
      <c r="A39" s="252">
        <v>37.0</v>
      </c>
      <c r="B39" s="32"/>
      <c r="C39" s="203" t="s">
        <v>99</v>
      </c>
      <c r="D39" s="22">
        <f t="shared" si="2"/>
        <v>3.736111111</v>
      </c>
      <c r="E39" s="244"/>
      <c r="F39" s="244"/>
      <c r="G39" s="222">
        <v>0.28541666666666665</v>
      </c>
      <c r="H39" s="116">
        <v>0.34375</v>
      </c>
      <c r="I39" s="117">
        <v>0.6222222222222222</v>
      </c>
      <c r="J39" s="114" t="s">
        <v>316</v>
      </c>
      <c r="K39" s="223" t="s">
        <v>316</v>
      </c>
      <c r="L39" s="244"/>
      <c r="M39" s="244"/>
      <c r="N39" s="222">
        <v>0.3972222222222222</v>
      </c>
      <c r="O39" s="224">
        <v>0.26458333333333334</v>
      </c>
      <c r="P39" s="222">
        <v>0.45069444444444445</v>
      </c>
      <c r="Q39" s="223" t="s">
        <v>316</v>
      </c>
      <c r="R39" s="223" t="s">
        <v>316</v>
      </c>
      <c r="S39" s="221"/>
      <c r="T39" s="221"/>
      <c r="U39" s="225">
        <v>0.5138888888888888</v>
      </c>
      <c r="V39" s="222">
        <v>0.3701388888888889</v>
      </c>
      <c r="W39" s="224">
        <v>0.48819444444444443</v>
      </c>
      <c r="X39" s="223" t="s">
        <v>340</v>
      </c>
      <c r="Y39" s="223" t="s">
        <v>316</v>
      </c>
      <c r="Z39" s="244"/>
      <c r="AA39" s="244"/>
      <c r="AB39" s="223" t="s">
        <v>422</v>
      </c>
      <c r="AC39" s="223" t="s">
        <v>272</v>
      </c>
      <c r="AD39" s="223" t="s">
        <v>272</v>
      </c>
      <c r="AE39" s="223" t="s">
        <v>272</v>
      </c>
      <c r="AF39" s="223" t="s">
        <v>272</v>
      </c>
      <c r="AG39" s="244"/>
      <c r="AH39" s="244"/>
    </row>
    <row r="40">
      <c r="A40" s="252">
        <v>38.0</v>
      </c>
      <c r="B40" s="32"/>
      <c r="C40" s="203" t="s">
        <v>93</v>
      </c>
      <c r="D40" s="22">
        <f t="shared" si="2"/>
        <v>6.957638889</v>
      </c>
      <c r="E40" s="244"/>
      <c r="F40" s="244"/>
      <c r="G40" s="222">
        <v>0.47152777777777777</v>
      </c>
      <c r="H40" s="116">
        <v>0.38472222222222224</v>
      </c>
      <c r="I40" s="116">
        <v>0.4340277777777778</v>
      </c>
      <c r="J40" s="116">
        <v>0.3770833333333333</v>
      </c>
      <c r="K40" s="224">
        <v>0.16666666666666666</v>
      </c>
      <c r="L40" s="244"/>
      <c r="M40" s="244"/>
      <c r="N40" s="222">
        <v>0.4027777777777778</v>
      </c>
      <c r="O40" s="224">
        <v>0.40625</v>
      </c>
      <c r="P40" s="222">
        <v>0.42916666666666664</v>
      </c>
      <c r="Q40" s="223" t="s">
        <v>269</v>
      </c>
      <c r="R40" s="222">
        <v>0.41180555555555554</v>
      </c>
      <c r="S40" s="221"/>
      <c r="T40" s="221"/>
      <c r="U40" s="224">
        <v>0.5381944444444444</v>
      </c>
      <c r="V40" s="222">
        <v>0.4326388888888889</v>
      </c>
      <c r="W40" s="222">
        <v>0.4340277777777778</v>
      </c>
      <c r="X40" s="222">
        <v>0.47152777777777777</v>
      </c>
      <c r="Y40" s="223" t="s">
        <v>316</v>
      </c>
      <c r="Z40" s="244"/>
      <c r="AA40" s="244"/>
      <c r="AB40" s="222">
        <v>0.39861111111111114</v>
      </c>
      <c r="AC40" s="222">
        <v>0.3416666666666667</v>
      </c>
      <c r="AD40" s="222">
        <v>0.4513888888888889</v>
      </c>
      <c r="AE40" s="222">
        <v>0.40555555555555556</v>
      </c>
      <c r="AF40" s="223" t="s">
        <v>316</v>
      </c>
      <c r="AG40" s="244"/>
      <c r="AH40" s="244"/>
    </row>
    <row r="41">
      <c r="A41" s="253">
        <v>39.0</v>
      </c>
      <c r="B41" s="32"/>
      <c r="C41" s="203" t="s">
        <v>135</v>
      </c>
      <c r="D41" s="22">
        <f t="shared" si="2"/>
        <v>6.428472222</v>
      </c>
      <c r="E41" s="244"/>
      <c r="F41" s="244"/>
      <c r="G41" s="224">
        <v>0.38333333333333336</v>
      </c>
      <c r="H41" s="116">
        <v>0.41041666666666665</v>
      </c>
      <c r="I41" s="116">
        <v>0.4444444444444444</v>
      </c>
      <c r="J41" s="117">
        <v>0.16666666666666666</v>
      </c>
      <c r="K41" s="223" t="s">
        <v>316</v>
      </c>
      <c r="L41" s="244"/>
      <c r="M41" s="244"/>
      <c r="N41" s="224">
        <v>0.16666666666666666</v>
      </c>
      <c r="O41" s="224">
        <v>0.4173611111111111</v>
      </c>
      <c r="P41" s="222">
        <v>0.42569444444444443</v>
      </c>
      <c r="Q41" s="222">
        <v>0.4395833333333333</v>
      </c>
      <c r="R41" s="222">
        <v>0.46319444444444446</v>
      </c>
      <c r="S41" s="221"/>
      <c r="T41" s="221"/>
      <c r="U41" s="222">
        <v>0.44027777777777777</v>
      </c>
      <c r="V41" s="222">
        <v>0.42083333333333334</v>
      </c>
      <c r="W41" s="224">
        <v>0.5215277777777778</v>
      </c>
      <c r="X41" s="222">
        <v>0.40902777777777777</v>
      </c>
      <c r="Y41" s="223" t="s">
        <v>316</v>
      </c>
      <c r="Z41" s="244"/>
      <c r="AA41" s="244"/>
      <c r="AB41" s="223" t="s">
        <v>269</v>
      </c>
      <c r="AC41" s="222">
        <v>0.4270833333333333</v>
      </c>
      <c r="AD41" s="222">
        <v>0.41388888888888886</v>
      </c>
      <c r="AE41" s="222">
        <v>0.47847222222222224</v>
      </c>
      <c r="AF41" s="223" t="s">
        <v>316</v>
      </c>
      <c r="AG41" s="244"/>
      <c r="AH41" s="244"/>
    </row>
    <row r="42">
      <c r="A42" s="252">
        <v>40.0</v>
      </c>
      <c r="B42" s="32"/>
      <c r="C42" s="203" t="s">
        <v>183</v>
      </c>
      <c r="D42" s="22">
        <f t="shared" si="2"/>
        <v>6.245138889</v>
      </c>
      <c r="E42" s="244"/>
      <c r="F42" s="244"/>
      <c r="G42" s="222">
        <v>0.4479166666666667</v>
      </c>
      <c r="H42" s="116">
        <v>0.36736111111111114</v>
      </c>
      <c r="I42" s="117">
        <v>0.6291666666666667</v>
      </c>
      <c r="J42" s="116">
        <v>0.3645833333333333</v>
      </c>
      <c r="K42" s="223" t="s">
        <v>316</v>
      </c>
      <c r="L42" s="244"/>
      <c r="M42" s="244"/>
      <c r="N42" s="222">
        <v>0.4166666666666667</v>
      </c>
      <c r="O42" s="224">
        <v>0.48125</v>
      </c>
      <c r="P42" s="222">
        <v>0.5625</v>
      </c>
      <c r="Q42" s="222">
        <v>0.3368055555555556</v>
      </c>
      <c r="R42" s="223" t="s">
        <v>316</v>
      </c>
      <c r="S42" s="221"/>
      <c r="T42" s="221"/>
      <c r="U42" s="224">
        <v>0.5444444444444444</v>
      </c>
      <c r="V42" s="222">
        <v>0.33958333333333335</v>
      </c>
      <c r="W42" s="222">
        <v>0.29583333333333334</v>
      </c>
      <c r="X42" s="223" t="s">
        <v>271</v>
      </c>
      <c r="Y42" s="223" t="s">
        <v>271</v>
      </c>
      <c r="Z42" s="244"/>
      <c r="AA42" s="244"/>
      <c r="AB42" s="222">
        <v>0.4375</v>
      </c>
      <c r="AC42" s="222">
        <v>0.3423611111111111</v>
      </c>
      <c r="AD42" s="222">
        <v>0.3333333333333333</v>
      </c>
      <c r="AE42" s="222">
        <v>0.3458333333333333</v>
      </c>
      <c r="AF42" s="223" t="s">
        <v>316</v>
      </c>
      <c r="AG42" s="244"/>
      <c r="AH42" s="244"/>
    </row>
    <row r="43">
      <c r="A43" s="252">
        <v>41.0</v>
      </c>
      <c r="B43" s="32"/>
      <c r="C43" s="203" t="s">
        <v>186</v>
      </c>
      <c r="D43" s="22">
        <f t="shared" si="2"/>
        <v>4.124305556</v>
      </c>
      <c r="E43" s="244"/>
      <c r="F43" s="244"/>
      <c r="G43" s="223" t="s">
        <v>272</v>
      </c>
      <c r="H43" s="114" t="s">
        <v>272</v>
      </c>
      <c r="I43" s="116">
        <v>0.4354166666666667</v>
      </c>
      <c r="J43" s="114" t="s">
        <v>316</v>
      </c>
      <c r="K43" s="223" t="s">
        <v>316</v>
      </c>
      <c r="L43" s="244"/>
      <c r="M43" s="244"/>
      <c r="N43" s="222">
        <v>0.40208333333333335</v>
      </c>
      <c r="O43" s="224">
        <v>0.4097222222222222</v>
      </c>
      <c r="P43" s="222">
        <v>0.44583333333333336</v>
      </c>
      <c r="Q43" s="224">
        <v>0.37569444444444444</v>
      </c>
      <c r="R43" s="223" t="s">
        <v>316</v>
      </c>
      <c r="S43" s="221"/>
      <c r="T43" s="221"/>
      <c r="U43" s="222">
        <v>0.4083333333333333</v>
      </c>
      <c r="V43" s="222">
        <v>0.4166666666666667</v>
      </c>
      <c r="W43" s="223" t="s">
        <v>316</v>
      </c>
      <c r="X43" s="222">
        <v>0.43125</v>
      </c>
      <c r="Y43" s="223" t="s">
        <v>316</v>
      </c>
      <c r="Z43" s="244"/>
      <c r="AA43" s="244"/>
      <c r="AB43" s="223" t="s">
        <v>316</v>
      </c>
      <c r="AC43" s="222">
        <v>0.42777777777777776</v>
      </c>
      <c r="AD43" s="224">
        <v>0.3715277777777778</v>
      </c>
      <c r="AE43" s="223" t="s">
        <v>316</v>
      </c>
      <c r="AF43" s="223" t="s">
        <v>316</v>
      </c>
      <c r="AG43" s="244"/>
      <c r="AH43" s="244"/>
    </row>
    <row r="44">
      <c r="A44" s="253">
        <v>42.0</v>
      </c>
      <c r="B44" s="32"/>
      <c r="C44" s="203" t="s">
        <v>141</v>
      </c>
      <c r="D44" s="22">
        <f t="shared" si="2"/>
        <v>4.313888889</v>
      </c>
      <c r="E44" s="244"/>
      <c r="F44" s="244"/>
      <c r="G44" s="222">
        <v>0.34930555555555554</v>
      </c>
      <c r="H44" s="116">
        <v>0.3909722222222222</v>
      </c>
      <c r="I44" s="116">
        <v>0.40694444444444444</v>
      </c>
      <c r="J44" s="116">
        <v>0.36319444444444443</v>
      </c>
      <c r="K44" s="223" t="s">
        <v>316</v>
      </c>
      <c r="L44" s="244"/>
      <c r="M44" s="244"/>
      <c r="N44" s="223" t="s">
        <v>271</v>
      </c>
      <c r="O44" s="223" t="s">
        <v>271</v>
      </c>
      <c r="P44" s="222">
        <v>0.32083333333333336</v>
      </c>
      <c r="Q44" s="222">
        <v>0.3729166666666667</v>
      </c>
      <c r="R44" s="223" t="s">
        <v>316</v>
      </c>
      <c r="S44" s="221"/>
      <c r="T44" s="221"/>
      <c r="U44" s="222">
        <v>0.29305555555555557</v>
      </c>
      <c r="V44" s="222">
        <v>0.40069444444444446</v>
      </c>
      <c r="W44" s="222">
        <v>0.41458333333333336</v>
      </c>
      <c r="X44" s="222">
        <v>0.3229166666666667</v>
      </c>
      <c r="Y44" s="223" t="s">
        <v>316</v>
      </c>
      <c r="Z44" s="244"/>
      <c r="AA44" s="244"/>
      <c r="AB44" s="223" t="s">
        <v>316</v>
      </c>
      <c r="AC44" s="223" t="s">
        <v>316</v>
      </c>
      <c r="AD44" s="222">
        <v>0.34791666666666665</v>
      </c>
      <c r="AE44" s="222">
        <v>0.33055555555555555</v>
      </c>
      <c r="AF44" s="223" t="s">
        <v>316</v>
      </c>
      <c r="AG44" s="244"/>
      <c r="AH44" s="244"/>
    </row>
    <row r="45">
      <c r="A45" s="252">
        <v>43.0</v>
      </c>
      <c r="B45" s="15"/>
      <c r="C45" s="203" t="s">
        <v>207</v>
      </c>
      <c r="D45" s="22">
        <f t="shared" si="2"/>
        <v>4.051388889</v>
      </c>
      <c r="E45" s="244"/>
      <c r="F45" s="244"/>
      <c r="G45" s="223" t="s">
        <v>315</v>
      </c>
      <c r="H45" s="116">
        <v>0.3375</v>
      </c>
      <c r="I45" s="116">
        <v>0.4111111111111111</v>
      </c>
      <c r="J45" s="116">
        <v>0.2902777777777778</v>
      </c>
      <c r="K45" s="223" t="s">
        <v>316</v>
      </c>
      <c r="L45" s="244"/>
      <c r="M45" s="244"/>
      <c r="N45" s="222">
        <v>0.3576388888888889</v>
      </c>
      <c r="O45" s="224">
        <v>0.35138888888888886</v>
      </c>
      <c r="P45" s="222">
        <v>0.3375</v>
      </c>
      <c r="Q45" s="223" t="s">
        <v>316</v>
      </c>
      <c r="R45" s="223" t="s">
        <v>316</v>
      </c>
      <c r="S45" s="221"/>
      <c r="T45" s="221"/>
      <c r="U45" s="222">
        <v>0.30625</v>
      </c>
      <c r="V45" s="224">
        <v>0.16666666666666666</v>
      </c>
      <c r="W45" s="223" t="s">
        <v>269</v>
      </c>
      <c r="X45" s="222">
        <v>0.40625</v>
      </c>
      <c r="Y45" s="223" t="s">
        <v>316</v>
      </c>
      <c r="Z45" s="244"/>
      <c r="AA45" s="244"/>
      <c r="AB45" s="222">
        <v>0.3625</v>
      </c>
      <c r="AC45" s="222">
        <v>0.35694444444444445</v>
      </c>
      <c r="AD45" s="222">
        <v>0.36736111111111114</v>
      </c>
      <c r="AE45" s="223" t="s">
        <v>316</v>
      </c>
      <c r="AF45" s="223" t="s">
        <v>316</v>
      </c>
      <c r="AG45" s="244"/>
      <c r="AH45" s="244"/>
    </row>
    <row r="46">
      <c r="A46" s="252">
        <v>44.0</v>
      </c>
      <c r="B46" s="161" t="s">
        <v>278</v>
      </c>
      <c r="C46" s="203" t="s">
        <v>78</v>
      </c>
      <c r="D46" s="22">
        <f t="shared" si="2"/>
        <v>6.74375</v>
      </c>
      <c r="E46" s="244"/>
      <c r="F46" s="244"/>
      <c r="G46" s="223" t="s">
        <v>269</v>
      </c>
      <c r="H46" s="116">
        <v>0.3715277777777778</v>
      </c>
      <c r="I46" s="116">
        <v>0.3951388888888889</v>
      </c>
      <c r="J46" s="116">
        <v>0.3951388888888889</v>
      </c>
      <c r="K46" s="222">
        <v>0.39652777777777776</v>
      </c>
      <c r="L46" s="244"/>
      <c r="M46" s="244"/>
      <c r="N46" s="222">
        <v>0.4013888888888889</v>
      </c>
      <c r="O46" s="224">
        <v>0.38680555555555557</v>
      </c>
      <c r="P46" s="223" t="s">
        <v>316</v>
      </c>
      <c r="Q46" s="224">
        <v>0.40694444444444444</v>
      </c>
      <c r="R46" s="222">
        <v>0.34930555555555554</v>
      </c>
      <c r="S46" s="221"/>
      <c r="T46" s="221"/>
      <c r="U46" s="222">
        <v>0.3770833333333333</v>
      </c>
      <c r="V46" s="222">
        <v>0.3368055555555556</v>
      </c>
      <c r="W46" s="222">
        <v>0.37916666666666665</v>
      </c>
      <c r="X46" s="222">
        <v>0.39861111111111114</v>
      </c>
      <c r="Y46" s="222">
        <v>0.33055555555555555</v>
      </c>
      <c r="Z46" s="244"/>
      <c r="AA46" s="244"/>
      <c r="AB46" s="222">
        <v>0.3819444444444444</v>
      </c>
      <c r="AC46" s="222">
        <v>0.3590277777777778</v>
      </c>
      <c r="AD46" s="222">
        <v>0.3625</v>
      </c>
      <c r="AE46" s="222">
        <v>0.34375</v>
      </c>
      <c r="AF46" s="222">
        <v>0.3715277777777778</v>
      </c>
      <c r="AG46" s="244"/>
      <c r="AH46" s="244"/>
    </row>
    <row r="47">
      <c r="A47" s="253">
        <v>45.0</v>
      </c>
      <c r="B47" s="32"/>
      <c r="C47" s="203" t="s">
        <v>14</v>
      </c>
      <c r="D47" s="22">
        <f t="shared" si="2"/>
        <v>5.075694444</v>
      </c>
      <c r="E47" s="244"/>
      <c r="F47" s="244"/>
      <c r="G47" s="222">
        <v>0.41944444444444445</v>
      </c>
      <c r="H47" s="116">
        <v>0.4534722222222222</v>
      </c>
      <c r="I47" s="116">
        <v>0.3972222222222222</v>
      </c>
      <c r="J47" s="117">
        <v>0.16666666666666666</v>
      </c>
      <c r="K47" s="223" t="s">
        <v>316</v>
      </c>
      <c r="L47" s="244"/>
      <c r="M47" s="244"/>
      <c r="N47" s="224">
        <v>0.6</v>
      </c>
      <c r="O47" s="224">
        <v>0.42916666666666664</v>
      </c>
      <c r="P47" s="222">
        <v>0.49444444444444446</v>
      </c>
      <c r="Q47" s="224">
        <v>0.44166666666666665</v>
      </c>
      <c r="R47" s="223" t="s">
        <v>316</v>
      </c>
      <c r="S47" s="221"/>
      <c r="T47" s="221"/>
      <c r="U47" s="224">
        <v>0.4041666666666667</v>
      </c>
      <c r="V47" s="222">
        <v>0.3888888888888889</v>
      </c>
      <c r="W47" s="224">
        <v>0.5048611111111111</v>
      </c>
      <c r="X47" s="224">
        <v>0.37569444444444444</v>
      </c>
      <c r="Y47" s="223" t="s">
        <v>316</v>
      </c>
      <c r="Z47" s="244"/>
      <c r="AA47" s="244"/>
      <c r="AB47" s="223" t="s">
        <v>272</v>
      </c>
      <c r="AC47" s="223" t="s">
        <v>272</v>
      </c>
      <c r="AD47" s="223" t="s">
        <v>272</v>
      </c>
      <c r="AE47" s="223" t="s">
        <v>272</v>
      </c>
      <c r="AF47" s="223" t="s">
        <v>272</v>
      </c>
      <c r="AG47" s="244"/>
      <c r="AH47" s="244"/>
    </row>
    <row r="48">
      <c r="A48" s="252">
        <v>46.0</v>
      </c>
      <c r="B48" s="32"/>
      <c r="C48" s="203" t="s">
        <v>105</v>
      </c>
      <c r="D48" s="22">
        <f t="shared" si="2"/>
        <v>0</v>
      </c>
      <c r="E48" s="244"/>
      <c r="F48" s="244"/>
      <c r="G48" s="223" t="s">
        <v>316</v>
      </c>
      <c r="H48" s="223" t="s">
        <v>316</v>
      </c>
      <c r="I48" s="223" t="s">
        <v>316</v>
      </c>
      <c r="J48" s="223" t="s">
        <v>316</v>
      </c>
      <c r="K48" s="223" t="s">
        <v>316</v>
      </c>
      <c r="L48" s="244"/>
      <c r="M48" s="244"/>
      <c r="N48" s="223" t="s">
        <v>316</v>
      </c>
      <c r="O48" s="223" t="s">
        <v>316</v>
      </c>
      <c r="P48" s="223" t="s">
        <v>316</v>
      </c>
      <c r="Q48" s="223" t="s">
        <v>316</v>
      </c>
      <c r="R48" s="223" t="s">
        <v>316</v>
      </c>
      <c r="S48" s="221"/>
      <c r="T48" s="221"/>
      <c r="U48" s="223" t="s">
        <v>316</v>
      </c>
      <c r="V48" s="223" t="s">
        <v>316</v>
      </c>
      <c r="W48" s="223" t="s">
        <v>316</v>
      </c>
      <c r="X48" s="223" t="s">
        <v>316</v>
      </c>
      <c r="Y48" s="223" t="s">
        <v>316</v>
      </c>
      <c r="Z48" s="244"/>
      <c r="AA48" s="244"/>
      <c r="AB48" s="223" t="s">
        <v>316</v>
      </c>
      <c r="AC48" s="223" t="s">
        <v>316</v>
      </c>
      <c r="AD48" s="223" t="s">
        <v>316</v>
      </c>
      <c r="AE48" s="223" t="s">
        <v>316</v>
      </c>
      <c r="AF48" s="223" t="s">
        <v>316</v>
      </c>
      <c r="AG48" s="244"/>
      <c r="AH48" s="244"/>
    </row>
    <row r="49">
      <c r="A49" s="252">
        <v>47.0</v>
      </c>
      <c r="B49" s="32"/>
      <c r="C49" s="203" t="s">
        <v>29</v>
      </c>
      <c r="D49" s="22">
        <f t="shared" si="2"/>
        <v>0</v>
      </c>
      <c r="E49" s="244"/>
      <c r="F49" s="244"/>
      <c r="G49" s="223" t="s">
        <v>316</v>
      </c>
      <c r="H49" s="223" t="s">
        <v>316</v>
      </c>
      <c r="I49" s="223" t="s">
        <v>316</v>
      </c>
      <c r="J49" s="223" t="s">
        <v>316</v>
      </c>
      <c r="K49" s="223" t="s">
        <v>316</v>
      </c>
      <c r="L49" s="244"/>
      <c r="M49" s="244"/>
      <c r="N49" s="223" t="s">
        <v>316</v>
      </c>
      <c r="O49" s="223" t="s">
        <v>316</v>
      </c>
      <c r="P49" s="223" t="s">
        <v>316</v>
      </c>
      <c r="Q49" s="223" t="s">
        <v>316</v>
      </c>
      <c r="R49" s="223" t="s">
        <v>316</v>
      </c>
      <c r="S49" s="221"/>
      <c r="T49" s="221"/>
      <c r="U49" s="223" t="s">
        <v>316</v>
      </c>
      <c r="V49" s="223" t="s">
        <v>316</v>
      </c>
      <c r="W49" s="223" t="s">
        <v>316</v>
      </c>
      <c r="X49" s="223" t="s">
        <v>316</v>
      </c>
      <c r="Y49" s="223" t="s">
        <v>316</v>
      </c>
      <c r="Z49" s="244"/>
      <c r="AA49" s="244"/>
      <c r="AB49" s="223" t="s">
        <v>316</v>
      </c>
      <c r="AC49" s="223" t="s">
        <v>316</v>
      </c>
      <c r="AD49" s="223" t="s">
        <v>316</v>
      </c>
      <c r="AE49" s="223" t="s">
        <v>316</v>
      </c>
      <c r="AF49" s="223" t="s">
        <v>316</v>
      </c>
      <c r="AG49" s="244"/>
      <c r="AH49" s="244"/>
    </row>
    <row r="50">
      <c r="A50" s="253">
        <v>48.0</v>
      </c>
      <c r="B50" s="32"/>
      <c r="C50" s="203" t="s">
        <v>17</v>
      </c>
      <c r="D50" s="22">
        <f t="shared" si="2"/>
        <v>6.261805556</v>
      </c>
      <c r="E50" s="244"/>
      <c r="F50" s="244"/>
      <c r="G50" s="222">
        <v>0.18055555555555555</v>
      </c>
      <c r="H50" s="116">
        <v>0.4048611111111111</v>
      </c>
      <c r="I50" s="116">
        <v>0.3729166666666667</v>
      </c>
      <c r="J50" s="116">
        <v>0.42916666666666664</v>
      </c>
      <c r="K50" s="224">
        <v>0.16666666666666666</v>
      </c>
      <c r="L50" s="244"/>
      <c r="M50" s="244"/>
      <c r="N50" s="222">
        <v>0.3888888888888889</v>
      </c>
      <c r="O50" s="224">
        <v>0.3854166666666667</v>
      </c>
      <c r="P50" s="222">
        <v>0.4083333333333333</v>
      </c>
      <c r="Q50" s="223" t="s">
        <v>269</v>
      </c>
      <c r="R50" s="224">
        <v>0.16666666666666666</v>
      </c>
      <c r="S50" s="221"/>
      <c r="T50" s="221"/>
      <c r="U50" s="223" t="s">
        <v>316</v>
      </c>
      <c r="V50" s="222">
        <v>0.3993055555555556</v>
      </c>
      <c r="W50" s="224">
        <v>0.5145833333333333</v>
      </c>
      <c r="X50" s="224">
        <v>0.38333333333333336</v>
      </c>
      <c r="Y50" s="222">
        <v>0.3590277777777778</v>
      </c>
      <c r="Z50" s="244"/>
      <c r="AA50" s="244"/>
      <c r="AB50" s="223" t="s">
        <v>271</v>
      </c>
      <c r="AC50" s="222">
        <v>0.44722222222222224</v>
      </c>
      <c r="AD50" s="224">
        <v>0.5111111111111111</v>
      </c>
      <c r="AE50" s="224">
        <v>0.37569444444444444</v>
      </c>
      <c r="AF50" s="224">
        <v>0.3680555555555556</v>
      </c>
      <c r="AG50" s="244"/>
      <c r="AH50" s="244"/>
    </row>
    <row r="51">
      <c r="A51" s="252">
        <v>49.0</v>
      </c>
      <c r="B51" s="32"/>
      <c r="C51" s="203" t="s">
        <v>150</v>
      </c>
      <c r="D51" s="22">
        <f t="shared" si="2"/>
        <v>4.386111111</v>
      </c>
      <c r="E51" s="244"/>
      <c r="F51" s="244"/>
      <c r="G51" s="222">
        <v>0.4840277777777778</v>
      </c>
      <c r="H51" s="116">
        <v>0.46041666666666664</v>
      </c>
      <c r="I51" s="116">
        <v>0.47708333333333336</v>
      </c>
      <c r="J51" s="114" t="s">
        <v>316</v>
      </c>
      <c r="K51" s="223" t="s">
        <v>316</v>
      </c>
      <c r="L51" s="244"/>
      <c r="M51" s="244"/>
      <c r="N51" s="222">
        <v>0.3020833333333333</v>
      </c>
      <c r="O51" s="224">
        <v>0.42083333333333334</v>
      </c>
      <c r="P51" s="223" t="s">
        <v>316</v>
      </c>
      <c r="Q51" s="222">
        <v>0.18194444444444444</v>
      </c>
      <c r="R51" s="223" t="s">
        <v>316</v>
      </c>
      <c r="S51" s="221"/>
      <c r="T51" s="221"/>
      <c r="U51" s="222">
        <v>0.40625</v>
      </c>
      <c r="V51" s="223" t="s">
        <v>269</v>
      </c>
      <c r="W51" s="223" t="s">
        <v>316</v>
      </c>
      <c r="X51" s="222">
        <v>0.43194444444444446</v>
      </c>
      <c r="Y51" s="223" t="s">
        <v>316</v>
      </c>
      <c r="Z51" s="244"/>
      <c r="AA51" s="244"/>
      <c r="AB51" s="222">
        <v>0.42777777777777776</v>
      </c>
      <c r="AC51" s="222">
        <v>0.3173611111111111</v>
      </c>
      <c r="AD51" s="222">
        <v>0.47638888888888886</v>
      </c>
      <c r="AE51" s="223" t="s">
        <v>316</v>
      </c>
      <c r="AF51" s="223" t="s">
        <v>316</v>
      </c>
      <c r="AG51" s="244"/>
      <c r="AH51" s="244"/>
    </row>
    <row r="52">
      <c r="A52" s="252">
        <v>50.0</v>
      </c>
      <c r="B52" s="32"/>
      <c r="C52" s="198" t="s">
        <v>249</v>
      </c>
      <c r="D52" s="22">
        <f t="shared" si="2"/>
        <v>4.491666667</v>
      </c>
      <c r="E52" s="244"/>
      <c r="F52" s="244"/>
      <c r="G52" s="223" t="s">
        <v>316</v>
      </c>
      <c r="H52" s="223" t="s">
        <v>316</v>
      </c>
      <c r="I52" s="116">
        <v>0.37777777777777777</v>
      </c>
      <c r="J52" s="116">
        <v>0.3715277777777778</v>
      </c>
      <c r="K52" s="223" t="s">
        <v>316</v>
      </c>
      <c r="L52" s="244"/>
      <c r="M52" s="244"/>
      <c r="N52" s="222">
        <v>0.37430555555555556</v>
      </c>
      <c r="O52" s="224">
        <v>0.35694444444444445</v>
      </c>
      <c r="P52" s="224">
        <v>0.16666666666666666</v>
      </c>
      <c r="Q52" s="222">
        <v>0.3104166666666667</v>
      </c>
      <c r="R52" s="223" t="s">
        <v>316</v>
      </c>
      <c r="S52" s="221"/>
      <c r="T52" s="221"/>
      <c r="U52" s="222">
        <v>0.3701388888888889</v>
      </c>
      <c r="V52" s="222">
        <v>0.3680555555555556</v>
      </c>
      <c r="W52" s="222">
        <v>0.36319444444444443</v>
      </c>
      <c r="X52" s="222">
        <v>0.35138888888888886</v>
      </c>
      <c r="Y52" s="223" t="s">
        <v>316</v>
      </c>
      <c r="Z52" s="244"/>
      <c r="AA52" s="244"/>
      <c r="AB52" s="222">
        <v>0.35208333333333336</v>
      </c>
      <c r="AC52" s="222">
        <v>0.3458333333333333</v>
      </c>
      <c r="AD52" s="223" t="s">
        <v>315</v>
      </c>
      <c r="AE52" s="222">
        <v>0.38333333333333336</v>
      </c>
      <c r="AF52" s="223" t="s">
        <v>316</v>
      </c>
      <c r="AG52" s="244"/>
      <c r="AH52" s="244"/>
    </row>
    <row r="53">
      <c r="A53" s="253">
        <v>51.0</v>
      </c>
      <c r="B53" s="32"/>
      <c r="C53" s="198" t="s">
        <v>394</v>
      </c>
      <c r="D53" s="22">
        <f t="shared" si="2"/>
        <v>5.394444444</v>
      </c>
      <c r="E53" s="244"/>
      <c r="F53" s="244"/>
      <c r="G53" s="222">
        <v>0.37777777777777777</v>
      </c>
      <c r="H53" s="116">
        <v>0.37777777777777777</v>
      </c>
      <c r="I53" s="116">
        <v>0.37916666666666665</v>
      </c>
      <c r="J53" s="116">
        <v>0.375</v>
      </c>
      <c r="K53" s="223" t="s">
        <v>316</v>
      </c>
      <c r="L53" s="244"/>
      <c r="M53" s="244"/>
      <c r="N53" s="222">
        <v>0.3798611111111111</v>
      </c>
      <c r="O53" s="224">
        <v>0.39375</v>
      </c>
      <c r="P53" s="222">
        <v>0.175</v>
      </c>
      <c r="Q53" s="222">
        <v>0.3701388888888889</v>
      </c>
      <c r="R53" s="223" t="s">
        <v>316</v>
      </c>
      <c r="S53" s="221"/>
      <c r="T53" s="221"/>
      <c r="U53" s="223" t="s">
        <v>271</v>
      </c>
      <c r="V53" s="222">
        <v>0.4</v>
      </c>
      <c r="W53" s="222">
        <v>0.37569444444444444</v>
      </c>
      <c r="X53" s="222">
        <v>0.38263888888888886</v>
      </c>
      <c r="Y53" s="223" t="s">
        <v>316</v>
      </c>
      <c r="Z53" s="244"/>
      <c r="AA53" s="244"/>
      <c r="AB53" s="222">
        <v>0.37569444444444444</v>
      </c>
      <c r="AC53" s="222">
        <v>0.36319444444444443</v>
      </c>
      <c r="AD53" s="222">
        <v>0.36736111111111114</v>
      </c>
      <c r="AE53" s="222">
        <v>0.3013888888888889</v>
      </c>
      <c r="AF53" s="223" t="s">
        <v>316</v>
      </c>
      <c r="AG53" s="244"/>
      <c r="AH53" s="244"/>
    </row>
    <row r="54">
      <c r="A54" s="252">
        <v>52.0</v>
      </c>
      <c r="B54" s="32"/>
      <c r="C54" s="198" t="s">
        <v>72</v>
      </c>
      <c r="D54" s="22">
        <f t="shared" si="2"/>
        <v>5.079166667</v>
      </c>
      <c r="E54" s="244"/>
      <c r="F54" s="244"/>
      <c r="G54" s="222">
        <v>0.4666666666666667</v>
      </c>
      <c r="H54" s="116">
        <v>0.45416666666666666</v>
      </c>
      <c r="I54" s="116">
        <v>0.3909722222222222</v>
      </c>
      <c r="J54" s="116">
        <v>0.44166666666666665</v>
      </c>
      <c r="K54" s="223" t="s">
        <v>316</v>
      </c>
      <c r="L54" s="244"/>
      <c r="M54" s="244"/>
      <c r="N54" s="222">
        <v>0.4083333333333333</v>
      </c>
      <c r="O54" s="224">
        <v>0.3423611111111111</v>
      </c>
      <c r="P54" s="222">
        <v>0.41805555555555557</v>
      </c>
      <c r="Q54" s="222">
        <v>0.41944444444444445</v>
      </c>
      <c r="R54" s="223" t="s">
        <v>316</v>
      </c>
      <c r="S54" s="221"/>
      <c r="T54" s="221"/>
      <c r="U54" s="222">
        <v>0.4486111111111111</v>
      </c>
      <c r="V54" s="222">
        <v>0.425</v>
      </c>
      <c r="W54" s="222">
        <v>0.4305555555555556</v>
      </c>
      <c r="X54" s="222">
        <v>0.43333333333333335</v>
      </c>
      <c r="Y54" s="223" t="s">
        <v>316</v>
      </c>
      <c r="Z54" s="244"/>
      <c r="AA54" s="244"/>
      <c r="AB54" s="223" t="s">
        <v>272</v>
      </c>
      <c r="AC54" s="223" t="s">
        <v>272</v>
      </c>
      <c r="AD54" s="223" t="s">
        <v>272</v>
      </c>
      <c r="AE54" s="223" t="s">
        <v>272</v>
      </c>
      <c r="AF54" s="223" t="s">
        <v>272</v>
      </c>
      <c r="AG54" s="244"/>
      <c r="AH54" s="244"/>
    </row>
    <row r="55">
      <c r="A55" s="252">
        <v>53.0</v>
      </c>
      <c r="B55" s="32"/>
      <c r="C55" s="198" t="s">
        <v>204</v>
      </c>
      <c r="D55" s="22">
        <f t="shared" si="2"/>
        <v>0</v>
      </c>
      <c r="E55" s="244"/>
      <c r="F55" s="244"/>
      <c r="G55" s="223" t="s">
        <v>316</v>
      </c>
      <c r="H55" s="223" t="s">
        <v>316</v>
      </c>
      <c r="I55" s="223" t="s">
        <v>316</v>
      </c>
      <c r="J55" s="223" t="s">
        <v>316</v>
      </c>
      <c r="K55" s="223" t="s">
        <v>316</v>
      </c>
      <c r="L55" s="244"/>
      <c r="M55" s="244"/>
      <c r="N55" s="223" t="s">
        <v>316</v>
      </c>
      <c r="O55" s="223" t="s">
        <v>316</v>
      </c>
      <c r="P55" s="223" t="s">
        <v>316</v>
      </c>
      <c r="Q55" s="223" t="s">
        <v>316</v>
      </c>
      <c r="R55" s="223" t="s">
        <v>316</v>
      </c>
      <c r="S55" s="221"/>
      <c r="T55" s="221"/>
      <c r="U55" s="223" t="s">
        <v>316</v>
      </c>
      <c r="V55" s="223" t="s">
        <v>316</v>
      </c>
      <c r="W55" s="223" t="s">
        <v>316</v>
      </c>
      <c r="X55" s="223" t="s">
        <v>316</v>
      </c>
      <c r="Y55" s="223" t="s">
        <v>316</v>
      </c>
      <c r="Z55" s="244"/>
      <c r="AA55" s="244"/>
      <c r="AB55" s="223" t="s">
        <v>316</v>
      </c>
      <c r="AC55" s="223" t="s">
        <v>316</v>
      </c>
      <c r="AD55" s="223" t="s">
        <v>316</v>
      </c>
      <c r="AE55" s="223" t="s">
        <v>316</v>
      </c>
      <c r="AF55" s="223" t="s">
        <v>316</v>
      </c>
      <c r="AG55" s="244"/>
      <c r="AH55" s="244"/>
    </row>
    <row r="56">
      <c r="A56" s="253">
        <v>54.0</v>
      </c>
      <c r="B56" s="32"/>
      <c r="C56" s="200" t="s">
        <v>410</v>
      </c>
      <c r="D56" s="22">
        <f t="shared" si="2"/>
        <v>6.608333333</v>
      </c>
      <c r="E56" s="244"/>
      <c r="F56" s="244"/>
      <c r="G56" s="222">
        <v>0.3402777777777778</v>
      </c>
      <c r="H56" s="116">
        <v>0.4166666666666667</v>
      </c>
      <c r="I56" s="116">
        <v>0.34930555555555554</v>
      </c>
      <c r="J56" s="116">
        <v>0.3472222222222222</v>
      </c>
      <c r="K56" s="222">
        <v>0.3347222222222222</v>
      </c>
      <c r="L56" s="244"/>
      <c r="M56" s="244"/>
      <c r="N56" s="222">
        <v>0.39375</v>
      </c>
      <c r="O56" s="224">
        <v>0.36736111111111114</v>
      </c>
      <c r="P56" s="222">
        <v>0.35555555555555557</v>
      </c>
      <c r="Q56" s="222">
        <v>0.3548611111111111</v>
      </c>
      <c r="R56" s="222">
        <v>0.34652777777777777</v>
      </c>
      <c r="S56" s="221"/>
      <c r="T56" s="221"/>
      <c r="U56" s="255" t="s">
        <v>435</v>
      </c>
      <c r="V56" s="222">
        <v>0.35138888888888886</v>
      </c>
      <c r="W56" s="224">
        <v>0.16666666666666666</v>
      </c>
      <c r="X56" s="222">
        <v>0.3611111111111111</v>
      </c>
      <c r="Y56" s="222">
        <v>0.35</v>
      </c>
      <c r="Z56" s="244"/>
      <c r="AA56" s="244"/>
      <c r="AB56" s="222">
        <v>0.36944444444444446</v>
      </c>
      <c r="AC56" s="222">
        <v>0.3472222222222222</v>
      </c>
      <c r="AD56" s="222">
        <v>0.34652777777777777</v>
      </c>
      <c r="AE56" s="222">
        <v>0.33402777777777776</v>
      </c>
      <c r="AF56" s="224">
        <v>0.37569444444444444</v>
      </c>
      <c r="AG56" s="244"/>
      <c r="AH56" s="244"/>
    </row>
    <row r="57">
      <c r="A57" s="252">
        <v>55.0</v>
      </c>
      <c r="B57" s="32"/>
      <c r="C57" s="198" t="s">
        <v>81</v>
      </c>
      <c r="D57" s="22">
        <f t="shared" si="2"/>
        <v>6.214583333</v>
      </c>
      <c r="E57" s="244"/>
      <c r="F57" s="244"/>
      <c r="G57" s="222">
        <v>0.3798611111111111</v>
      </c>
      <c r="H57" s="116">
        <v>0.42430555555555555</v>
      </c>
      <c r="I57" s="114" t="s">
        <v>269</v>
      </c>
      <c r="J57" s="117">
        <v>0.16666666666666666</v>
      </c>
      <c r="K57" s="224">
        <v>0.5513888888888889</v>
      </c>
      <c r="L57" s="244"/>
      <c r="M57" s="244"/>
      <c r="N57" s="222">
        <v>0.49583333333333335</v>
      </c>
      <c r="O57" s="224">
        <v>0.5194444444444445</v>
      </c>
      <c r="P57" s="222">
        <v>0.4</v>
      </c>
      <c r="Q57" s="222">
        <v>0.42777777777777776</v>
      </c>
      <c r="R57" s="224">
        <v>0.16666666666666666</v>
      </c>
      <c r="S57" s="221"/>
      <c r="T57" s="221"/>
      <c r="U57" s="222">
        <v>0.5513888888888889</v>
      </c>
      <c r="V57" s="222">
        <v>0.40694444444444444</v>
      </c>
      <c r="W57" s="224">
        <v>0.16666666666666666</v>
      </c>
      <c r="X57" s="222">
        <v>0.2972222222222222</v>
      </c>
      <c r="Y57" s="223" t="s">
        <v>316</v>
      </c>
      <c r="Z57" s="244"/>
      <c r="AA57" s="244"/>
      <c r="AB57" s="222">
        <v>0.27708333333333335</v>
      </c>
      <c r="AC57" s="223" t="s">
        <v>316</v>
      </c>
      <c r="AD57" s="222">
        <v>0.50625</v>
      </c>
      <c r="AE57" s="222">
        <v>0.47708333333333336</v>
      </c>
      <c r="AF57" s="223" t="s">
        <v>316</v>
      </c>
      <c r="AG57" s="244"/>
      <c r="AH57" s="244"/>
    </row>
    <row r="58">
      <c r="A58" s="252">
        <v>56.0</v>
      </c>
      <c r="B58" s="32"/>
      <c r="C58" s="198" t="s">
        <v>153</v>
      </c>
      <c r="D58" s="22">
        <f t="shared" si="2"/>
        <v>5.345833333</v>
      </c>
      <c r="E58" s="244"/>
      <c r="F58" s="244"/>
      <c r="G58" s="222">
        <v>0.5020833333333333</v>
      </c>
      <c r="H58" s="116">
        <v>0.5083333333333333</v>
      </c>
      <c r="I58" s="117">
        <v>0.16666666666666666</v>
      </c>
      <c r="J58" s="116">
        <v>0.4048611111111111</v>
      </c>
      <c r="K58" s="223" t="s">
        <v>316</v>
      </c>
      <c r="L58" s="244"/>
      <c r="M58" s="244"/>
      <c r="N58" s="222">
        <v>0.36875</v>
      </c>
      <c r="O58" s="224">
        <v>0.2875</v>
      </c>
      <c r="P58" s="222">
        <v>0.30416666666666664</v>
      </c>
      <c r="Q58" s="222">
        <v>0.44375</v>
      </c>
      <c r="R58" s="223" t="s">
        <v>316</v>
      </c>
      <c r="S58" s="221"/>
      <c r="T58" s="221"/>
      <c r="U58" s="223" t="s">
        <v>316</v>
      </c>
      <c r="V58" s="223" t="s">
        <v>316</v>
      </c>
      <c r="W58" s="222">
        <v>0.28541666666666665</v>
      </c>
      <c r="X58" s="222">
        <v>0.35138888888888886</v>
      </c>
      <c r="Y58" s="223" t="s">
        <v>316</v>
      </c>
      <c r="Z58" s="244"/>
      <c r="AA58" s="244"/>
      <c r="AB58" s="222">
        <v>0.41458333333333336</v>
      </c>
      <c r="AC58" s="222">
        <v>0.4666666666666667</v>
      </c>
      <c r="AD58" s="222">
        <v>0.42291666666666666</v>
      </c>
      <c r="AE58" s="224">
        <v>0.41875</v>
      </c>
      <c r="AF58" s="223" t="s">
        <v>316</v>
      </c>
      <c r="AG58" s="244"/>
      <c r="AH58" s="244"/>
    </row>
    <row r="59">
      <c r="A59" s="253">
        <v>57.0</v>
      </c>
      <c r="B59" s="32"/>
      <c r="C59" s="198" t="s">
        <v>198</v>
      </c>
      <c r="D59" s="22">
        <f t="shared" si="2"/>
        <v>3.1625</v>
      </c>
      <c r="E59" s="244"/>
      <c r="F59" s="244"/>
      <c r="G59" s="222">
        <v>0.3680555555555556</v>
      </c>
      <c r="H59" s="116">
        <v>0.37916666666666665</v>
      </c>
      <c r="I59" s="116">
        <v>0.3638888888888889</v>
      </c>
      <c r="J59" s="114" t="s">
        <v>342</v>
      </c>
      <c r="K59" s="223" t="s">
        <v>316</v>
      </c>
      <c r="L59" s="244"/>
      <c r="M59" s="244"/>
      <c r="N59" s="222">
        <v>0.3715277777777778</v>
      </c>
      <c r="O59" s="224">
        <v>0.16666666666666666</v>
      </c>
      <c r="P59" s="223" t="s">
        <v>315</v>
      </c>
      <c r="Q59" s="222">
        <v>0.37569444444444444</v>
      </c>
      <c r="R59" s="223" t="s">
        <v>316</v>
      </c>
      <c r="S59" s="221"/>
      <c r="T59" s="221"/>
      <c r="U59" s="223" t="s">
        <v>316</v>
      </c>
      <c r="V59" s="223" t="s">
        <v>316</v>
      </c>
      <c r="W59" s="223" t="s">
        <v>330</v>
      </c>
      <c r="X59" s="223" t="s">
        <v>316</v>
      </c>
      <c r="Y59" s="223" t="s">
        <v>316</v>
      </c>
      <c r="Z59" s="244"/>
      <c r="AA59" s="244"/>
      <c r="AB59" s="222">
        <v>0.41597222222222224</v>
      </c>
      <c r="AC59" s="222">
        <v>0.3541666666666667</v>
      </c>
      <c r="AD59" s="222">
        <v>0.36736111111111114</v>
      </c>
      <c r="AE59" s="223" t="s">
        <v>271</v>
      </c>
      <c r="AF59" s="223" t="s">
        <v>316</v>
      </c>
      <c r="AG59" s="244"/>
      <c r="AH59" s="244"/>
    </row>
    <row r="60">
      <c r="A60" s="252">
        <v>58.0</v>
      </c>
      <c r="B60" s="32"/>
      <c r="C60" s="200" t="s">
        <v>411</v>
      </c>
      <c r="D60" s="22">
        <f t="shared" si="2"/>
        <v>4.243055556</v>
      </c>
      <c r="E60" s="244"/>
      <c r="F60" s="244"/>
      <c r="G60" s="223" t="s">
        <v>316</v>
      </c>
      <c r="H60" s="116">
        <v>0.5555555555555556</v>
      </c>
      <c r="I60" s="116">
        <v>0.38958333333333334</v>
      </c>
      <c r="J60" s="117">
        <v>0.16666666666666666</v>
      </c>
      <c r="K60" s="223" t="s">
        <v>316</v>
      </c>
      <c r="L60" s="244"/>
      <c r="M60" s="244"/>
      <c r="N60" s="223" t="s">
        <v>316</v>
      </c>
      <c r="O60" s="224">
        <v>0.16666666666666666</v>
      </c>
      <c r="P60" s="222">
        <v>0.3993055555555556</v>
      </c>
      <c r="Q60" s="222">
        <v>0.4048611111111111</v>
      </c>
      <c r="R60" s="223" t="s">
        <v>316</v>
      </c>
      <c r="S60" s="221"/>
      <c r="T60" s="221"/>
      <c r="U60" s="223" t="s">
        <v>316</v>
      </c>
      <c r="V60" s="222">
        <v>0.40208333333333335</v>
      </c>
      <c r="W60" s="224">
        <v>0.6180555555555556</v>
      </c>
      <c r="X60" s="222">
        <v>0.26458333333333334</v>
      </c>
      <c r="Y60" s="223" t="s">
        <v>316</v>
      </c>
      <c r="Z60" s="244"/>
      <c r="AA60" s="244"/>
      <c r="AB60" s="223" t="s">
        <v>316</v>
      </c>
      <c r="AC60" s="223" t="s">
        <v>269</v>
      </c>
      <c r="AD60" s="222">
        <v>0.40625</v>
      </c>
      <c r="AE60" s="222">
        <v>0.46944444444444444</v>
      </c>
      <c r="AF60" s="223" t="s">
        <v>316</v>
      </c>
      <c r="AG60" s="244"/>
      <c r="AH60" s="244"/>
    </row>
    <row r="61">
      <c r="A61" s="252">
        <v>59.0</v>
      </c>
      <c r="B61" s="32"/>
      <c r="C61" s="200" t="s">
        <v>412</v>
      </c>
      <c r="D61" s="22">
        <f t="shared" si="2"/>
        <v>4.898611111</v>
      </c>
      <c r="E61" s="244"/>
      <c r="F61" s="244"/>
      <c r="G61" s="222">
        <v>0.35555555555555557</v>
      </c>
      <c r="H61" s="116">
        <v>0.35555555555555557</v>
      </c>
      <c r="I61" s="117">
        <v>0.16666666666666666</v>
      </c>
      <c r="J61" s="114" t="s">
        <v>316</v>
      </c>
      <c r="K61" s="222">
        <v>0.3729166666666667</v>
      </c>
      <c r="L61" s="244"/>
      <c r="M61" s="244"/>
      <c r="N61" s="222">
        <v>0.35347222222222224</v>
      </c>
      <c r="O61" s="224">
        <v>0.36319444444444443</v>
      </c>
      <c r="P61" s="222">
        <v>0.3701388888888889</v>
      </c>
      <c r="Q61" s="222">
        <v>0.35138888888888886</v>
      </c>
      <c r="R61" s="223" t="s">
        <v>316</v>
      </c>
      <c r="S61" s="221"/>
      <c r="T61" s="221"/>
      <c r="U61" s="222">
        <v>0.3506944444444444</v>
      </c>
      <c r="V61" s="222">
        <v>0.3527777777777778</v>
      </c>
      <c r="W61" s="222">
        <v>0.3451388888888889</v>
      </c>
      <c r="X61" s="223" t="s">
        <v>330</v>
      </c>
      <c r="Y61" s="223" t="s">
        <v>316</v>
      </c>
      <c r="Z61" s="244"/>
      <c r="AA61" s="244"/>
      <c r="AB61" s="222">
        <v>0.35347222222222224</v>
      </c>
      <c r="AC61" s="222">
        <v>0.3625</v>
      </c>
      <c r="AD61" s="222">
        <v>0.35138888888888886</v>
      </c>
      <c r="AE61" s="222">
        <v>0.09375</v>
      </c>
      <c r="AF61" s="223" t="s">
        <v>316</v>
      </c>
      <c r="AG61" s="244"/>
      <c r="AH61" s="244"/>
    </row>
    <row r="62">
      <c r="A62" s="253">
        <v>60.0</v>
      </c>
      <c r="B62" s="32"/>
      <c r="C62" s="198" t="s">
        <v>26</v>
      </c>
      <c r="D62" s="22">
        <f t="shared" si="2"/>
        <v>5.924305556</v>
      </c>
      <c r="E62" s="244"/>
      <c r="F62" s="244"/>
      <c r="G62" s="222">
        <v>0.3909722222222222</v>
      </c>
      <c r="H62" s="116">
        <v>0.4708333333333333</v>
      </c>
      <c r="I62" s="117">
        <v>0.5520833333333334</v>
      </c>
      <c r="J62" s="116">
        <v>0.4263888888888889</v>
      </c>
      <c r="K62" s="223" t="s">
        <v>316</v>
      </c>
      <c r="L62" s="244"/>
      <c r="M62" s="244"/>
      <c r="N62" s="222">
        <v>0.42569444444444443</v>
      </c>
      <c r="O62" s="224">
        <v>0.33194444444444443</v>
      </c>
      <c r="P62" s="222">
        <v>0.4375</v>
      </c>
      <c r="Q62" s="224">
        <v>0.6305555555555555</v>
      </c>
      <c r="R62" s="224">
        <v>0.16666666666666666</v>
      </c>
      <c r="S62" s="221"/>
      <c r="T62" s="221"/>
      <c r="U62" s="223" t="s">
        <v>316</v>
      </c>
      <c r="V62" s="224">
        <v>0.4222222222222222</v>
      </c>
      <c r="W62" s="224">
        <v>0.49375</v>
      </c>
      <c r="X62" s="224">
        <v>0.44375</v>
      </c>
      <c r="Y62" s="223" t="s">
        <v>316</v>
      </c>
      <c r="Z62" s="244"/>
      <c r="AA62" s="244"/>
      <c r="AB62" s="223" t="s">
        <v>269</v>
      </c>
      <c r="AC62" s="224">
        <v>0.37083333333333335</v>
      </c>
      <c r="AD62" s="222">
        <v>0.3611111111111111</v>
      </c>
      <c r="AE62" s="223" t="s">
        <v>316</v>
      </c>
      <c r="AF62" s="223" t="s">
        <v>316</v>
      </c>
      <c r="AG62" s="244"/>
      <c r="AH62" s="244"/>
    </row>
    <row r="63">
      <c r="A63" s="252">
        <v>61.0</v>
      </c>
      <c r="B63" s="32"/>
      <c r="C63" s="198" t="s">
        <v>51</v>
      </c>
      <c r="D63" s="22">
        <f t="shared" si="2"/>
        <v>0.6173611111</v>
      </c>
      <c r="E63" s="244"/>
      <c r="F63" s="244"/>
      <c r="G63" s="223" t="s">
        <v>272</v>
      </c>
      <c r="H63" s="223" t="s">
        <v>272</v>
      </c>
      <c r="I63" s="223" t="s">
        <v>272</v>
      </c>
      <c r="J63" s="223" t="s">
        <v>272</v>
      </c>
      <c r="K63" s="223" t="s">
        <v>272</v>
      </c>
      <c r="L63" s="244"/>
      <c r="M63" s="244"/>
      <c r="N63" s="223" t="s">
        <v>272</v>
      </c>
      <c r="O63" s="223" t="s">
        <v>272</v>
      </c>
      <c r="P63" s="223" t="s">
        <v>272</v>
      </c>
      <c r="Q63" s="223" t="s">
        <v>272</v>
      </c>
      <c r="R63" s="223" t="s">
        <v>272</v>
      </c>
      <c r="S63" s="221"/>
      <c r="T63" s="221"/>
      <c r="U63" s="223" t="s">
        <v>316</v>
      </c>
      <c r="V63" s="223" t="s">
        <v>316</v>
      </c>
      <c r="W63" s="222">
        <v>0.3798611111111111</v>
      </c>
      <c r="X63" s="224">
        <v>0.2375</v>
      </c>
      <c r="Y63" s="223" t="s">
        <v>316</v>
      </c>
      <c r="Z63" s="244"/>
      <c r="AA63" s="244"/>
      <c r="AB63" s="223" t="s">
        <v>316</v>
      </c>
      <c r="AC63" s="223" t="s">
        <v>269</v>
      </c>
      <c r="AD63" s="223" t="s">
        <v>316</v>
      </c>
      <c r="AE63" s="223" t="s">
        <v>316</v>
      </c>
      <c r="AF63" s="223" t="s">
        <v>316</v>
      </c>
      <c r="AG63" s="244"/>
      <c r="AH63" s="244"/>
    </row>
    <row r="64">
      <c r="A64" s="252">
        <v>62.0</v>
      </c>
      <c r="B64" s="32"/>
      <c r="C64" s="200" t="s">
        <v>413</v>
      </c>
      <c r="D64" s="22">
        <f t="shared" si="2"/>
        <v>4.059722222</v>
      </c>
      <c r="E64" s="244"/>
      <c r="F64" s="244"/>
      <c r="G64" s="222">
        <v>0.37569444444444444</v>
      </c>
      <c r="H64" s="114" t="s">
        <v>269</v>
      </c>
      <c r="I64" s="117">
        <v>0.16666666666666666</v>
      </c>
      <c r="J64" s="116">
        <v>0.37916666666666665</v>
      </c>
      <c r="K64" s="223" t="s">
        <v>316</v>
      </c>
      <c r="L64" s="244"/>
      <c r="M64" s="244"/>
      <c r="N64" s="223" t="s">
        <v>316</v>
      </c>
      <c r="O64" s="224">
        <v>0.3819444444444444</v>
      </c>
      <c r="P64" s="222">
        <v>0.375</v>
      </c>
      <c r="Q64" s="222">
        <v>0.2048611111111111</v>
      </c>
      <c r="R64" s="223" t="s">
        <v>316</v>
      </c>
      <c r="S64" s="221"/>
      <c r="T64" s="221"/>
      <c r="U64" s="224">
        <v>0.16666666666666666</v>
      </c>
      <c r="V64" s="222">
        <v>0.35208333333333336</v>
      </c>
      <c r="W64" s="222">
        <v>0.3888888888888889</v>
      </c>
      <c r="X64" s="223" t="s">
        <v>271</v>
      </c>
      <c r="Y64" s="223" t="s">
        <v>316</v>
      </c>
      <c r="Z64" s="244"/>
      <c r="AA64" s="244"/>
      <c r="AB64" s="222">
        <v>0.3902777777777778</v>
      </c>
      <c r="AC64" s="224">
        <v>0.16666666666666666</v>
      </c>
      <c r="AD64" s="222">
        <v>0.32916666666666666</v>
      </c>
      <c r="AE64" s="222">
        <v>0.38263888888888886</v>
      </c>
      <c r="AF64" s="223" t="s">
        <v>316</v>
      </c>
      <c r="AG64" s="244"/>
      <c r="AH64" s="244"/>
    </row>
    <row r="65">
      <c r="A65" s="253">
        <v>63.0</v>
      </c>
      <c r="B65" s="32"/>
      <c r="C65" s="198" t="s">
        <v>397</v>
      </c>
      <c r="D65" s="22">
        <f t="shared" si="2"/>
        <v>5.970833333</v>
      </c>
      <c r="E65" s="244"/>
      <c r="F65" s="244"/>
      <c r="G65" s="223" t="s">
        <v>269</v>
      </c>
      <c r="H65" s="116">
        <v>0.3875</v>
      </c>
      <c r="I65" s="116">
        <v>0.5145833333333333</v>
      </c>
      <c r="J65" s="116">
        <v>0.3715277777777778</v>
      </c>
      <c r="K65" s="223" t="s">
        <v>316</v>
      </c>
      <c r="L65" s="244"/>
      <c r="M65" s="244"/>
      <c r="N65" s="222">
        <v>0.4666666666666667</v>
      </c>
      <c r="O65" s="224">
        <v>0.39375</v>
      </c>
      <c r="P65" s="222">
        <v>0.4465277777777778</v>
      </c>
      <c r="Q65" s="223" t="s">
        <v>316</v>
      </c>
      <c r="R65" s="223" t="s">
        <v>316</v>
      </c>
      <c r="S65" s="221"/>
      <c r="T65" s="221"/>
      <c r="U65" s="222">
        <v>0.44583333333333336</v>
      </c>
      <c r="V65" s="222">
        <v>0.42986111111111114</v>
      </c>
      <c r="W65" s="222">
        <v>0.41041666666666665</v>
      </c>
      <c r="X65" s="222">
        <v>0.36736111111111114</v>
      </c>
      <c r="Y65" s="223" t="s">
        <v>316</v>
      </c>
      <c r="Z65" s="244"/>
      <c r="AA65" s="244"/>
      <c r="AB65" s="222">
        <v>0.47638888888888886</v>
      </c>
      <c r="AC65" s="222">
        <v>0.45555555555555555</v>
      </c>
      <c r="AD65" s="222">
        <v>0.40208333333333335</v>
      </c>
      <c r="AE65" s="222">
        <v>0.4027777777777778</v>
      </c>
      <c r="AF65" s="223" t="s">
        <v>316</v>
      </c>
      <c r="AG65" s="244"/>
      <c r="AH65" s="244"/>
    </row>
    <row r="66">
      <c r="A66" s="252">
        <v>64.0</v>
      </c>
      <c r="B66" s="15"/>
      <c r="C66" s="198" t="s">
        <v>385</v>
      </c>
      <c r="D66" s="22">
        <f t="shared" si="2"/>
        <v>4.007638889</v>
      </c>
      <c r="E66" s="244"/>
      <c r="F66" s="244"/>
      <c r="G66" s="222">
        <v>0.3368055555555556</v>
      </c>
      <c r="H66" s="114" t="s">
        <v>316</v>
      </c>
      <c r="I66" s="114" t="s">
        <v>316</v>
      </c>
      <c r="J66" s="114" t="s">
        <v>316</v>
      </c>
      <c r="K66" s="223" t="s">
        <v>316</v>
      </c>
      <c r="L66" s="244"/>
      <c r="M66" s="244"/>
      <c r="N66" s="222">
        <v>0.41597222222222224</v>
      </c>
      <c r="O66" s="224">
        <v>0.3715277777777778</v>
      </c>
      <c r="P66" s="222">
        <v>0.3715277777777778</v>
      </c>
      <c r="Q66" s="222">
        <v>0.3590277777777778</v>
      </c>
      <c r="R66" s="223" t="s">
        <v>316</v>
      </c>
      <c r="S66" s="221"/>
      <c r="T66" s="221"/>
      <c r="U66" s="223" t="s">
        <v>271</v>
      </c>
      <c r="V66" s="222">
        <v>0.39375</v>
      </c>
      <c r="W66" s="222">
        <v>0.37430555555555556</v>
      </c>
      <c r="X66" s="223" t="s">
        <v>316</v>
      </c>
      <c r="Y66" s="223" t="s">
        <v>316</v>
      </c>
      <c r="Z66" s="244"/>
      <c r="AA66" s="244"/>
      <c r="AB66" s="222">
        <v>0.3284722222222222</v>
      </c>
      <c r="AC66" s="222">
        <v>0.3541666666666667</v>
      </c>
      <c r="AD66" s="222">
        <v>0.35694444444444445</v>
      </c>
      <c r="AE66" s="222">
        <v>0.3451388888888889</v>
      </c>
      <c r="AF66" s="223" t="s">
        <v>316</v>
      </c>
      <c r="AG66" s="244"/>
      <c r="AH66" s="244"/>
    </row>
    <row r="67">
      <c r="A67" s="253">
        <v>65.0</v>
      </c>
      <c r="B67" s="256" t="s">
        <v>436</v>
      </c>
      <c r="C67" s="201" t="s">
        <v>260</v>
      </c>
      <c r="D67" s="22">
        <f t="shared" si="2"/>
        <v>3.816666667</v>
      </c>
      <c r="E67" s="244"/>
      <c r="F67" s="244"/>
      <c r="G67" s="222">
        <v>0.26180555555555557</v>
      </c>
      <c r="H67" s="116">
        <v>0.3263888888888889</v>
      </c>
      <c r="I67" s="116">
        <v>0.3</v>
      </c>
      <c r="J67" s="114" t="s">
        <v>316</v>
      </c>
      <c r="K67" s="223" t="s">
        <v>316</v>
      </c>
      <c r="L67" s="244"/>
      <c r="M67" s="244"/>
      <c r="N67" s="222">
        <v>0.3638888888888889</v>
      </c>
      <c r="O67" s="224">
        <v>0.29444444444444445</v>
      </c>
      <c r="P67" s="223" t="s">
        <v>316</v>
      </c>
      <c r="Q67" s="223" t="s">
        <v>316</v>
      </c>
      <c r="R67" s="223" t="s">
        <v>316</v>
      </c>
      <c r="S67" s="221"/>
      <c r="T67" s="221"/>
      <c r="U67" s="224">
        <v>0.34097222222222223</v>
      </c>
      <c r="V67" s="224">
        <v>0.16666666666666666</v>
      </c>
      <c r="W67" s="222">
        <v>0.33541666666666664</v>
      </c>
      <c r="X67" s="224">
        <v>0.16666666666666666</v>
      </c>
      <c r="Y67" s="223" t="s">
        <v>316</v>
      </c>
      <c r="Z67" s="244"/>
      <c r="AA67" s="244"/>
      <c r="AB67" s="222">
        <v>0.26805555555555555</v>
      </c>
      <c r="AC67" s="222">
        <v>0.31527777777777777</v>
      </c>
      <c r="AD67" s="222">
        <v>0.35138888888888886</v>
      </c>
      <c r="AE67" s="224">
        <v>0.32569444444444445</v>
      </c>
      <c r="AF67" s="223" t="s">
        <v>316</v>
      </c>
      <c r="AG67" s="244"/>
      <c r="AH67" s="244"/>
    </row>
    <row r="68">
      <c r="A68" s="252">
        <v>66.0</v>
      </c>
      <c r="B68" s="15"/>
      <c r="C68" s="202" t="s">
        <v>400</v>
      </c>
      <c r="D68" s="22">
        <f t="shared" si="2"/>
        <v>5.084722222</v>
      </c>
      <c r="E68" s="244"/>
      <c r="F68" s="244"/>
      <c r="G68" s="222">
        <v>0.24375</v>
      </c>
      <c r="H68" s="116">
        <v>0.38263888888888886</v>
      </c>
      <c r="I68" s="116">
        <v>0.4527777777777778</v>
      </c>
      <c r="J68" s="114" t="s">
        <v>316</v>
      </c>
      <c r="K68" s="223" t="s">
        <v>316</v>
      </c>
      <c r="L68" s="244"/>
      <c r="M68" s="244"/>
      <c r="N68" s="222">
        <v>0.3645833333333333</v>
      </c>
      <c r="O68" s="223" t="s">
        <v>316</v>
      </c>
      <c r="P68" s="222">
        <v>0.41875</v>
      </c>
      <c r="Q68" s="222">
        <v>0.41944444444444445</v>
      </c>
      <c r="R68" s="223" t="s">
        <v>316</v>
      </c>
      <c r="S68" s="221"/>
      <c r="T68" s="221"/>
      <c r="U68" s="223" t="s">
        <v>269</v>
      </c>
      <c r="V68" s="222">
        <v>0.40694444444444444</v>
      </c>
      <c r="W68" s="222">
        <v>0.35</v>
      </c>
      <c r="X68" s="222">
        <v>0.45625</v>
      </c>
      <c r="Y68" s="223" t="s">
        <v>316</v>
      </c>
      <c r="Z68" s="244"/>
      <c r="AA68" s="244"/>
      <c r="AB68" s="222">
        <v>0.36527777777777776</v>
      </c>
      <c r="AC68" s="222">
        <v>0.3729166666666667</v>
      </c>
      <c r="AD68" s="222">
        <v>0.41805555555555557</v>
      </c>
      <c r="AE68" s="222">
        <v>0.43333333333333335</v>
      </c>
      <c r="AF68" s="223" t="s">
        <v>316</v>
      </c>
      <c r="AG68" s="244"/>
      <c r="AH68" s="244"/>
    </row>
    <row r="69">
      <c r="A69" s="252">
        <v>67.0</v>
      </c>
      <c r="B69" s="193" t="s">
        <v>281</v>
      </c>
      <c r="C69" s="198" t="s">
        <v>32</v>
      </c>
      <c r="D69" s="22">
        <f t="shared" si="2"/>
        <v>2.395138889</v>
      </c>
      <c r="E69" s="244"/>
      <c r="F69" s="244"/>
      <c r="G69" s="224">
        <v>0.28958333333333336</v>
      </c>
      <c r="H69" s="117">
        <v>0.16666666666666666</v>
      </c>
      <c r="I69" s="114" t="s">
        <v>316</v>
      </c>
      <c r="J69" s="116">
        <v>0.4618055555555556</v>
      </c>
      <c r="K69" s="223" t="s">
        <v>316</v>
      </c>
      <c r="L69" s="244"/>
      <c r="M69" s="244"/>
      <c r="N69" s="224">
        <v>0.5708333333333333</v>
      </c>
      <c r="O69" s="223" t="s">
        <v>316</v>
      </c>
      <c r="P69" s="223" t="s">
        <v>316</v>
      </c>
      <c r="Q69" s="224">
        <v>0.34930555555555554</v>
      </c>
      <c r="R69" s="223" t="s">
        <v>316</v>
      </c>
      <c r="S69" s="221"/>
      <c r="T69" s="221"/>
      <c r="U69" s="224">
        <v>0.16666666666666666</v>
      </c>
      <c r="V69" s="223" t="s">
        <v>316</v>
      </c>
      <c r="W69" s="223" t="s">
        <v>316</v>
      </c>
      <c r="X69" s="224">
        <v>0.3902777777777778</v>
      </c>
      <c r="Y69" s="223" t="s">
        <v>316</v>
      </c>
      <c r="Z69" s="244"/>
      <c r="AA69" s="244"/>
      <c r="AB69" s="223" t="s">
        <v>272</v>
      </c>
      <c r="AC69" s="223" t="s">
        <v>272</v>
      </c>
      <c r="AD69" s="223" t="s">
        <v>272</v>
      </c>
      <c r="AE69" s="223" t="s">
        <v>272</v>
      </c>
      <c r="AF69" s="223" t="s">
        <v>272</v>
      </c>
      <c r="AG69" s="244"/>
      <c r="AH69" s="244"/>
    </row>
    <row r="70">
      <c r="A70" s="253">
        <v>68.0</v>
      </c>
      <c r="B70" s="166" t="s">
        <v>282</v>
      </c>
      <c r="C70" s="206" t="s">
        <v>390</v>
      </c>
      <c r="D70" s="22">
        <f t="shared" si="2"/>
        <v>6.977083333</v>
      </c>
      <c r="E70" s="244"/>
      <c r="F70" s="244"/>
      <c r="G70" s="222">
        <v>0.43680555555555556</v>
      </c>
      <c r="H70" s="116">
        <v>0.4111111111111111</v>
      </c>
      <c r="I70" s="116">
        <v>0.41041666666666665</v>
      </c>
      <c r="J70" s="116">
        <v>0.33125</v>
      </c>
      <c r="K70" s="223" t="s">
        <v>316</v>
      </c>
      <c r="L70" s="244"/>
      <c r="M70" s="244"/>
      <c r="N70" s="222">
        <v>0.38958333333333334</v>
      </c>
      <c r="O70" s="224">
        <v>0.3229166666666667</v>
      </c>
      <c r="P70" s="224">
        <v>0.3611111111111111</v>
      </c>
      <c r="Q70" s="222">
        <v>0.45694444444444443</v>
      </c>
      <c r="R70" s="222">
        <v>0.46458333333333335</v>
      </c>
      <c r="S70" s="221"/>
      <c r="T70" s="221"/>
      <c r="U70" s="222">
        <v>0.4583333333333333</v>
      </c>
      <c r="V70" s="224">
        <v>0.37777777777777777</v>
      </c>
      <c r="W70" s="222">
        <v>0.4201388888888889</v>
      </c>
      <c r="X70" s="222">
        <v>0.36736111111111114</v>
      </c>
      <c r="Y70" s="223" t="s">
        <v>316</v>
      </c>
      <c r="Z70" s="244"/>
      <c r="AA70" s="244"/>
      <c r="AB70" s="222">
        <v>0.45625</v>
      </c>
      <c r="AC70" s="222">
        <v>0.3888888888888889</v>
      </c>
      <c r="AD70" s="222">
        <v>0.4486111111111111</v>
      </c>
      <c r="AE70" s="222">
        <v>0.475</v>
      </c>
      <c r="AF70" s="223" t="s">
        <v>316</v>
      </c>
      <c r="AG70" s="244"/>
      <c r="AH70" s="244"/>
    </row>
    <row r="71">
      <c r="A71" s="252">
        <v>69.0</v>
      </c>
      <c r="B71" s="32"/>
      <c r="C71" s="257" t="s">
        <v>437</v>
      </c>
      <c r="D71" s="22">
        <f t="shared" si="2"/>
        <v>3.051388889</v>
      </c>
      <c r="E71" s="244"/>
      <c r="F71" s="244"/>
      <c r="G71" s="223" t="s">
        <v>431</v>
      </c>
      <c r="H71" s="223" t="s">
        <v>431</v>
      </c>
      <c r="I71" s="223" t="s">
        <v>431</v>
      </c>
      <c r="J71" s="223" t="s">
        <v>431</v>
      </c>
      <c r="K71" s="223" t="s">
        <v>431</v>
      </c>
      <c r="L71" s="244"/>
      <c r="M71" s="244"/>
      <c r="N71" s="223" t="s">
        <v>431</v>
      </c>
      <c r="O71" s="223" t="s">
        <v>431</v>
      </c>
      <c r="P71" s="223" t="s">
        <v>431</v>
      </c>
      <c r="Q71" s="223" t="s">
        <v>431</v>
      </c>
      <c r="R71" s="223" t="s">
        <v>431</v>
      </c>
      <c r="S71" s="221"/>
      <c r="T71" s="221"/>
      <c r="U71" s="223" t="s">
        <v>431</v>
      </c>
      <c r="V71" s="223" t="s">
        <v>431</v>
      </c>
      <c r="W71" s="224">
        <v>0.3819444444444444</v>
      </c>
      <c r="X71" s="224">
        <v>0.3715277777777778</v>
      </c>
      <c r="Y71" s="224">
        <v>0.37430555555555556</v>
      </c>
      <c r="Z71" s="244"/>
      <c r="AA71" s="244"/>
      <c r="AB71" s="224">
        <v>0.37569444444444444</v>
      </c>
      <c r="AC71" s="224">
        <v>0.3645833333333333</v>
      </c>
      <c r="AD71" s="222">
        <v>0.3888888888888889</v>
      </c>
      <c r="AE71" s="222">
        <v>0.38333333333333336</v>
      </c>
      <c r="AF71" s="222">
        <v>0.4111111111111111</v>
      </c>
      <c r="AG71" s="244"/>
      <c r="AH71" s="244"/>
    </row>
    <row r="72">
      <c r="A72" s="253">
        <v>70.0</v>
      </c>
      <c r="B72" s="32"/>
      <c r="C72" s="206" t="s">
        <v>23</v>
      </c>
      <c r="D72" s="22">
        <f t="shared" si="2"/>
        <v>4.852083333</v>
      </c>
      <c r="E72" s="244"/>
      <c r="F72" s="244"/>
      <c r="G72" s="222">
        <v>0.3034722222222222</v>
      </c>
      <c r="H72" s="116">
        <v>0.2520833333333333</v>
      </c>
      <c r="I72" s="116">
        <v>0.27708333333333335</v>
      </c>
      <c r="J72" s="116">
        <v>0.36319444444444443</v>
      </c>
      <c r="K72" s="223" t="s">
        <v>316</v>
      </c>
      <c r="L72" s="244"/>
      <c r="M72" s="244"/>
      <c r="N72" s="222">
        <v>0.26805555555555555</v>
      </c>
      <c r="O72" s="224">
        <v>0.33055555555555555</v>
      </c>
      <c r="P72" s="222">
        <v>0.2590277777777778</v>
      </c>
      <c r="Q72" s="224">
        <v>0.3541666666666667</v>
      </c>
      <c r="R72" s="223" t="s">
        <v>316</v>
      </c>
      <c r="S72" s="221"/>
      <c r="T72" s="221"/>
      <c r="U72" s="224">
        <v>0.3951388888888889</v>
      </c>
      <c r="V72" s="224">
        <v>0.16180555555555556</v>
      </c>
      <c r="W72" s="224">
        <v>0.37569444444444444</v>
      </c>
      <c r="X72" s="222">
        <v>0.21041666666666667</v>
      </c>
      <c r="Y72" s="223" t="s">
        <v>316</v>
      </c>
      <c r="Z72" s="244"/>
      <c r="AA72" s="244"/>
      <c r="AB72" s="224">
        <v>0.3625</v>
      </c>
      <c r="AC72" s="222">
        <v>0.1840277777777778</v>
      </c>
      <c r="AD72" s="224">
        <v>0.45902777777777776</v>
      </c>
      <c r="AE72" s="222">
        <v>0.29583333333333334</v>
      </c>
      <c r="AF72" s="223" t="s">
        <v>316</v>
      </c>
      <c r="AG72" s="244"/>
      <c r="AH72" s="244"/>
    </row>
    <row r="73">
      <c r="A73" s="252">
        <v>71.0</v>
      </c>
      <c r="B73" s="32"/>
      <c r="C73" s="206" t="s">
        <v>138</v>
      </c>
      <c r="D73" s="22">
        <f t="shared" si="2"/>
        <v>4.598611111</v>
      </c>
      <c r="E73" s="244"/>
      <c r="F73" s="244"/>
      <c r="G73" s="223" t="s">
        <v>316</v>
      </c>
      <c r="H73" s="116">
        <v>0.35833333333333334</v>
      </c>
      <c r="I73" s="114" t="s">
        <v>316</v>
      </c>
      <c r="J73" s="114" t="s">
        <v>271</v>
      </c>
      <c r="K73" s="223" t="s">
        <v>316</v>
      </c>
      <c r="L73" s="244"/>
      <c r="M73" s="244"/>
      <c r="N73" s="222">
        <v>0.38958333333333334</v>
      </c>
      <c r="O73" s="224">
        <v>0.40555555555555556</v>
      </c>
      <c r="P73" s="222">
        <v>0.3375</v>
      </c>
      <c r="Q73" s="222">
        <v>0.37430555555555556</v>
      </c>
      <c r="R73" s="222">
        <v>0.4340277777777778</v>
      </c>
      <c r="S73" s="221"/>
      <c r="T73" s="221"/>
      <c r="U73" s="222">
        <v>0.3173611111111111</v>
      </c>
      <c r="V73" s="222">
        <v>0.31527777777777777</v>
      </c>
      <c r="W73" s="222">
        <v>0.34652777777777777</v>
      </c>
      <c r="X73" s="222">
        <v>0.2125</v>
      </c>
      <c r="Y73" s="223" t="s">
        <v>316</v>
      </c>
      <c r="Z73" s="244"/>
      <c r="AA73" s="244"/>
      <c r="AB73" s="224">
        <v>0.3763888888888889</v>
      </c>
      <c r="AC73" s="222">
        <v>0.34791666666666665</v>
      </c>
      <c r="AD73" s="223" t="s">
        <v>316</v>
      </c>
      <c r="AE73" s="224">
        <v>0.38333333333333336</v>
      </c>
      <c r="AF73" s="223" t="s">
        <v>271</v>
      </c>
      <c r="AG73" s="244"/>
      <c r="AH73" s="244"/>
    </row>
    <row r="74">
      <c r="A74" s="252">
        <v>72.0</v>
      </c>
      <c r="B74" s="32"/>
      <c r="C74" s="206" t="s">
        <v>228</v>
      </c>
      <c r="D74" s="22">
        <f t="shared" si="2"/>
        <v>2.454166667</v>
      </c>
      <c r="E74" s="244"/>
      <c r="F74" s="244"/>
      <c r="G74" s="223" t="s">
        <v>330</v>
      </c>
      <c r="H74" s="116">
        <v>0.30486111111111114</v>
      </c>
      <c r="I74" s="116">
        <v>0.32916666666666666</v>
      </c>
      <c r="J74" s="116">
        <v>0.31805555555555554</v>
      </c>
      <c r="K74" s="222">
        <v>0.20347222222222222</v>
      </c>
      <c r="L74" s="244"/>
      <c r="M74" s="244"/>
      <c r="N74" s="222">
        <v>0.3104166666666667</v>
      </c>
      <c r="O74" s="224">
        <v>0.3590277777777778</v>
      </c>
      <c r="P74" s="222">
        <v>0.3020833333333333</v>
      </c>
      <c r="Q74" s="222">
        <v>0.32708333333333334</v>
      </c>
      <c r="R74" s="223" t="s">
        <v>431</v>
      </c>
      <c r="S74" s="221"/>
      <c r="T74" s="221"/>
      <c r="U74" s="223" t="s">
        <v>431</v>
      </c>
      <c r="V74" s="223" t="s">
        <v>431</v>
      </c>
      <c r="W74" s="223" t="s">
        <v>431</v>
      </c>
      <c r="X74" s="223" t="s">
        <v>431</v>
      </c>
      <c r="Y74" s="223" t="s">
        <v>431</v>
      </c>
      <c r="Z74" s="244"/>
      <c r="AA74" s="244"/>
      <c r="AB74" s="223" t="s">
        <v>431</v>
      </c>
      <c r="AC74" s="223" t="s">
        <v>431</v>
      </c>
      <c r="AD74" s="223" t="s">
        <v>431</v>
      </c>
      <c r="AE74" s="223" t="s">
        <v>431</v>
      </c>
      <c r="AF74" s="223" t="s">
        <v>431</v>
      </c>
      <c r="AG74" s="244"/>
      <c r="AH74" s="244"/>
    </row>
    <row r="75">
      <c r="A75" s="253">
        <v>73.0</v>
      </c>
      <c r="B75" s="32"/>
      <c r="C75" s="206" t="s">
        <v>273</v>
      </c>
      <c r="D75" s="22">
        <f t="shared" si="2"/>
        <v>2.627083333</v>
      </c>
      <c r="E75" s="244"/>
      <c r="F75" s="244"/>
      <c r="G75" s="222">
        <v>0.29444444444444445</v>
      </c>
      <c r="H75" s="114" t="s">
        <v>316</v>
      </c>
      <c r="I75" s="116">
        <v>0.30486111111111114</v>
      </c>
      <c r="J75" s="116">
        <v>0.2951388888888889</v>
      </c>
      <c r="K75" s="223" t="s">
        <v>316</v>
      </c>
      <c r="L75" s="244"/>
      <c r="M75" s="244"/>
      <c r="N75" s="222">
        <v>0.3458333333333333</v>
      </c>
      <c r="O75" s="223" t="s">
        <v>316</v>
      </c>
      <c r="P75" s="224">
        <v>0.3611111111111111</v>
      </c>
      <c r="Q75" s="223" t="s">
        <v>272</v>
      </c>
      <c r="R75" s="223" t="s">
        <v>272</v>
      </c>
      <c r="S75" s="221"/>
      <c r="T75" s="221"/>
      <c r="U75" s="223" t="s">
        <v>272</v>
      </c>
      <c r="V75" s="223" t="s">
        <v>272</v>
      </c>
      <c r="W75" s="223" t="s">
        <v>272</v>
      </c>
      <c r="X75" s="223" t="s">
        <v>272</v>
      </c>
      <c r="Y75" s="223" t="s">
        <v>272</v>
      </c>
      <c r="Z75" s="244"/>
      <c r="AA75" s="244"/>
      <c r="AB75" s="222">
        <v>0.3548611111111111</v>
      </c>
      <c r="AC75" s="223" t="s">
        <v>316</v>
      </c>
      <c r="AD75" s="224">
        <v>0.33819444444444446</v>
      </c>
      <c r="AE75" s="222">
        <v>0.3326388888888889</v>
      </c>
      <c r="AF75" s="223" t="s">
        <v>316</v>
      </c>
      <c r="AG75" s="244"/>
      <c r="AH75" s="244"/>
    </row>
    <row r="76">
      <c r="A76" s="252">
        <v>74.0</v>
      </c>
      <c r="B76" s="32"/>
      <c r="C76" s="206" t="s">
        <v>10</v>
      </c>
      <c r="D76" s="22">
        <f t="shared" si="2"/>
        <v>6.25</v>
      </c>
      <c r="E76" s="244"/>
      <c r="F76" s="244"/>
      <c r="G76" s="223" t="s">
        <v>316</v>
      </c>
      <c r="H76" s="117">
        <v>0.6631944444444444</v>
      </c>
      <c r="I76" s="117">
        <v>0.5416666666666666</v>
      </c>
      <c r="J76" s="117">
        <v>0.5055555555555555</v>
      </c>
      <c r="K76" s="223" t="s">
        <v>316</v>
      </c>
      <c r="L76" s="244"/>
      <c r="M76" s="244"/>
      <c r="N76" s="224">
        <v>0.39652777777777776</v>
      </c>
      <c r="O76" s="223" t="s">
        <v>438</v>
      </c>
      <c r="P76" s="224">
        <v>0.48055555555555557</v>
      </c>
      <c r="Q76" s="222">
        <v>0.3854166666666667</v>
      </c>
      <c r="R76" s="223" t="s">
        <v>316</v>
      </c>
      <c r="S76" s="244"/>
      <c r="T76" s="244"/>
      <c r="U76" s="224">
        <v>0.5986111111111111</v>
      </c>
      <c r="V76" s="224">
        <v>0.3958333333333333</v>
      </c>
      <c r="W76" s="224">
        <v>0.37569444444444444</v>
      </c>
      <c r="X76" s="224">
        <v>0.38333333333333336</v>
      </c>
      <c r="Y76" s="223" t="s">
        <v>316</v>
      </c>
      <c r="Z76" s="244"/>
      <c r="AA76" s="244"/>
      <c r="AB76" s="224">
        <v>0.37569444444444444</v>
      </c>
      <c r="AC76" s="224">
        <v>0.3736111111111111</v>
      </c>
      <c r="AD76" s="224">
        <v>0.38263888888888886</v>
      </c>
      <c r="AE76" s="224">
        <v>0.39166666666666666</v>
      </c>
      <c r="AF76" s="223" t="s">
        <v>316</v>
      </c>
      <c r="AG76" s="244"/>
      <c r="AH76" s="244"/>
    </row>
    <row r="77">
      <c r="A77" s="253">
        <v>75.0</v>
      </c>
      <c r="B77" s="32"/>
      <c r="C77" s="206" t="s">
        <v>6</v>
      </c>
      <c r="D77" s="22">
        <f t="shared" si="2"/>
        <v>9.723611111</v>
      </c>
      <c r="E77" s="222"/>
      <c r="F77" s="244"/>
      <c r="G77" s="224">
        <v>0.5229166666666667</v>
      </c>
      <c r="H77" s="117">
        <v>0.4652777777777778</v>
      </c>
      <c r="I77" s="117">
        <v>0.5145833333333333</v>
      </c>
      <c r="J77" s="117">
        <v>0.4597222222222222</v>
      </c>
      <c r="K77" s="224">
        <v>0.46111111111111114</v>
      </c>
      <c r="L77" s="222"/>
      <c r="M77" s="244"/>
      <c r="N77" s="222">
        <v>0.44305555555555554</v>
      </c>
      <c r="O77" s="224">
        <v>0.44305555555555554</v>
      </c>
      <c r="P77" s="224">
        <v>0.40625</v>
      </c>
      <c r="Q77" s="224">
        <v>0.5180555555555556</v>
      </c>
      <c r="R77" s="222">
        <v>0.42430555555555555</v>
      </c>
      <c r="S77" s="244"/>
      <c r="T77" s="244"/>
      <c r="U77" s="224">
        <v>0.38333333333333336</v>
      </c>
      <c r="V77" s="222">
        <v>0.4534722222222222</v>
      </c>
      <c r="W77" s="224">
        <v>0.4638888888888889</v>
      </c>
      <c r="X77" s="224">
        <v>0.49236111111111114</v>
      </c>
      <c r="Y77" s="224">
        <v>0.6090277777777777</v>
      </c>
      <c r="Z77" s="222"/>
      <c r="AA77" s="244"/>
      <c r="AB77" s="222">
        <v>0.4875</v>
      </c>
      <c r="AC77" s="224">
        <v>0.5305555555555556</v>
      </c>
      <c r="AD77" s="224">
        <v>0.5590277777777778</v>
      </c>
      <c r="AE77" s="224">
        <v>0.5638888888888889</v>
      </c>
      <c r="AF77" s="224">
        <v>0.5222222222222223</v>
      </c>
      <c r="AG77" s="223"/>
      <c r="AH77" s="223"/>
    </row>
    <row r="78">
      <c r="A78" s="252">
        <v>76.0</v>
      </c>
      <c r="B78" s="32"/>
      <c r="C78" s="206" t="s">
        <v>75</v>
      </c>
      <c r="D78" s="22">
        <f t="shared" si="2"/>
        <v>3.439583333</v>
      </c>
      <c r="E78" s="244"/>
      <c r="F78" s="244"/>
      <c r="G78" s="222">
        <v>0.2847222222222222</v>
      </c>
      <c r="H78" s="116">
        <v>0.29930555555555555</v>
      </c>
      <c r="I78" s="116">
        <v>0.22569444444444445</v>
      </c>
      <c r="J78" s="116">
        <v>0.22430555555555556</v>
      </c>
      <c r="K78" s="223" t="s">
        <v>316</v>
      </c>
      <c r="L78" s="244"/>
      <c r="M78" s="244"/>
      <c r="N78" s="223" t="s">
        <v>316</v>
      </c>
      <c r="O78" s="224">
        <v>0.28680555555555554</v>
      </c>
      <c r="P78" s="222">
        <v>0.2604166666666667</v>
      </c>
      <c r="Q78" s="222">
        <v>0.19722222222222222</v>
      </c>
      <c r="R78" s="223" t="s">
        <v>316</v>
      </c>
      <c r="S78" s="244"/>
      <c r="T78" s="244"/>
      <c r="U78" s="222">
        <v>0.2375</v>
      </c>
      <c r="V78" s="222">
        <v>0.27361111111111114</v>
      </c>
      <c r="W78" s="222">
        <v>0.2701388888888889</v>
      </c>
      <c r="X78" s="223" t="s">
        <v>316</v>
      </c>
      <c r="Y78" s="223" t="s">
        <v>316</v>
      </c>
      <c r="Z78" s="244"/>
      <c r="AA78" s="244"/>
      <c r="AB78" s="222">
        <v>0.2881944444444444</v>
      </c>
      <c r="AC78" s="222">
        <v>0.2916666666666667</v>
      </c>
      <c r="AD78" s="223" t="s">
        <v>316</v>
      </c>
      <c r="AE78" s="224">
        <v>0.3</v>
      </c>
      <c r="AF78" s="223" t="s">
        <v>316</v>
      </c>
      <c r="AG78" s="244"/>
      <c r="AH78" s="244"/>
    </row>
    <row r="79">
      <c r="A79" s="252">
        <v>77.0</v>
      </c>
      <c r="B79" s="32"/>
      <c r="C79" s="206" t="s">
        <v>120</v>
      </c>
      <c r="D79" s="22">
        <f t="shared" si="2"/>
        <v>6.601388889</v>
      </c>
      <c r="E79" s="223" t="s">
        <v>284</v>
      </c>
      <c r="F79" s="223" t="s">
        <v>284</v>
      </c>
      <c r="G79" s="224">
        <v>0.36527777777777776</v>
      </c>
      <c r="H79" s="224">
        <v>0.35833333333333334</v>
      </c>
      <c r="I79" s="224">
        <v>0.37569444444444444</v>
      </c>
      <c r="J79" s="224">
        <v>0.36875</v>
      </c>
      <c r="K79" s="224">
        <v>0.36319444444444443</v>
      </c>
      <c r="L79" s="223" t="s">
        <v>284</v>
      </c>
      <c r="M79" s="223" t="s">
        <v>284</v>
      </c>
      <c r="N79" s="224">
        <v>0.3645833333333333</v>
      </c>
      <c r="O79" s="223" t="s">
        <v>284</v>
      </c>
      <c r="P79" s="224">
        <v>0.3541666666666667</v>
      </c>
      <c r="Q79" s="224">
        <v>0.36180555555555555</v>
      </c>
      <c r="R79" s="224">
        <v>0.36875</v>
      </c>
      <c r="S79" s="223" t="s">
        <v>284</v>
      </c>
      <c r="T79" s="223" t="s">
        <v>284</v>
      </c>
      <c r="U79" s="224">
        <v>0.3715277777777778</v>
      </c>
      <c r="V79" s="224">
        <v>0.37569444444444444</v>
      </c>
      <c r="W79" s="224">
        <v>0.3645833333333333</v>
      </c>
      <c r="X79" s="224">
        <v>0.3597222222222222</v>
      </c>
      <c r="Y79" s="223" t="s">
        <v>284</v>
      </c>
      <c r="Z79" s="223" t="s">
        <v>284</v>
      </c>
      <c r="AA79" s="223" t="s">
        <v>284</v>
      </c>
      <c r="AB79" s="224">
        <v>0.3611111111111111</v>
      </c>
      <c r="AC79" s="224">
        <v>0.3736111111111111</v>
      </c>
      <c r="AD79" s="224">
        <v>0.35833333333333334</v>
      </c>
      <c r="AE79" s="224">
        <v>0.38333333333333336</v>
      </c>
      <c r="AF79" s="224">
        <v>0.3729166666666667</v>
      </c>
      <c r="AG79" s="223" t="s">
        <v>284</v>
      </c>
      <c r="AH79" s="223" t="s">
        <v>284</v>
      </c>
    </row>
    <row r="80">
      <c r="A80" s="253">
        <v>78.0</v>
      </c>
      <c r="B80" s="32"/>
      <c r="C80" s="207" t="s">
        <v>123</v>
      </c>
      <c r="D80" s="22">
        <f t="shared" si="2"/>
        <v>5.294444444</v>
      </c>
      <c r="E80" s="223" t="s">
        <v>401</v>
      </c>
      <c r="F80" s="223" t="s">
        <v>401</v>
      </c>
      <c r="G80" s="224">
        <v>0.37569444444444444</v>
      </c>
      <c r="H80" s="116">
        <v>0.3951388888888889</v>
      </c>
      <c r="I80" s="117">
        <v>0.3972222222222222</v>
      </c>
      <c r="J80" s="116">
        <v>0.36666666666666664</v>
      </c>
      <c r="K80" s="224">
        <v>0.4083333333333333</v>
      </c>
      <c r="L80" s="223" t="s">
        <v>401</v>
      </c>
      <c r="M80" s="223" t="s">
        <v>401</v>
      </c>
      <c r="N80" s="224">
        <v>0.3611111111111111</v>
      </c>
      <c r="O80" s="223" t="s">
        <v>284</v>
      </c>
      <c r="P80" s="222">
        <v>0.38125</v>
      </c>
      <c r="Q80" s="224">
        <v>0.3597222222222222</v>
      </c>
      <c r="R80" s="224">
        <v>0.37569444444444444</v>
      </c>
      <c r="S80" s="223" t="s">
        <v>284</v>
      </c>
      <c r="T80" s="223" t="s">
        <v>284</v>
      </c>
      <c r="U80" s="223" t="s">
        <v>271</v>
      </c>
      <c r="V80" s="223" t="s">
        <v>271</v>
      </c>
      <c r="W80" s="223" t="s">
        <v>271</v>
      </c>
      <c r="X80" s="223" t="s">
        <v>271</v>
      </c>
      <c r="Y80" s="223" t="s">
        <v>271</v>
      </c>
      <c r="Z80" s="223" t="s">
        <v>283</v>
      </c>
      <c r="AA80" s="223" t="s">
        <v>283</v>
      </c>
      <c r="AB80" s="224">
        <v>0.37569444444444444</v>
      </c>
      <c r="AC80" s="224">
        <v>0.3645833333333333</v>
      </c>
      <c r="AD80" s="222">
        <v>0.38819444444444445</v>
      </c>
      <c r="AE80" s="222">
        <v>0.3701388888888889</v>
      </c>
      <c r="AF80" s="224">
        <v>0.375</v>
      </c>
      <c r="AG80" s="223" t="s">
        <v>284</v>
      </c>
      <c r="AH80" s="223" t="s">
        <v>284</v>
      </c>
    </row>
    <row r="81">
      <c r="A81" s="252">
        <v>79.0</v>
      </c>
      <c r="B81" s="32"/>
      <c r="C81" s="206" t="s">
        <v>111</v>
      </c>
      <c r="D81" s="22">
        <f t="shared" si="2"/>
        <v>8.579861111</v>
      </c>
      <c r="E81" s="223" t="s">
        <v>401</v>
      </c>
      <c r="F81" s="223" t="s">
        <v>401</v>
      </c>
      <c r="G81" s="222">
        <v>0.3368055555555556</v>
      </c>
      <c r="H81" s="224">
        <v>0.3576388888888889</v>
      </c>
      <c r="I81" s="116">
        <v>0.3638888888888889</v>
      </c>
      <c r="J81" s="116">
        <v>0.34791666666666665</v>
      </c>
      <c r="K81" s="222">
        <v>0.33125</v>
      </c>
      <c r="L81" s="224">
        <v>0.3645833333333333</v>
      </c>
      <c r="M81" s="223" t="s">
        <v>284</v>
      </c>
      <c r="N81" s="222">
        <v>0.35694444444444445</v>
      </c>
      <c r="O81" s="224">
        <v>0.33125</v>
      </c>
      <c r="P81" s="224">
        <v>0.3416666666666667</v>
      </c>
      <c r="Q81" s="222">
        <v>0.3451388888888889</v>
      </c>
      <c r="R81" s="222">
        <v>0.34652777777777777</v>
      </c>
      <c r="S81" s="222">
        <v>0.3576388888888889</v>
      </c>
      <c r="T81" s="223" t="s">
        <v>284</v>
      </c>
      <c r="U81" s="222">
        <v>0.3375</v>
      </c>
      <c r="V81" s="222">
        <v>0.3736111111111111</v>
      </c>
      <c r="W81" s="222">
        <v>0.3993055555555556</v>
      </c>
      <c r="X81" s="224">
        <v>0.37569444444444444</v>
      </c>
      <c r="Y81" s="224">
        <v>0.3715277777777778</v>
      </c>
      <c r="Z81" s="222">
        <v>0.33194444444444443</v>
      </c>
      <c r="AA81" s="223" t="s">
        <v>283</v>
      </c>
      <c r="AB81" s="224">
        <v>0.36875</v>
      </c>
      <c r="AC81" s="224">
        <v>0.3763888888888889</v>
      </c>
      <c r="AD81" s="224">
        <v>0.3597222222222222</v>
      </c>
      <c r="AE81" s="224">
        <v>0.37222222222222223</v>
      </c>
      <c r="AF81" s="224">
        <v>0.36666666666666664</v>
      </c>
      <c r="AG81" s="224">
        <v>0.36527777777777776</v>
      </c>
      <c r="AH81" s="223" t="s">
        <v>284</v>
      </c>
    </row>
    <row r="82">
      <c r="A82" s="253">
        <v>80.0</v>
      </c>
      <c r="B82" s="32"/>
      <c r="C82" s="207" t="s">
        <v>114</v>
      </c>
      <c r="D82" s="22">
        <f t="shared" si="2"/>
        <v>8.174305556</v>
      </c>
      <c r="E82" s="223" t="s">
        <v>284</v>
      </c>
      <c r="F82" s="222">
        <v>0.3729166666666667</v>
      </c>
      <c r="G82" s="222">
        <v>0.35208333333333336</v>
      </c>
      <c r="H82" s="116">
        <v>0.33819444444444446</v>
      </c>
      <c r="I82" s="116">
        <v>0.36944444444444446</v>
      </c>
      <c r="J82" s="116">
        <v>0.3729166666666667</v>
      </c>
      <c r="K82" s="222">
        <v>0.35208333333333336</v>
      </c>
      <c r="L82" s="222">
        <v>0.3597222222222222</v>
      </c>
      <c r="M82" s="224">
        <v>0.41805555555555557</v>
      </c>
      <c r="N82" s="222">
        <v>0.3541666666666667</v>
      </c>
      <c r="O82" s="223" t="s">
        <v>269</v>
      </c>
      <c r="P82" s="223" t="s">
        <v>269</v>
      </c>
      <c r="Q82" s="223" t="s">
        <v>269</v>
      </c>
      <c r="R82" s="223" t="s">
        <v>269</v>
      </c>
      <c r="S82" s="223" t="s">
        <v>269</v>
      </c>
      <c r="T82" s="223" t="s">
        <v>284</v>
      </c>
      <c r="U82" s="223" t="s">
        <v>269</v>
      </c>
      <c r="V82" s="224">
        <v>0.36180555555555555</v>
      </c>
      <c r="W82" s="224">
        <v>0.34444444444444444</v>
      </c>
      <c r="X82" s="224">
        <v>0.3541666666666667</v>
      </c>
      <c r="Y82" s="224">
        <v>0.39652777777777776</v>
      </c>
      <c r="Z82" s="224">
        <v>0.375</v>
      </c>
      <c r="AA82" s="224">
        <v>0.425</v>
      </c>
      <c r="AB82" s="224">
        <v>0.36666666666666664</v>
      </c>
      <c r="AC82" s="224">
        <v>0.37777777777777777</v>
      </c>
      <c r="AD82" s="224">
        <v>0.3472222222222222</v>
      </c>
      <c r="AE82" s="224">
        <v>0.36180555555555555</v>
      </c>
      <c r="AF82" s="224">
        <v>0.37569444444444444</v>
      </c>
      <c r="AG82" s="224">
        <v>0.3784722222222222</v>
      </c>
      <c r="AH82" s="224">
        <v>0.4201388888888889</v>
      </c>
    </row>
    <row r="83">
      <c r="A83" s="252">
        <v>81.0</v>
      </c>
      <c r="B83" s="32"/>
      <c r="C83" s="207" t="s">
        <v>129</v>
      </c>
      <c r="D83" s="22">
        <f t="shared" si="2"/>
        <v>8.536111111</v>
      </c>
      <c r="E83" s="222">
        <v>0.35208333333333336</v>
      </c>
      <c r="F83" s="222">
        <v>0.3798611111111111</v>
      </c>
      <c r="G83" s="223" t="s">
        <v>284</v>
      </c>
      <c r="H83" s="116">
        <v>0.2708333333333333</v>
      </c>
      <c r="I83" s="116">
        <v>0.3375</v>
      </c>
      <c r="J83" s="116">
        <v>0.35138888888888886</v>
      </c>
      <c r="K83" s="222">
        <v>0.2708333333333333</v>
      </c>
      <c r="L83" s="222">
        <v>0.3388888888888889</v>
      </c>
      <c r="M83" s="224">
        <v>0.37916666666666665</v>
      </c>
      <c r="N83" s="222">
        <v>0.3486111111111111</v>
      </c>
      <c r="O83" s="224">
        <v>0.35138888888888886</v>
      </c>
      <c r="P83" s="222">
        <v>0.3506944444444444</v>
      </c>
      <c r="Q83" s="222">
        <v>0.3402777777777778</v>
      </c>
      <c r="R83" s="223" t="s">
        <v>284</v>
      </c>
      <c r="S83" s="223" t="s">
        <v>284</v>
      </c>
      <c r="T83" s="223" t="s">
        <v>284</v>
      </c>
      <c r="U83" s="222">
        <v>0.3597222222222222</v>
      </c>
      <c r="V83" s="222">
        <v>0.3527777777777778</v>
      </c>
      <c r="W83" s="222">
        <v>0.3576388888888889</v>
      </c>
      <c r="X83" s="222">
        <v>0.3486111111111111</v>
      </c>
      <c r="Y83" s="222">
        <v>0.34305555555555556</v>
      </c>
      <c r="Z83" s="223" t="s">
        <v>284</v>
      </c>
      <c r="AA83" s="222">
        <v>0.3548611111111111</v>
      </c>
      <c r="AB83" s="222">
        <v>0.35208333333333336</v>
      </c>
      <c r="AC83" s="222">
        <v>0.28402777777777777</v>
      </c>
      <c r="AD83" s="222">
        <v>0.3458333333333333</v>
      </c>
      <c r="AE83" s="222">
        <v>0.3541666666666667</v>
      </c>
      <c r="AF83" s="222">
        <v>0.3368055555555556</v>
      </c>
      <c r="AG83" s="222">
        <v>0.3375</v>
      </c>
      <c r="AH83" s="222">
        <v>0.3375</v>
      </c>
    </row>
    <row r="84">
      <c r="A84" s="252">
        <v>82.0</v>
      </c>
      <c r="B84" s="32"/>
      <c r="C84" s="206" t="s">
        <v>126</v>
      </c>
      <c r="D84" s="22">
        <f t="shared" si="2"/>
        <v>14.75972222</v>
      </c>
      <c r="E84" s="222">
        <v>0.6895833333333333</v>
      </c>
      <c r="F84" s="222">
        <v>0.3375</v>
      </c>
      <c r="G84" s="222">
        <v>0.6520833333333333</v>
      </c>
      <c r="H84" s="224">
        <v>0.35833333333333334</v>
      </c>
      <c r="I84" s="224">
        <v>0.36041666666666666</v>
      </c>
      <c r="J84" s="117">
        <v>0.3972222222222222</v>
      </c>
      <c r="K84" s="222">
        <v>0.6368055555555555</v>
      </c>
      <c r="L84" s="222">
        <v>0.6888888888888889</v>
      </c>
      <c r="M84" s="224">
        <v>0.6854166666666667</v>
      </c>
      <c r="N84" s="222">
        <v>0.6472222222222223</v>
      </c>
      <c r="O84" s="224">
        <v>0.6375</v>
      </c>
      <c r="P84" s="224">
        <v>0.4041666666666667</v>
      </c>
      <c r="Q84" s="224">
        <v>0.3680555555555556</v>
      </c>
      <c r="R84" s="222">
        <v>0.34791666666666665</v>
      </c>
      <c r="S84" s="222">
        <v>0.3763888888888889</v>
      </c>
      <c r="T84" s="224">
        <v>0.6680555555555555</v>
      </c>
      <c r="U84" s="222">
        <v>0.6493055555555556</v>
      </c>
      <c r="V84" s="222">
        <v>0.6361111111111111</v>
      </c>
      <c r="W84" s="223" t="s">
        <v>284</v>
      </c>
      <c r="X84" s="224">
        <v>0.37569444444444444</v>
      </c>
      <c r="Y84" s="222">
        <v>0.6354166666666666</v>
      </c>
      <c r="Z84" s="222">
        <v>0.3659722222222222</v>
      </c>
      <c r="AA84" s="224">
        <v>0.7138888888888889</v>
      </c>
      <c r="AB84" s="222">
        <v>0.6875</v>
      </c>
      <c r="AC84" s="224">
        <v>0.38333333333333336</v>
      </c>
      <c r="AD84" s="222">
        <v>0.6284722222222222</v>
      </c>
      <c r="AE84" s="224">
        <v>0.7291666666666666</v>
      </c>
      <c r="AF84" s="224">
        <v>0.35208333333333336</v>
      </c>
      <c r="AG84" s="223" t="s">
        <v>284</v>
      </c>
      <c r="AH84" s="224">
        <v>0.3472222222222222</v>
      </c>
    </row>
    <row r="85">
      <c r="A85" s="253">
        <v>83.0</v>
      </c>
      <c r="B85" s="32"/>
      <c r="C85" s="206" t="s">
        <v>287</v>
      </c>
      <c r="D85" s="22">
        <f t="shared" si="2"/>
        <v>9.247916667</v>
      </c>
      <c r="E85" s="222">
        <v>0.3472222222222222</v>
      </c>
      <c r="F85" s="222">
        <v>0.34305555555555556</v>
      </c>
      <c r="G85" s="222">
        <v>0.35833333333333334</v>
      </c>
      <c r="H85" s="116">
        <v>0.3993055555555556</v>
      </c>
      <c r="I85" s="117">
        <v>0.3854166666666667</v>
      </c>
      <c r="J85" s="114" t="s">
        <v>284</v>
      </c>
      <c r="K85" s="222">
        <v>0.3347222222222222</v>
      </c>
      <c r="L85" s="222">
        <v>0.33402777777777776</v>
      </c>
      <c r="M85" s="224">
        <v>0.34375</v>
      </c>
      <c r="N85" s="222">
        <v>0.3638888888888889</v>
      </c>
      <c r="O85" s="224">
        <v>0.35555555555555557</v>
      </c>
      <c r="P85" s="223" t="s">
        <v>284</v>
      </c>
      <c r="Q85" s="222">
        <v>0.3590277777777778</v>
      </c>
      <c r="R85" s="222">
        <v>0.38472222222222224</v>
      </c>
      <c r="S85" s="222">
        <v>0.33611111111111114</v>
      </c>
      <c r="T85" s="222">
        <v>0.39652777777777776</v>
      </c>
      <c r="U85" s="222">
        <v>0.3576388888888889</v>
      </c>
      <c r="V85" s="222">
        <v>0.35</v>
      </c>
      <c r="W85" s="224">
        <v>0.3680555555555556</v>
      </c>
      <c r="X85" s="223" t="s">
        <v>283</v>
      </c>
      <c r="Y85" s="224">
        <v>0.35833333333333334</v>
      </c>
      <c r="Z85" s="222">
        <v>0.3451388888888889</v>
      </c>
      <c r="AA85" s="224">
        <v>0.36180555555555555</v>
      </c>
      <c r="AB85" s="222">
        <v>0.3527777777777778</v>
      </c>
      <c r="AC85" s="222">
        <v>0.3576388888888889</v>
      </c>
      <c r="AD85" s="222">
        <v>0.33958333333333335</v>
      </c>
      <c r="AE85" s="223" t="s">
        <v>284</v>
      </c>
      <c r="AF85" s="222">
        <v>0.3472222222222222</v>
      </c>
      <c r="AG85" s="222">
        <v>0.33402777777777776</v>
      </c>
      <c r="AH85" s="222">
        <v>0.33402777777777776</v>
      </c>
    </row>
    <row r="86">
      <c r="A86" s="252">
        <v>84.0</v>
      </c>
      <c r="B86" s="32"/>
      <c r="C86" s="208" t="s">
        <v>162</v>
      </c>
      <c r="D86" s="22">
        <f t="shared" si="2"/>
        <v>11.49513889</v>
      </c>
      <c r="E86" s="222">
        <v>0.3347222222222222</v>
      </c>
      <c r="F86" s="223" t="s">
        <v>284</v>
      </c>
      <c r="G86" s="224">
        <v>0.3541666666666667</v>
      </c>
      <c r="H86" s="117">
        <v>0.4638888888888889</v>
      </c>
      <c r="I86" s="117">
        <v>0.5138888888888888</v>
      </c>
      <c r="J86" s="117">
        <v>0.4597222222222222</v>
      </c>
      <c r="K86" s="224">
        <v>0.46111111111111114</v>
      </c>
      <c r="L86" s="224">
        <v>0.4173611111111111</v>
      </c>
      <c r="M86" s="223" t="s">
        <v>284</v>
      </c>
      <c r="N86" s="222">
        <v>0.44305555555555554</v>
      </c>
      <c r="O86" s="224">
        <v>0.44305555555555554</v>
      </c>
      <c r="P86" s="224">
        <v>0.5048611111111111</v>
      </c>
      <c r="Q86" s="224">
        <v>0.5180555555555556</v>
      </c>
      <c r="R86" s="222">
        <v>0.34305555555555556</v>
      </c>
      <c r="S86" s="222">
        <v>0.35833333333333334</v>
      </c>
      <c r="T86" s="223" t="s">
        <v>284</v>
      </c>
      <c r="U86" s="224">
        <v>0.44722222222222224</v>
      </c>
      <c r="V86" s="222">
        <v>0.4395833333333333</v>
      </c>
      <c r="W86" s="224">
        <v>0.46458333333333335</v>
      </c>
      <c r="X86" s="224">
        <v>0.49166666666666664</v>
      </c>
      <c r="Y86" s="224">
        <v>0.6090277777777777</v>
      </c>
      <c r="Z86" s="224">
        <v>0.38958333333333334</v>
      </c>
      <c r="AA86" s="223" t="s">
        <v>284</v>
      </c>
      <c r="AB86" s="222">
        <v>0.4875</v>
      </c>
      <c r="AC86" s="224">
        <v>0.5305555555555556</v>
      </c>
      <c r="AD86" s="224">
        <v>0.5590277777777778</v>
      </c>
      <c r="AE86" s="224">
        <v>0.5638888888888889</v>
      </c>
      <c r="AF86" s="224">
        <v>0.5222222222222223</v>
      </c>
      <c r="AG86" s="224">
        <v>0.375</v>
      </c>
      <c r="AH86" s="223" t="s">
        <v>284</v>
      </c>
    </row>
    <row r="87">
      <c r="A87" s="253">
        <v>85.0</v>
      </c>
      <c r="B87" s="32"/>
      <c r="C87" s="206" t="s">
        <v>117</v>
      </c>
      <c r="D87" s="22">
        <f t="shared" si="2"/>
        <v>8.785416667</v>
      </c>
      <c r="E87" s="224">
        <v>0.3645833333333333</v>
      </c>
      <c r="F87" s="223" t="s">
        <v>284</v>
      </c>
      <c r="G87" s="224">
        <v>0.3861111111111111</v>
      </c>
      <c r="H87" s="116">
        <v>0.4097222222222222</v>
      </c>
      <c r="I87" s="116">
        <v>0.3368055555555556</v>
      </c>
      <c r="J87" s="116">
        <v>0.36666666666666664</v>
      </c>
      <c r="K87" s="222">
        <v>0.3111111111111111</v>
      </c>
      <c r="L87" s="224">
        <v>0.3527777777777778</v>
      </c>
      <c r="M87" s="223" t="s">
        <v>284</v>
      </c>
      <c r="N87" s="222">
        <v>0.3645833333333333</v>
      </c>
      <c r="O87" s="224">
        <v>0.34305555555555556</v>
      </c>
      <c r="P87" s="222">
        <v>0.3527777777777778</v>
      </c>
      <c r="Q87" s="224">
        <v>0.35833333333333334</v>
      </c>
      <c r="R87" s="223" t="s">
        <v>283</v>
      </c>
      <c r="S87" s="120">
        <v>0.36180555555555555</v>
      </c>
      <c r="T87" s="223" t="s">
        <v>284</v>
      </c>
      <c r="U87" s="222">
        <v>0.3506944444444444</v>
      </c>
      <c r="V87" s="222">
        <v>0.4111111111111111</v>
      </c>
      <c r="W87" s="224">
        <v>0.3763888888888889</v>
      </c>
      <c r="X87" s="224">
        <v>0.3645833333333333</v>
      </c>
      <c r="Y87" s="224">
        <v>0.4215277777777778</v>
      </c>
      <c r="Z87" s="224">
        <v>0.37569444444444444</v>
      </c>
      <c r="AA87" s="223" t="s">
        <v>284</v>
      </c>
      <c r="AB87" s="222">
        <v>0.38472222222222224</v>
      </c>
      <c r="AC87" s="224">
        <v>0.37569444444444444</v>
      </c>
      <c r="AD87" s="224">
        <v>0.30416666666666664</v>
      </c>
      <c r="AE87" s="224">
        <v>0.36944444444444446</v>
      </c>
      <c r="AF87" s="222">
        <v>0.36666666666666664</v>
      </c>
      <c r="AG87" s="224">
        <v>0.3763888888888889</v>
      </c>
      <c r="AH87" s="223" t="s">
        <v>284</v>
      </c>
    </row>
    <row r="88">
      <c r="A88" s="252">
        <v>86.0</v>
      </c>
      <c r="B88" s="32"/>
      <c r="C88" s="206" t="s">
        <v>237</v>
      </c>
      <c r="D88" s="22">
        <f t="shared" si="2"/>
        <v>9.129861111</v>
      </c>
      <c r="E88" s="222">
        <v>0.32916666666666666</v>
      </c>
      <c r="F88" s="222">
        <v>0.35347222222222224</v>
      </c>
      <c r="G88" s="222">
        <v>0.3347222222222222</v>
      </c>
      <c r="H88" s="114" t="s">
        <v>284</v>
      </c>
      <c r="I88" s="116">
        <v>0.3368055555555556</v>
      </c>
      <c r="J88" s="117">
        <v>0.37222222222222223</v>
      </c>
      <c r="K88" s="222">
        <v>0.33055555555555555</v>
      </c>
      <c r="L88" s="224">
        <v>0.37569444444444444</v>
      </c>
      <c r="M88" s="224">
        <v>0.36666666666666664</v>
      </c>
      <c r="N88" s="224">
        <v>0.3611111111111111</v>
      </c>
      <c r="O88" s="224">
        <v>0.3458333333333333</v>
      </c>
      <c r="P88" s="222">
        <v>0.3402777777777778</v>
      </c>
      <c r="Q88" s="222">
        <v>0.35</v>
      </c>
      <c r="R88" s="223" t="s">
        <v>316</v>
      </c>
      <c r="S88" s="224">
        <v>0.3645833333333333</v>
      </c>
      <c r="T88" s="223" t="s">
        <v>284</v>
      </c>
      <c r="U88" s="222">
        <v>0.3451388888888889</v>
      </c>
      <c r="V88" s="222">
        <v>0.3326388888888889</v>
      </c>
      <c r="W88" s="222">
        <v>0.34444444444444444</v>
      </c>
      <c r="X88" s="222">
        <v>0.3368055555555556</v>
      </c>
      <c r="Y88" s="222">
        <v>0.33125</v>
      </c>
      <c r="Z88" s="224">
        <v>0.35833333333333334</v>
      </c>
      <c r="AA88" s="224">
        <v>0.36180555555555555</v>
      </c>
      <c r="AB88" s="224">
        <v>0.38263888888888886</v>
      </c>
      <c r="AC88" s="223" t="s">
        <v>284</v>
      </c>
      <c r="AD88" s="224">
        <v>0.36666666666666664</v>
      </c>
      <c r="AE88" s="224">
        <v>0.36041666666666666</v>
      </c>
      <c r="AF88" s="224">
        <v>0.37222222222222223</v>
      </c>
      <c r="AG88" s="222">
        <v>0.33819444444444446</v>
      </c>
      <c r="AH88" s="222">
        <v>0.33819444444444446</v>
      </c>
    </row>
    <row r="89">
      <c r="A89" s="252">
        <v>87.0</v>
      </c>
      <c r="B89" s="15"/>
      <c r="C89" s="206" t="s">
        <v>288</v>
      </c>
      <c r="D89" s="22">
        <f t="shared" si="2"/>
        <v>9.50625</v>
      </c>
      <c r="E89" s="224">
        <v>0.34444444444444444</v>
      </c>
      <c r="F89" s="224">
        <v>0.3173611111111111</v>
      </c>
      <c r="G89" s="224">
        <v>0.33958333333333335</v>
      </c>
      <c r="H89" s="117">
        <v>0.3416666666666667</v>
      </c>
      <c r="I89" s="224">
        <v>0.33958333333333335</v>
      </c>
      <c r="J89" s="117">
        <v>0.34375</v>
      </c>
      <c r="K89" s="224">
        <v>0.34791666666666665</v>
      </c>
      <c r="L89" s="224">
        <v>0.34791666666666665</v>
      </c>
      <c r="M89" s="223" t="s">
        <v>284</v>
      </c>
      <c r="N89" s="224">
        <v>0.3333333333333333</v>
      </c>
      <c r="O89" s="224">
        <v>0.3375</v>
      </c>
      <c r="P89" s="224">
        <v>0.34097222222222223</v>
      </c>
      <c r="Q89" s="224">
        <v>0.3263888888888889</v>
      </c>
      <c r="R89" s="224">
        <v>0.34444444444444444</v>
      </c>
      <c r="S89" s="224">
        <v>0.3368055555555556</v>
      </c>
      <c r="T89" s="224">
        <v>0.33402777777777776</v>
      </c>
      <c r="U89" s="224">
        <v>0.32569444444444445</v>
      </c>
      <c r="V89" s="224">
        <v>0.3611111111111111</v>
      </c>
      <c r="W89" s="222">
        <v>0.34652777777777777</v>
      </c>
      <c r="X89" s="222">
        <v>0.3368055555555556</v>
      </c>
      <c r="Y89" s="222">
        <v>0.33958333333333335</v>
      </c>
      <c r="Z89" s="222">
        <v>0.33611111111111114</v>
      </c>
      <c r="AA89" s="224">
        <v>0.34791666666666665</v>
      </c>
      <c r="AB89" s="223" t="s">
        <v>284</v>
      </c>
      <c r="AC89" s="222">
        <v>0.33055555555555555</v>
      </c>
      <c r="AD89" s="222">
        <v>0.33402777777777776</v>
      </c>
      <c r="AE89" s="222">
        <v>0.3402777777777778</v>
      </c>
      <c r="AF89" s="222">
        <v>0.3472222222222222</v>
      </c>
      <c r="AG89" s="222">
        <v>0.3423611111111111</v>
      </c>
      <c r="AH89" s="222">
        <v>0.3423611111111111</v>
      </c>
    </row>
    <row r="90">
      <c r="T90" s="258"/>
      <c r="U90" s="65"/>
    </row>
    <row r="91">
      <c r="U91" s="65"/>
    </row>
    <row r="92">
      <c r="U92" s="65"/>
    </row>
    <row r="93">
      <c r="U93" s="65"/>
    </row>
    <row r="94">
      <c r="U94" s="65"/>
    </row>
    <row r="95">
      <c r="U95" s="65"/>
    </row>
    <row r="96">
      <c r="U96" s="65"/>
    </row>
    <row r="97">
      <c r="U97" s="65"/>
    </row>
    <row r="98">
      <c r="U98" s="65"/>
    </row>
    <row r="99">
      <c r="U99" s="65"/>
    </row>
    <row r="100">
      <c r="U100" s="65"/>
    </row>
    <row r="101">
      <c r="U101" s="65"/>
    </row>
    <row r="102">
      <c r="U102" s="65"/>
    </row>
    <row r="103">
      <c r="U103" s="65"/>
    </row>
    <row r="104">
      <c r="U104" s="65"/>
    </row>
    <row r="105">
      <c r="U105" s="65"/>
    </row>
    <row r="106">
      <c r="U106" s="65"/>
    </row>
    <row r="107">
      <c r="U107" s="65"/>
    </row>
    <row r="108">
      <c r="U108" s="65"/>
    </row>
    <row r="109">
      <c r="U109" s="65"/>
    </row>
    <row r="110">
      <c r="U110" s="65"/>
    </row>
    <row r="111">
      <c r="U111" s="65"/>
    </row>
    <row r="112">
      <c r="U112" s="65"/>
    </row>
    <row r="113">
      <c r="U113" s="65"/>
    </row>
    <row r="114">
      <c r="U114" s="65"/>
    </row>
    <row r="115">
      <c r="U115" s="65"/>
    </row>
    <row r="116">
      <c r="U116" s="65"/>
    </row>
    <row r="117">
      <c r="U117" s="65"/>
    </row>
    <row r="118">
      <c r="U118" s="65"/>
    </row>
    <row r="119">
      <c r="U119" s="65"/>
    </row>
    <row r="120">
      <c r="U120" s="65"/>
    </row>
    <row r="121">
      <c r="U121" s="65"/>
    </row>
    <row r="122">
      <c r="U122" s="65"/>
    </row>
    <row r="123">
      <c r="U123" s="65"/>
    </row>
    <row r="124">
      <c r="U124" s="65"/>
    </row>
    <row r="125">
      <c r="U125" s="65"/>
    </row>
    <row r="126">
      <c r="U126" s="65"/>
    </row>
    <row r="127">
      <c r="U127" s="65"/>
    </row>
    <row r="128">
      <c r="U128" s="65"/>
    </row>
    <row r="129">
      <c r="U129" s="65"/>
    </row>
    <row r="130">
      <c r="U130" s="65"/>
    </row>
    <row r="131">
      <c r="U131" s="65"/>
    </row>
    <row r="132">
      <c r="U132" s="65"/>
    </row>
    <row r="133">
      <c r="U133" s="65"/>
    </row>
    <row r="134">
      <c r="U134" s="65"/>
    </row>
    <row r="135">
      <c r="U135" s="65"/>
    </row>
    <row r="136">
      <c r="U136" s="65"/>
    </row>
    <row r="137">
      <c r="U137" s="65"/>
    </row>
    <row r="138">
      <c r="U138" s="65"/>
    </row>
    <row r="139">
      <c r="U139" s="65"/>
    </row>
    <row r="140">
      <c r="U140" s="65"/>
    </row>
    <row r="141">
      <c r="U141" s="65"/>
    </row>
    <row r="142">
      <c r="U142" s="65"/>
    </row>
    <row r="143">
      <c r="U143" s="65"/>
    </row>
    <row r="144">
      <c r="U144" s="65"/>
    </row>
    <row r="145">
      <c r="U145" s="65"/>
    </row>
    <row r="146">
      <c r="U146" s="65"/>
    </row>
    <row r="147">
      <c r="U147" s="65"/>
    </row>
    <row r="148">
      <c r="U148" s="65"/>
    </row>
    <row r="149">
      <c r="U149" s="65"/>
    </row>
    <row r="150">
      <c r="U150" s="65"/>
    </row>
    <row r="151">
      <c r="U151" s="65"/>
    </row>
    <row r="152">
      <c r="U152" s="65"/>
    </row>
    <row r="153">
      <c r="U153" s="65"/>
    </row>
    <row r="154">
      <c r="U154" s="65"/>
    </row>
    <row r="155">
      <c r="U155" s="65"/>
    </row>
    <row r="156">
      <c r="U156" s="65"/>
    </row>
    <row r="157">
      <c r="U157" s="65"/>
    </row>
    <row r="158">
      <c r="U158" s="65"/>
    </row>
    <row r="159">
      <c r="U159" s="65"/>
    </row>
    <row r="160">
      <c r="U160" s="65"/>
    </row>
    <row r="161">
      <c r="U161" s="65"/>
    </row>
    <row r="162">
      <c r="U162" s="65"/>
    </row>
    <row r="163">
      <c r="U163" s="65"/>
    </row>
    <row r="164">
      <c r="U164" s="65"/>
    </row>
    <row r="165">
      <c r="U165" s="65"/>
    </row>
    <row r="166">
      <c r="U166" s="65"/>
    </row>
    <row r="167">
      <c r="U167" s="65"/>
    </row>
    <row r="168">
      <c r="U168" s="65"/>
    </row>
    <row r="169">
      <c r="U169" s="65"/>
    </row>
    <row r="170">
      <c r="U170" s="65"/>
    </row>
    <row r="171">
      <c r="U171" s="65"/>
    </row>
    <row r="172">
      <c r="U172" s="65"/>
    </row>
    <row r="173">
      <c r="U173" s="65"/>
    </row>
    <row r="174">
      <c r="U174" s="65"/>
    </row>
    <row r="175">
      <c r="U175" s="65"/>
    </row>
    <row r="176">
      <c r="U176" s="65"/>
    </row>
    <row r="177">
      <c r="U177" s="65"/>
    </row>
    <row r="178">
      <c r="U178" s="65"/>
    </row>
    <row r="179">
      <c r="U179" s="65"/>
    </row>
    <row r="180">
      <c r="U180" s="65"/>
    </row>
    <row r="181">
      <c r="U181" s="65"/>
    </row>
    <row r="182">
      <c r="U182" s="65"/>
    </row>
    <row r="183">
      <c r="U183" s="65"/>
    </row>
    <row r="184">
      <c r="U184" s="65"/>
    </row>
    <row r="185">
      <c r="U185" s="65"/>
    </row>
    <row r="186">
      <c r="U186" s="65"/>
    </row>
    <row r="187">
      <c r="U187" s="65"/>
    </row>
    <row r="188">
      <c r="U188" s="65"/>
    </row>
    <row r="189">
      <c r="U189" s="65"/>
    </row>
    <row r="190">
      <c r="U190" s="65"/>
    </row>
    <row r="191">
      <c r="U191" s="65"/>
    </row>
    <row r="192">
      <c r="U192" s="65"/>
    </row>
    <row r="193">
      <c r="U193" s="65"/>
    </row>
    <row r="194">
      <c r="U194" s="65"/>
    </row>
    <row r="195">
      <c r="U195" s="65"/>
    </row>
    <row r="196">
      <c r="U196" s="65"/>
    </row>
    <row r="197">
      <c r="U197" s="65"/>
    </row>
    <row r="198">
      <c r="U198" s="65"/>
    </row>
    <row r="199">
      <c r="U199" s="65"/>
    </row>
    <row r="200">
      <c r="U200" s="65"/>
    </row>
    <row r="201">
      <c r="U201" s="65"/>
    </row>
    <row r="202">
      <c r="U202" s="65"/>
    </row>
    <row r="203">
      <c r="U203" s="65"/>
    </row>
    <row r="204">
      <c r="U204" s="65"/>
    </row>
    <row r="205">
      <c r="U205" s="65"/>
    </row>
    <row r="206">
      <c r="U206" s="65"/>
    </row>
    <row r="207">
      <c r="U207" s="65"/>
    </row>
    <row r="208">
      <c r="U208" s="65"/>
    </row>
    <row r="209">
      <c r="U209" s="65"/>
    </row>
    <row r="210">
      <c r="U210" s="65"/>
    </row>
    <row r="211">
      <c r="U211" s="65"/>
    </row>
    <row r="212">
      <c r="U212" s="65"/>
    </row>
    <row r="213">
      <c r="U213" s="65"/>
    </row>
    <row r="214">
      <c r="U214" s="65"/>
    </row>
    <row r="215">
      <c r="U215" s="65"/>
    </row>
    <row r="216">
      <c r="U216" s="65"/>
    </row>
    <row r="217">
      <c r="U217" s="65"/>
    </row>
    <row r="218">
      <c r="U218" s="65"/>
    </row>
    <row r="219">
      <c r="U219" s="65"/>
    </row>
    <row r="220">
      <c r="U220" s="65"/>
    </row>
    <row r="221">
      <c r="U221" s="65"/>
    </row>
    <row r="222">
      <c r="U222" s="65"/>
    </row>
    <row r="223">
      <c r="U223" s="65"/>
    </row>
    <row r="224">
      <c r="U224" s="65"/>
    </row>
    <row r="225">
      <c r="U225" s="65"/>
    </row>
    <row r="226">
      <c r="U226" s="65"/>
    </row>
    <row r="227">
      <c r="U227" s="65"/>
    </row>
    <row r="228">
      <c r="U228" s="65"/>
    </row>
    <row r="229">
      <c r="U229" s="65"/>
    </row>
    <row r="230">
      <c r="U230" s="65"/>
    </row>
    <row r="231">
      <c r="U231" s="65"/>
    </row>
    <row r="232">
      <c r="U232" s="65"/>
    </row>
    <row r="233">
      <c r="U233" s="65"/>
    </row>
    <row r="234">
      <c r="U234" s="65"/>
    </row>
    <row r="235">
      <c r="U235" s="65"/>
    </row>
    <row r="236">
      <c r="U236" s="65"/>
    </row>
    <row r="237">
      <c r="U237" s="65"/>
    </row>
    <row r="238">
      <c r="U238" s="65"/>
    </row>
    <row r="239">
      <c r="U239" s="65"/>
    </row>
    <row r="240">
      <c r="U240" s="65"/>
    </row>
    <row r="241">
      <c r="U241" s="65"/>
    </row>
    <row r="242">
      <c r="U242" s="65"/>
    </row>
    <row r="243">
      <c r="U243" s="65"/>
    </row>
    <row r="244">
      <c r="U244" s="65"/>
    </row>
    <row r="245">
      <c r="U245" s="65"/>
    </row>
    <row r="246">
      <c r="U246" s="65"/>
    </row>
    <row r="247">
      <c r="U247" s="65"/>
    </row>
    <row r="248">
      <c r="U248" s="65"/>
    </row>
    <row r="249">
      <c r="U249" s="65"/>
    </row>
    <row r="250">
      <c r="U250" s="65"/>
    </row>
    <row r="251">
      <c r="U251" s="65"/>
    </row>
    <row r="252">
      <c r="U252" s="65"/>
    </row>
    <row r="253">
      <c r="U253" s="65"/>
    </row>
    <row r="254">
      <c r="U254" s="65"/>
    </row>
    <row r="255">
      <c r="U255" s="65"/>
    </row>
    <row r="256">
      <c r="U256" s="65"/>
    </row>
    <row r="257">
      <c r="U257" s="65"/>
    </row>
    <row r="258">
      <c r="U258" s="65"/>
    </row>
    <row r="259">
      <c r="U259" s="65"/>
    </row>
    <row r="260">
      <c r="U260" s="65"/>
    </row>
    <row r="261">
      <c r="U261" s="65"/>
    </row>
    <row r="262">
      <c r="U262" s="65"/>
    </row>
    <row r="263">
      <c r="U263" s="65"/>
    </row>
    <row r="264">
      <c r="U264" s="65"/>
    </row>
    <row r="265">
      <c r="U265" s="65"/>
    </row>
    <row r="266">
      <c r="U266" s="65"/>
    </row>
    <row r="267">
      <c r="U267" s="65"/>
    </row>
    <row r="268">
      <c r="U268" s="65"/>
    </row>
    <row r="269">
      <c r="U269" s="65"/>
    </row>
    <row r="270">
      <c r="U270" s="65"/>
    </row>
    <row r="271">
      <c r="U271" s="65"/>
    </row>
    <row r="272">
      <c r="U272" s="65"/>
    </row>
    <row r="273">
      <c r="U273" s="65"/>
    </row>
    <row r="274">
      <c r="U274" s="65"/>
    </row>
    <row r="275">
      <c r="U275" s="65"/>
    </row>
    <row r="276">
      <c r="U276" s="65"/>
    </row>
    <row r="277">
      <c r="U277" s="65"/>
    </row>
    <row r="278">
      <c r="U278" s="65"/>
    </row>
    <row r="279">
      <c r="U279" s="65"/>
    </row>
    <row r="280">
      <c r="U280" s="65"/>
    </row>
    <row r="281">
      <c r="U281" s="65"/>
    </row>
    <row r="282">
      <c r="U282" s="65"/>
    </row>
    <row r="283">
      <c r="U283" s="65"/>
    </row>
    <row r="284">
      <c r="U284" s="65"/>
    </row>
    <row r="285">
      <c r="U285" s="65"/>
    </row>
    <row r="286">
      <c r="U286" s="65"/>
    </row>
    <row r="287">
      <c r="U287" s="65"/>
    </row>
    <row r="288">
      <c r="U288" s="65"/>
    </row>
    <row r="289">
      <c r="U289" s="65"/>
    </row>
    <row r="290">
      <c r="U290" s="65"/>
    </row>
    <row r="291">
      <c r="U291" s="65"/>
    </row>
    <row r="292">
      <c r="U292" s="65"/>
    </row>
    <row r="293">
      <c r="U293" s="65"/>
    </row>
    <row r="294">
      <c r="U294" s="65"/>
    </row>
    <row r="295">
      <c r="U295" s="65"/>
    </row>
    <row r="296">
      <c r="U296" s="65"/>
    </row>
    <row r="297">
      <c r="U297" s="65"/>
    </row>
    <row r="298">
      <c r="U298" s="65"/>
    </row>
    <row r="299">
      <c r="U299" s="65"/>
    </row>
    <row r="300">
      <c r="U300" s="65"/>
    </row>
    <row r="301">
      <c r="U301" s="65"/>
    </row>
    <row r="302">
      <c r="U302" s="65"/>
    </row>
    <row r="303">
      <c r="U303" s="65"/>
    </row>
    <row r="304">
      <c r="U304" s="65"/>
    </row>
    <row r="305">
      <c r="U305" s="65"/>
    </row>
    <row r="306">
      <c r="U306" s="65"/>
    </row>
    <row r="307">
      <c r="U307" s="65"/>
    </row>
    <row r="308">
      <c r="U308" s="65"/>
    </row>
    <row r="309">
      <c r="U309" s="65"/>
    </row>
    <row r="310">
      <c r="U310" s="65"/>
    </row>
    <row r="311">
      <c r="U311" s="65"/>
    </row>
    <row r="312">
      <c r="U312" s="65"/>
    </row>
    <row r="313">
      <c r="U313" s="65"/>
    </row>
    <row r="314">
      <c r="U314" s="65"/>
    </row>
    <row r="315">
      <c r="U315" s="65"/>
    </row>
    <row r="316">
      <c r="U316" s="65"/>
    </row>
    <row r="317">
      <c r="U317" s="65"/>
    </row>
    <row r="318">
      <c r="U318" s="65"/>
    </row>
    <row r="319">
      <c r="U319" s="65"/>
    </row>
    <row r="320">
      <c r="U320" s="65"/>
    </row>
    <row r="321">
      <c r="U321" s="65"/>
    </row>
    <row r="322">
      <c r="U322" s="65"/>
    </row>
    <row r="323">
      <c r="U323" s="65"/>
    </row>
    <row r="324">
      <c r="U324" s="65"/>
    </row>
    <row r="325">
      <c r="U325" s="65"/>
    </row>
    <row r="326">
      <c r="U326" s="65"/>
    </row>
    <row r="327">
      <c r="U327" s="65"/>
    </row>
    <row r="328">
      <c r="U328" s="65"/>
    </row>
    <row r="329">
      <c r="U329" s="65"/>
    </row>
    <row r="330">
      <c r="U330" s="65"/>
    </row>
    <row r="331">
      <c r="U331" s="65"/>
    </row>
    <row r="332">
      <c r="U332" s="65"/>
    </row>
    <row r="333">
      <c r="U333" s="65"/>
    </row>
    <row r="334">
      <c r="U334" s="65"/>
    </row>
    <row r="335">
      <c r="U335" s="65"/>
    </row>
    <row r="336">
      <c r="U336" s="65"/>
    </row>
    <row r="337">
      <c r="U337" s="65"/>
    </row>
    <row r="338">
      <c r="U338" s="65"/>
    </row>
    <row r="339">
      <c r="U339" s="65"/>
    </row>
    <row r="340">
      <c r="U340" s="65"/>
    </row>
    <row r="341">
      <c r="U341" s="65"/>
    </row>
    <row r="342">
      <c r="U342" s="65"/>
    </row>
    <row r="343">
      <c r="U343" s="65"/>
    </row>
    <row r="344">
      <c r="U344" s="65"/>
    </row>
    <row r="345">
      <c r="U345" s="65"/>
    </row>
    <row r="346">
      <c r="U346" s="65"/>
    </row>
    <row r="347">
      <c r="U347" s="65"/>
    </row>
    <row r="348">
      <c r="U348" s="65"/>
    </row>
    <row r="349">
      <c r="U349" s="65"/>
    </row>
    <row r="350">
      <c r="U350" s="65"/>
    </row>
    <row r="351">
      <c r="U351" s="65"/>
    </row>
    <row r="352">
      <c r="U352" s="65"/>
    </row>
    <row r="353">
      <c r="U353" s="65"/>
    </row>
    <row r="354">
      <c r="U354" s="65"/>
    </row>
    <row r="355">
      <c r="U355" s="65"/>
    </row>
    <row r="356">
      <c r="U356" s="65"/>
    </row>
    <row r="357">
      <c r="U357" s="65"/>
    </row>
    <row r="358">
      <c r="U358" s="65"/>
    </row>
    <row r="359">
      <c r="U359" s="65"/>
    </row>
    <row r="360">
      <c r="U360" s="65"/>
    </row>
    <row r="361">
      <c r="U361" s="65"/>
    </row>
    <row r="362">
      <c r="U362" s="65"/>
    </row>
    <row r="363">
      <c r="U363" s="65"/>
    </row>
    <row r="364">
      <c r="U364" s="65"/>
    </row>
    <row r="365">
      <c r="U365" s="65"/>
    </row>
    <row r="366">
      <c r="U366" s="65"/>
    </row>
    <row r="367">
      <c r="U367" s="65"/>
    </row>
    <row r="368">
      <c r="U368" s="65"/>
    </row>
    <row r="369">
      <c r="U369" s="65"/>
    </row>
    <row r="370">
      <c r="U370" s="65"/>
    </row>
    <row r="371">
      <c r="U371" s="65"/>
    </row>
    <row r="372">
      <c r="U372" s="65"/>
    </row>
    <row r="373">
      <c r="U373" s="65"/>
    </row>
    <row r="374">
      <c r="U374" s="65"/>
    </row>
    <row r="375">
      <c r="U375" s="65"/>
    </row>
    <row r="376">
      <c r="U376" s="65"/>
    </row>
    <row r="377">
      <c r="U377" s="65"/>
    </row>
    <row r="378">
      <c r="U378" s="65"/>
    </row>
    <row r="379">
      <c r="U379" s="65"/>
    </row>
    <row r="380">
      <c r="U380" s="65"/>
    </row>
    <row r="381">
      <c r="U381" s="65"/>
    </row>
    <row r="382">
      <c r="U382" s="65"/>
    </row>
    <row r="383">
      <c r="U383" s="65"/>
    </row>
    <row r="384">
      <c r="U384" s="65"/>
    </row>
    <row r="385">
      <c r="U385" s="65"/>
    </row>
    <row r="386">
      <c r="U386" s="65"/>
    </row>
    <row r="387">
      <c r="U387" s="65"/>
    </row>
    <row r="388">
      <c r="U388" s="65"/>
    </row>
    <row r="389">
      <c r="U389" s="65"/>
    </row>
    <row r="390">
      <c r="U390" s="65"/>
    </row>
    <row r="391">
      <c r="U391" s="65"/>
    </row>
    <row r="392">
      <c r="U392" s="65"/>
    </row>
    <row r="393">
      <c r="U393" s="65"/>
    </row>
    <row r="394">
      <c r="U394" s="65"/>
    </row>
    <row r="395">
      <c r="U395" s="65"/>
    </row>
    <row r="396">
      <c r="U396" s="65"/>
    </row>
    <row r="397">
      <c r="U397" s="65"/>
    </row>
    <row r="398">
      <c r="U398" s="65"/>
    </row>
    <row r="399">
      <c r="U399" s="65"/>
    </row>
    <row r="400">
      <c r="U400" s="65"/>
    </row>
    <row r="401">
      <c r="U401" s="65"/>
    </row>
    <row r="402">
      <c r="U402" s="65"/>
    </row>
    <row r="403">
      <c r="U403" s="65"/>
    </row>
    <row r="404">
      <c r="U404" s="65"/>
    </row>
    <row r="405">
      <c r="U405" s="65"/>
    </row>
    <row r="406">
      <c r="U406" s="65"/>
    </row>
    <row r="407">
      <c r="U407" s="65"/>
    </row>
    <row r="408">
      <c r="U408" s="65"/>
    </row>
    <row r="409">
      <c r="U409" s="65"/>
    </row>
    <row r="410">
      <c r="U410" s="65"/>
    </row>
    <row r="411">
      <c r="U411" s="65"/>
    </row>
    <row r="412">
      <c r="U412" s="65"/>
    </row>
    <row r="413">
      <c r="U413" s="65"/>
    </row>
    <row r="414">
      <c r="U414" s="65"/>
    </row>
    <row r="415">
      <c r="U415" s="65"/>
    </row>
    <row r="416">
      <c r="U416" s="65"/>
    </row>
    <row r="417">
      <c r="U417" s="65"/>
    </row>
    <row r="418">
      <c r="U418" s="65"/>
    </row>
    <row r="419">
      <c r="U419" s="65"/>
    </row>
    <row r="420">
      <c r="U420" s="65"/>
    </row>
    <row r="421">
      <c r="U421" s="65"/>
    </row>
    <row r="422">
      <c r="U422" s="65"/>
    </row>
    <row r="423">
      <c r="U423" s="65"/>
    </row>
    <row r="424">
      <c r="U424" s="65"/>
    </row>
    <row r="425">
      <c r="U425" s="65"/>
    </row>
    <row r="426">
      <c r="U426" s="65"/>
    </row>
    <row r="427">
      <c r="U427" s="65"/>
    </row>
    <row r="428">
      <c r="U428" s="65"/>
    </row>
    <row r="429">
      <c r="U429" s="65"/>
    </row>
    <row r="430">
      <c r="U430" s="65"/>
    </row>
    <row r="431">
      <c r="U431" s="65"/>
    </row>
    <row r="432">
      <c r="U432" s="65"/>
    </row>
    <row r="433">
      <c r="U433" s="65"/>
    </row>
    <row r="434">
      <c r="U434" s="65"/>
    </row>
    <row r="435">
      <c r="U435" s="65"/>
    </row>
    <row r="436">
      <c r="U436" s="65"/>
    </row>
    <row r="437">
      <c r="U437" s="65"/>
    </row>
    <row r="438">
      <c r="U438" s="65"/>
    </row>
    <row r="439">
      <c r="U439" s="65"/>
    </row>
    <row r="440">
      <c r="U440" s="65"/>
    </row>
    <row r="441">
      <c r="U441" s="65"/>
    </row>
    <row r="442">
      <c r="U442" s="65"/>
    </row>
    <row r="443">
      <c r="U443" s="65"/>
    </row>
    <row r="444">
      <c r="U444" s="65"/>
    </row>
    <row r="445">
      <c r="U445" s="65"/>
    </row>
    <row r="446">
      <c r="U446" s="65"/>
    </row>
    <row r="447">
      <c r="U447" s="65"/>
    </row>
    <row r="448">
      <c r="U448" s="65"/>
    </row>
    <row r="449">
      <c r="U449" s="65"/>
    </row>
    <row r="450">
      <c r="U450" s="65"/>
    </row>
    <row r="451">
      <c r="U451" s="65"/>
    </row>
    <row r="452">
      <c r="U452" s="65"/>
    </row>
    <row r="453">
      <c r="U453" s="65"/>
    </row>
    <row r="454">
      <c r="U454" s="65"/>
    </row>
    <row r="455">
      <c r="U455" s="65"/>
    </row>
    <row r="456">
      <c r="U456" s="65"/>
    </row>
    <row r="457">
      <c r="U457" s="65"/>
    </row>
    <row r="458">
      <c r="U458" s="65"/>
    </row>
    <row r="459">
      <c r="U459" s="65"/>
    </row>
    <row r="460">
      <c r="U460" s="65"/>
    </row>
    <row r="461">
      <c r="U461" s="65"/>
    </row>
    <row r="462">
      <c r="U462" s="65"/>
    </row>
    <row r="463">
      <c r="U463" s="65"/>
    </row>
    <row r="464">
      <c r="U464" s="65"/>
    </row>
    <row r="465">
      <c r="U465" s="65"/>
    </row>
    <row r="466">
      <c r="U466" s="65"/>
    </row>
    <row r="467">
      <c r="U467" s="65"/>
    </row>
    <row r="468">
      <c r="U468" s="65"/>
    </row>
    <row r="469">
      <c r="U469" s="65"/>
    </row>
    <row r="470">
      <c r="U470" s="65"/>
    </row>
    <row r="471">
      <c r="U471" s="65"/>
    </row>
    <row r="472">
      <c r="U472" s="65"/>
    </row>
    <row r="473">
      <c r="U473" s="65"/>
    </row>
    <row r="474">
      <c r="U474" s="65"/>
    </row>
    <row r="475">
      <c r="U475" s="65"/>
    </row>
    <row r="476">
      <c r="U476" s="65"/>
    </row>
    <row r="477">
      <c r="U477" s="65"/>
    </row>
    <row r="478">
      <c r="U478" s="65"/>
    </row>
    <row r="479">
      <c r="U479" s="65"/>
    </row>
    <row r="480">
      <c r="U480" s="65"/>
    </row>
    <row r="481">
      <c r="U481" s="65"/>
    </row>
    <row r="482">
      <c r="U482" s="65"/>
    </row>
    <row r="483">
      <c r="U483" s="65"/>
    </row>
    <row r="484">
      <c r="U484" s="65"/>
    </row>
    <row r="485">
      <c r="U485" s="65"/>
    </row>
    <row r="486">
      <c r="U486" s="65"/>
    </row>
    <row r="487">
      <c r="U487" s="65"/>
    </row>
    <row r="488">
      <c r="U488" s="65"/>
    </row>
    <row r="489">
      <c r="U489" s="65"/>
    </row>
    <row r="490">
      <c r="U490" s="65"/>
    </row>
    <row r="491">
      <c r="U491" s="65"/>
    </row>
    <row r="492">
      <c r="U492" s="65"/>
    </row>
    <row r="493">
      <c r="U493" s="65"/>
    </row>
    <row r="494">
      <c r="U494" s="65"/>
    </row>
    <row r="495">
      <c r="U495" s="65"/>
    </row>
    <row r="496">
      <c r="U496" s="65"/>
    </row>
    <row r="497">
      <c r="U497" s="65"/>
    </row>
    <row r="498">
      <c r="U498" s="65"/>
    </row>
    <row r="499">
      <c r="U499" s="65"/>
    </row>
    <row r="500">
      <c r="U500" s="65"/>
    </row>
    <row r="501">
      <c r="U501" s="65"/>
    </row>
    <row r="502">
      <c r="U502" s="65"/>
    </row>
    <row r="503">
      <c r="U503" s="65"/>
    </row>
    <row r="504">
      <c r="U504" s="65"/>
    </row>
    <row r="505">
      <c r="U505" s="65"/>
    </row>
    <row r="506">
      <c r="U506" s="65"/>
    </row>
    <row r="507">
      <c r="U507" s="65"/>
    </row>
    <row r="508">
      <c r="U508" s="65"/>
    </row>
    <row r="509">
      <c r="U509" s="65"/>
    </row>
    <row r="510">
      <c r="U510" s="65"/>
    </row>
    <row r="511">
      <c r="U511" s="65"/>
    </row>
    <row r="512">
      <c r="U512" s="65"/>
    </row>
    <row r="513">
      <c r="U513" s="65"/>
    </row>
    <row r="514">
      <c r="U514" s="65"/>
    </row>
    <row r="515">
      <c r="U515" s="65"/>
    </row>
    <row r="516">
      <c r="U516" s="65"/>
    </row>
    <row r="517">
      <c r="U517" s="65"/>
    </row>
    <row r="518">
      <c r="U518" s="65"/>
    </row>
    <row r="519">
      <c r="U519" s="65"/>
    </row>
    <row r="520">
      <c r="U520" s="65"/>
    </row>
    <row r="521">
      <c r="U521" s="65"/>
    </row>
    <row r="522">
      <c r="U522" s="65"/>
    </row>
    <row r="523">
      <c r="U523" s="65"/>
    </row>
    <row r="524">
      <c r="U524" s="65"/>
    </row>
    <row r="525">
      <c r="U525" s="65"/>
    </row>
    <row r="526">
      <c r="U526" s="65"/>
    </row>
    <row r="527">
      <c r="U527" s="65"/>
    </row>
    <row r="528">
      <c r="U528" s="65"/>
    </row>
    <row r="529">
      <c r="U529" s="65"/>
    </row>
    <row r="530">
      <c r="U530" s="65"/>
    </row>
    <row r="531">
      <c r="U531" s="65"/>
    </row>
    <row r="532">
      <c r="U532" s="65"/>
    </row>
    <row r="533">
      <c r="U533" s="65"/>
    </row>
    <row r="534">
      <c r="U534" s="65"/>
    </row>
    <row r="535">
      <c r="U535" s="65"/>
    </row>
    <row r="536">
      <c r="U536" s="65"/>
    </row>
    <row r="537">
      <c r="U537" s="65"/>
    </row>
    <row r="538">
      <c r="U538" s="65"/>
    </row>
    <row r="539">
      <c r="U539" s="65"/>
    </row>
    <row r="540">
      <c r="U540" s="65"/>
    </row>
    <row r="541">
      <c r="U541" s="65"/>
    </row>
    <row r="542">
      <c r="U542" s="65"/>
    </row>
    <row r="543">
      <c r="U543" s="65"/>
    </row>
    <row r="544">
      <c r="U544" s="65"/>
    </row>
    <row r="545">
      <c r="U545" s="65"/>
    </row>
    <row r="546">
      <c r="U546" s="65"/>
    </row>
    <row r="547">
      <c r="U547" s="65"/>
    </row>
    <row r="548">
      <c r="U548" s="65"/>
    </row>
    <row r="549">
      <c r="U549" s="65"/>
    </row>
    <row r="550">
      <c r="U550" s="65"/>
    </row>
    <row r="551">
      <c r="U551" s="65"/>
    </row>
    <row r="552">
      <c r="U552" s="65"/>
    </row>
    <row r="553">
      <c r="U553" s="65"/>
    </row>
    <row r="554">
      <c r="U554" s="65"/>
    </row>
    <row r="555">
      <c r="U555" s="65"/>
    </row>
    <row r="556">
      <c r="U556" s="65"/>
    </row>
    <row r="557">
      <c r="U557" s="65"/>
    </row>
    <row r="558">
      <c r="U558" s="65"/>
    </row>
    <row r="559">
      <c r="U559" s="65"/>
    </row>
    <row r="560">
      <c r="U560" s="65"/>
    </row>
    <row r="561">
      <c r="U561" s="65"/>
    </row>
    <row r="562">
      <c r="U562" s="65"/>
    </row>
    <row r="563">
      <c r="U563" s="65"/>
    </row>
    <row r="564">
      <c r="U564" s="65"/>
    </row>
    <row r="565">
      <c r="U565" s="65"/>
    </row>
    <row r="566">
      <c r="U566" s="65"/>
    </row>
    <row r="567">
      <c r="U567" s="65"/>
    </row>
    <row r="568">
      <c r="U568" s="65"/>
    </row>
    <row r="569">
      <c r="U569" s="65"/>
    </row>
    <row r="570">
      <c r="U570" s="65"/>
    </row>
    <row r="571">
      <c r="U571" s="65"/>
    </row>
    <row r="572">
      <c r="U572" s="65"/>
    </row>
    <row r="573">
      <c r="U573" s="65"/>
    </row>
    <row r="574">
      <c r="U574" s="65"/>
    </row>
    <row r="575">
      <c r="U575" s="65"/>
    </row>
    <row r="576">
      <c r="U576" s="65"/>
    </row>
    <row r="577">
      <c r="U577" s="65"/>
    </row>
    <row r="578">
      <c r="U578" s="65"/>
    </row>
    <row r="579">
      <c r="U579" s="65"/>
    </row>
    <row r="580">
      <c r="U580" s="65"/>
    </row>
    <row r="581">
      <c r="U581" s="65"/>
    </row>
    <row r="582">
      <c r="U582" s="65"/>
    </row>
    <row r="583">
      <c r="U583" s="65"/>
    </row>
    <row r="584">
      <c r="U584" s="65"/>
    </row>
    <row r="585">
      <c r="U585" s="65"/>
    </row>
    <row r="586">
      <c r="U586" s="65"/>
    </row>
    <row r="587">
      <c r="U587" s="65"/>
    </row>
    <row r="588">
      <c r="U588" s="65"/>
    </row>
    <row r="589">
      <c r="U589" s="65"/>
    </row>
    <row r="590">
      <c r="U590" s="65"/>
    </row>
    <row r="591">
      <c r="U591" s="65"/>
    </row>
    <row r="592">
      <c r="U592" s="65"/>
    </row>
    <row r="593">
      <c r="U593" s="65"/>
    </row>
    <row r="594">
      <c r="U594" s="65"/>
    </row>
    <row r="595">
      <c r="U595" s="65"/>
    </row>
    <row r="596">
      <c r="U596" s="65"/>
    </row>
    <row r="597">
      <c r="U597" s="65"/>
    </row>
    <row r="598">
      <c r="U598" s="65"/>
    </row>
    <row r="599">
      <c r="U599" s="65"/>
    </row>
    <row r="600">
      <c r="U600" s="65"/>
    </row>
    <row r="601">
      <c r="U601" s="65"/>
    </row>
    <row r="602">
      <c r="U602" s="65"/>
    </row>
    <row r="603">
      <c r="U603" s="65"/>
    </row>
    <row r="604">
      <c r="U604" s="65"/>
    </row>
    <row r="605">
      <c r="U605" s="65"/>
    </row>
    <row r="606">
      <c r="U606" s="65"/>
    </row>
    <row r="607">
      <c r="U607" s="65"/>
    </row>
    <row r="608">
      <c r="U608" s="65"/>
    </row>
    <row r="609">
      <c r="U609" s="65"/>
    </row>
    <row r="610">
      <c r="U610" s="65"/>
    </row>
    <row r="611">
      <c r="U611" s="65"/>
    </row>
    <row r="612">
      <c r="U612" s="65"/>
    </row>
    <row r="613">
      <c r="U613" s="65"/>
    </row>
    <row r="614">
      <c r="U614" s="65"/>
    </row>
    <row r="615">
      <c r="U615" s="65"/>
    </row>
    <row r="616">
      <c r="U616" s="65"/>
    </row>
    <row r="617">
      <c r="U617" s="65"/>
    </row>
    <row r="618">
      <c r="U618" s="65"/>
    </row>
    <row r="619">
      <c r="U619" s="65"/>
    </row>
    <row r="620">
      <c r="U620" s="65"/>
    </row>
    <row r="621">
      <c r="U621" s="65"/>
    </row>
    <row r="622">
      <c r="U622" s="65"/>
    </row>
    <row r="623">
      <c r="U623" s="65"/>
    </row>
    <row r="624">
      <c r="U624" s="65"/>
    </row>
    <row r="625">
      <c r="U625" s="65"/>
    </row>
    <row r="626">
      <c r="U626" s="65"/>
    </row>
    <row r="627">
      <c r="U627" s="65"/>
    </row>
    <row r="628">
      <c r="U628" s="65"/>
    </row>
    <row r="629">
      <c r="U629" s="65"/>
    </row>
    <row r="630">
      <c r="U630" s="65"/>
    </row>
    <row r="631">
      <c r="U631" s="65"/>
    </row>
    <row r="632">
      <c r="U632" s="65"/>
    </row>
    <row r="633">
      <c r="U633" s="65"/>
    </row>
    <row r="634">
      <c r="U634" s="65"/>
    </row>
    <row r="635">
      <c r="U635" s="65"/>
    </row>
    <row r="636">
      <c r="U636" s="65"/>
    </row>
    <row r="637">
      <c r="U637" s="65"/>
    </row>
    <row r="638">
      <c r="U638" s="65"/>
    </row>
    <row r="639">
      <c r="U639" s="65"/>
    </row>
    <row r="640">
      <c r="U640" s="65"/>
    </row>
    <row r="641">
      <c r="U641" s="65"/>
    </row>
    <row r="642">
      <c r="U642" s="65"/>
    </row>
    <row r="643">
      <c r="U643" s="65"/>
    </row>
    <row r="644">
      <c r="U644" s="65"/>
    </row>
    <row r="645">
      <c r="U645" s="65"/>
    </row>
    <row r="646">
      <c r="U646" s="65"/>
    </row>
    <row r="647">
      <c r="U647" s="65"/>
    </row>
    <row r="648">
      <c r="U648" s="65"/>
    </row>
    <row r="649">
      <c r="U649" s="65"/>
    </row>
    <row r="650">
      <c r="U650" s="65"/>
    </row>
    <row r="651">
      <c r="U651" s="65"/>
    </row>
    <row r="652">
      <c r="U652" s="65"/>
    </row>
    <row r="653">
      <c r="U653" s="65"/>
    </row>
    <row r="654">
      <c r="U654" s="65"/>
    </row>
    <row r="655">
      <c r="U655" s="65"/>
    </row>
    <row r="656">
      <c r="U656" s="65"/>
    </row>
    <row r="657">
      <c r="U657" s="65"/>
    </row>
    <row r="658">
      <c r="U658" s="65"/>
    </row>
    <row r="659">
      <c r="U659" s="65"/>
    </row>
    <row r="660">
      <c r="U660" s="65"/>
    </row>
    <row r="661">
      <c r="U661" s="65"/>
    </row>
    <row r="662">
      <c r="U662" s="65"/>
    </row>
    <row r="663">
      <c r="U663" s="65"/>
    </row>
    <row r="664">
      <c r="U664" s="65"/>
    </row>
    <row r="665">
      <c r="U665" s="65"/>
    </row>
    <row r="666">
      <c r="U666" s="65"/>
    </row>
    <row r="667">
      <c r="U667" s="65"/>
    </row>
    <row r="668">
      <c r="U668" s="65"/>
    </row>
    <row r="669">
      <c r="U669" s="65"/>
    </row>
    <row r="670">
      <c r="U670" s="65"/>
    </row>
    <row r="671">
      <c r="U671" s="65"/>
    </row>
    <row r="672">
      <c r="U672" s="65"/>
    </row>
    <row r="673">
      <c r="U673" s="65"/>
    </row>
    <row r="674">
      <c r="U674" s="65"/>
    </row>
    <row r="675">
      <c r="U675" s="65"/>
    </row>
    <row r="676">
      <c r="U676" s="65"/>
    </row>
    <row r="677">
      <c r="U677" s="65"/>
    </row>
    <row r="678">
      <c r="U678" s="65"/>
    </row>
    <row r="679">
      <c r="U679" s="65"/>
    </row>
    <row r="680">
      <c r="U680" s="65"/>
    </row>
    <row r="681">
      <c r="U681" s="65"/>
    </row>
    <row r="682">
      <c r="U682" s="65"/>
    </row>
    <row r="683">
      <c r="U683" s="65"/>
    </row>
    <row r="684">
      <c r="U684" s="65"/>
    </row>
    <row r="685">
      <c r="U685" s="65"/>
    </row>
    <row r="686">
      <c r="U686" s="65"/>
    </row>
    <row r="687">
      <c r="U687" s="65"/>
    </row>
    <row r="688">
      <c r="U688" s="65"/>
    </row>
    <row r="689">
      <c r="U689" s="65"/>
    </row>
    <row r="690">
      <c r="U690" s="65"/>
    </row>
    <row r="691">
      <c r="U691" s="65"/>
    </row>
    <row r="692">
      <c r="U692" s="65"/>
    </row>
    <row r="693">
      <c r="U693" s="65"/>
    </row>
    <row r="694">
      <c r="U694" s="65"/>
    </row>
    <row r="695">
      <c r="U695" s="65"/>
    </row>
    <row r="696">
      <c r="U696" s="65"/>
    </row>
    <row r="697">
      <c r="U697" s="65"/>
    </row>
    <row r="698">
      <c r="U698" s="65"/>
    </row>
    <row r="699">
      <c r="U699" s="65"/>
    </row>
    <row r="700">
      <c r="U700" s="65"/>
    </row>
    <row r="701">
      <c r="U701" s="65"/>
    </row>
    <row r="702">
      <c r="U702" s="65"/>
    </row>
    <row r="703">
      <c r="U703" s="65"/>
    </row>
    <row r="704">
      <c r="U704" s="65"/>
    </row>
    <row r="705">
      <c r="U705" s="65"/>
    </row>
    <row r="706">
      <c r="U706" s="65"/>
    </row>
    <row r="707">
      <c r="U707" s="65"/>
    </row>
    <row r="708">
      <c r="U708" s="65"/>
    </row>
    <row r="709">
      <c r="U709" s="65"/>
    </row>
    <row r="710">
      <c r="U710" s="65"/>
    </row>
    <row r="711">
      <c r="U711" s="65"/>
    </row>
    <row r="712">
      <c r="U712" s="65"/>
    </row>
    <row r="713">
      <c r="U713" s="65"/>
    </row>
    <row r="714">
      <c r="U714" s="65"/>
    </row>
    <row r="715">
      <c r="U715" s="65"/>
    </row>
    <row r="716">
      <c r="U716" s="65"/>
    </row>
    <row r="717">
      <c r="U717" s="65"/>
    </row>
    <row r="718">
      <c r="U718" s="65"/>
    </row>
    <row r="719">
      <c r="U719" s="65"/>
    </row>
    <row r="720">
      <c r="U720" s="65"/>
    </row>
    <row r="721">
      <c r="U721" s="65"/>
    </row>
    <row r="722">
      <c r="U722" s="65"/>
    </row>
    <row r="723">
      <c r="U723" s="65"/>
    </row>
    <row r="724">
      <c r="U724" s="65"/>
    </row>
    <row r="725">
      <c r="U725" s="65"/>
    </row>
    <row r="726">
      <c r="U726" s="65"/>
    </row>
    <row r="727">
      <c r="U727" s="65"/>
    </row>
    <row r="728">
      <c r="U728" s="65"/>
    </row>
    <row r="729">
      <c r="U729" s="65"/>
    </row>
    <row r="730">
      <c r="U730" s="65"/>
    </row>
    <row r="731">
      <c r="U731" s="65"/>
    </row>
    <row r="732">
      <c r="U732" s="65"/>
    </row>
    <row r="733">
      <c r="U733" s="65"/>
    </row>
    <row r="734">
      <c r="U734" s="65"/>
    </row>
    <row r="735">
      <c r="U735" s="65"/>
    </row>
    <row r="736">
      <c r="U736" s="65"/>
    </row>
    <row r="737">
      <c r="U737" s="65"/>
    </row>
    <row r="738">
      <c r="U738" s="65"/>
    </row>
    <row r="739">
      <c r="U739" s="65"/>
    </row>
    <row r="740">
      <c r="U740" s="65"/>
    </row>
    <row r="741">
      <c r="U741" s="65"/>
    </row>
    <row r="742">
      <c r="U742" s="65"/>
    </row>
    <row r="743">
      <c r="U743" s="65"/>
    </row>
    <row r="744">
      <c r="U744" s="65"/>
    </row>
    <row r="745">
      <c r="U745" s="65"/>
    </row>
    <row r="746">
      <c r="U746" s="65"/>
    </row>
    <row r="747">
      <c r="U747" s="65"/>
    </row>
    <row r="748">
      <c r="U748" s="65"/>
    </row>
    <row r="749">
      <c r="U749" s="65"/>
    </row>
    <row r="750">
      <c r="U750" s="65"/>
    </row>
    <row r="751">
      <c r="U751" s="65"/>
    </row>
    <row r="752">
      <c r="U752" s="65"/>
    </row>
    <row r="753">
      <c r="U753" s="65"/>
    </row>
    <row r="754">
      <c r="U754" s="65"/>
    </row>
    <row r="755">
      <c r="U755" s="65"/>
    </row>
    <row r="756">
      <c r="U756" s="65"/>
    </row>
    <row r="757">
      <c r="U757" s="65"/>
    </row>
    <row r="758">
      <c r="U758" s="65"/>
    </row>
    <row r="759">
      <c r="U759" s="65"/>
    </row>
    <row r="760">
      <c r="U760" s="65"/>
    </row>
    <row r="761">
      <c r="U761" s="65"/>
    </row>
    <row r="762">
      <c r="U762" s="65"/>
    </row>
    <row r="763">
      <c r="U763" s="65"/>
    </row>
    <row r="764">
      <c r="U764" s="65"/>
    </row>
    <row r="765">
      <c r="U765" s="65"/>
    </row>
    <row r="766">
      <c r="U766" s="65"/>
    </row>
    <row r="767">
      <c r="U767" s="65"/>
    </row>
    <row r="768">
      <c r="U768" s="65"/>
    </row>
    <row r="769">
      <c r="U769" s="65"/>
    </row>
    <row r="770">
      <c r="U770" s="65"/>
    </row>
    <row r="771">
      <c r="U771" s="65"/>
    </row>
    <row r="772">
      <c r="U772" s="65"/>
    </row>
    <row r="773">
      <c r="U773" s="65"/>
    </row>
    <row r="774">
      <c r="U774" s="65"/>
    </row>
    <row r="775">
      <c r="U775" s="65"/>
    </row>
    <row r="776">
      <c r="U776" s="65"/>
    </row>
    <row r="777">
      <c r="U777" s="65"/>
    </row>
    <row r="778">
      <c r="U778" s="65"/>
    </row>
    <row r="779">
      <c r="U779" s="65"/>
    </row>
    <row r="780">
      <c r="U780" s="65"/>
    </row>
    <row r="781">
      <c r="U781" s="65"/>
    </row>
    <row r="782">
      <c r="U782" s="65"/>
    </row>
    <row r="783">
      <c r="U783" s="65"/>
    </row>
    <row r="784">
      <c r="U784" s="65"/>
    </row>
    <row r="785">
      <c r="U785" s="65"/>
    </row>
    <row r="786">
      <c r="U786" s="65"/>
    </row>
    <row r="787">
      <c r="U787" s="65"/>
    </row>
    <row r="788">
      <c r="U788" s="65"/>
    </row>
    <row r="789">
      <c r="U789" s="65"/>
    </row>
    <row r="790">
      <c r="U790" s="65"/>
    </row>
    <row r="791">
      <c r="U791" s="65"/>
    </row>
    <row r="792">
      <c r="U792" s="65"/>
    </row>
    <row r="793">
      <c r="U793" s="65"/>
    </row>
    <row r="794">
      <c r="U794" s="65"/>
    </row>
    <row r="795">
      <c r="U795" s="65"/>
    </row>
    <row r="796">
      <c r="U796" s="65"/>
    </row>
    <row r="797">
      <c r="U797" s="65"/>
    </row>
    <row r="798">
      <c r="U798" s="65"/>
    </row>
    <row r="799">
      <c r="U799" s="65"/>
    </row>
    <row r="800">
      <c r="U800" s="65"/>
    </row>
    <row r="801">
      <c r="U801" s="65"/>
    </row>
    <row r="802">
      <c r="U802" s="65"/>
    </row>
    <row r="803">
      <c r="U803" s="65"/>
    </row>
    <row r="804">
      <c r="U804" s="65"/>
    </row>
    <row r="805">
      <c r="U805" s="65"/>
    </row>
    <row r="806">
      <c r="U806" s="65"/>
    </row>
    <row r="807">
      <c r="U807" s="65"/>
    </row>
    <row r="808">
      <c r="U808" s="65"/>
    </row>
    <row r="809">
      <c r="U809" s="65"/>
    </row>
    <row r="810">
      <c r="U810" s="65"/>
    </row>
    <row r="811">
      <c r="U811" s="65"/>
    </row>
    <row r="812">
      <c r="U812" s="65"/>
    </row>
    <row r="813">
      <c r="U813" s="65"/>
    </row>
    <row r="814">
      <c r="U814" s="65"/>
    </row>
    <row r="815">
      <c r="U815" s="65"/>
    </row>
    <row r="816">
      <c r="U816" s="65"/>
    </row>
    <row r="817">
      <c r="U817" s="65"/>
    </row>
    <row r="818">
      <c r="U818" s="65"/>
    </row>
    <row r="819">
      <c r="U819" s="65"/>
    </row>
    <row r="820">
      <c r="U820" s="65"/>
    </row>
    <row r="821">
      <c r="U821" s="65"/>
    </row>
    <row r="822">
      <c r="U822" s="65"/>
    </row>
    <row r="823">
      <c r="U823" s="65"/>
    </row>
    <row r="824">
      <c r="U824" s="65"/>
    </row>
    <row r="825">
      <c r="U825" s="65"/>
    </row>
    <row r="826">
      <c r="U826" s="65"/>
    </row>
    <row r="827">
      <c r="U827" s="65"/>
    </row>
    <row r="828">
      <c r="U828" s="65"/>
    </row>
    <row r="829">
      <c r="U829" s="65"/>
    </row>
    <row r="830">
      <c r="U830" s="65"/>
    </row>
    <row r="831">
      <c r="U831" s="65"/>
    </row>
    <row r="832">
      <c r="U832" s="65"/>
    </row>
    <row r="833">
      <c r="U833" s="65"/>
    </row>
    <row r="834">
      <c r="U834" s="65"/>
    </row>
    <row r="835">
      <c r="U835" s="65"/>
    </row>
    <row r="836">
      <c r="U836" s="65"/>
    </row>
    <row r="837">
      <c r="U837" s="65"/>
    </row>
    <row r="838">
      <c r="U838" s="65"/>
    </row>
    <row r="839">
      <c r="U839" s="65"/>
    </row>
    <row r="840">
      <c r="U840" s="65"/>
    </row>
    <row r="841">
      <c r="U841" s="65"/>
    </row>
    <row r="842">
      <c r="U842" s="65"/>
    </row>
    <row r="843">
      <c r="U843" s="65"/>
    </row>
    <row r="844">
      <c r="U844" s="65"/>
    </row>
    <row r="845">
      <c r="U845" s="65"/>
    </row>
    <row r="846">
      <c r="U846" s="65"/>
    </row>
    <row r="847">
      <c r="U847" s="65"/>
    </row>
    <row r="848">
      <c r="U848" s="65"/>
    </row>
    <row r="849">
      <c r="U849" s="65"/>
    </row>
    <row r="850">
      <c r="U850" s="65"/>
    </row>
    <row r="851">
      <c r="U851" s="65"/>
    </row>
    <row r="852">
      <c r="U852" s="65"/>
    </row>
    <row r="853">
      <c r="U853" s="65"/>
    </row>
    <row r="854">
      <c r="U854" s="65"/>
    </row>
    <row r="855">
      <c r="U855" s="65"/>
    </row>
    <row r="856">
      <c r="U856" s="65"/>
    </row>
    <row r="857">
      <c r="U857" s="65"/>
    </row>
    <row r="858">
      <c r="U858" s="65"/>
    </row>
    <row r="859">
      <c r="U859" s="65"/>
    </row>
    <row r="860">
      <c r="U860" s="65"/>
    </row>
    <row r="861">
      <c r="U861" s="65"/>
    </row>
    <row r="862">
      <c r="U862" s="65"/>
    </row>
    <row r="863">
      <c r="U863" s="65"/>
    </row>
    <row r="864">
      <c r="U864" s="65"/>
    </row>
    <row r="865">
      <c r="U865" s="65"/>
    </row>
    <row r="866">
      <c r="U866" s="65"/>
    </row>
    <row r="867">
      <c r="U867" s="65"/>
    </row>
    <row r="868">
      <c r="U868" s="65"/>
    </row>
    <row r="869">
      <c r="U869" s="65"/>
    </row>
    <row r="870">
      <c r="U870" s="65"/>
    </row>
    <row r="871">
      <c r="U871" s="65"/>
    </row>
    <row r="872">
      <c r="U872" s="65"/>
    </row>
    <row r="873">
      <c r="U873" s="65"/>
    </row>
    <row r="874">
      <c r="U874" s="65"/>
    </row>
    <row r="875">
      <c r="U875" s="65"/>
    </row>
    <row r="876">
      <c r="U876" s="65"/>
    </row>
    <row r="877">
      <c r="U877" s="65"/>
    </row>
    <row r="878">
      <c r="U878" s="65"/>
    </row>
    <row r="879">
      <c r="U879" s="65"/>
    </row>
    <row r="880">
      <c r="U880" s="65"/>
    </row>
    <row r="881">
      <c r="U881" s="65"/>
    </row>
    <row r="882">
      <c r="U882" s="65"/>
    </row>
    <row r="883">
      <c r="U883" s="65"/>
    </row>
    <row r="884">
      <c r="U884" s="65"/>
    </row>
    <row r="885">
      <c r="U885" s="65"/>
    </row>
    <row r="886">
      <c r="U886" s="65"/>
    </row>
    <row r="887">
      <c r="U887" s="65"/>
    </row>
    <row r="888">
      <c r="U888" s="65"/>
    </row>
    <row r="889">
      <c r="U889" s="65"/>
    </row>
    <row r="890">
      <c r="U890" s="65"/>
    </row>
    <row r="891">
      <c r="U891" s="65"/>
    </row>
    <row r="892">
      <c r="U892" s="65"/>
    </row>
    <row r="893">
      <c r="U893" s="65"/>
    </row>
    <row r="894">
      <c r="U894" s="65"/>
    </row>
    <row r="895">
      <c r="U895" s="65"/>
    </row>
    <row r="896">
      <c r="U896" s="65"/>
    </row>
    <row r="897">
      <c r="U897" s="65"/>
    </row>
    <row r="898">
      <c r="U898" s="65"/>
    </row>
    <row r="899">
      <c r="U899" s="65"/>
    </row>
    <row r="900">
      <c r="U900" s="65"/>
    </row>
    <row r="901">
      <c r="U901" s="65"/>
    </row>
    <row r="902">
      <c r="U902" s="65"/>
    </row>
    <row r="903">
      <c r="U903" s="65"/>
    </row>
    <row r="904">
      <c r="U904" s="65"/>
    </row>
    <row r="905">
      <c r="U905" s="65"/>
    </row>
    <row r="906">
      <c r="U906" s="65"/>
    </row>
    <row r="907">
      <c r="U907" s="65"/>
    </row>
    <row r="908">
      <c r="U908" s="65"/>
    </row>
    <row r="909">
      <c r="U909" s="65"/>
    </row>
    <row r="910">
      <c r="U910" s="65"/>
    </row>
    <row r="911">
      <c r="U911" s="65"/>
    </row>
    <row r="912">
      <c r="U912" s="65"/>
    </row>
    <row r="913">
      <c r="U913" s="65"/>
    </row>
    <row r="914">
      <c r="U914" s="65"/>
    </row>
    <row r="915">
      <c r="U915" s="65"/>
    </row>
    <row r="916">
      <c r="U916" s="65"/>
    </row>
    <row r="917">
      <c r="U917" s="65"/>
    </row>
    <row r="918">
      <c r="U918" s="65"/>
    </row>
    <row r="919">
      <c r="U919" s="65"/>
    </row>
    <row r="920">
      <c r="U920" s="65"/>
    </row>
    <row r="921">
      <c r="U921" s="65"/>
    </row>
    <row r="922">
      <c r="U922" s="65"/>
    </row>
    <row r="923">
      <c r="U923" s="65"/>
    </row>
    <row r="924">
      <c r="U924" s="65"/>
    </row>
    <row r="925">
      <c r="U925" s="65"/>
    </row>
    <row r="926">
      <c r="U926" s="65"/>
    </row>
    <row r="927">
      <c r="U927" s="65"/>
    </row>
    <row r="928">
      <c r="U928" s="65"/>
    </row>
    <row r="929">
      <c r="U929" s="65"/>
    </row>
    <row r="930">
      <c r="U930" s="65"/>
    </row>
    <row r="931">
      <c r="U931" s="65"/>
    </row>
    <row r="932">
      <c r="U932" s="65"/>
    </row>
    <row r="933">
      <c r="U933" s="65"/>
    </row>
    <row r="934">
      <c r="U934" s="65"/>
    </row>
    <row r="935">
      <c r="U935" s="65"/>
    </row>
    <row r="936">
      <c r="U936" s="65"/>
    </row>
    <row r="937">
      <c r="U937" s="65"/>
    </row>
    <row r="938">
      <c r="U938" s="65"/>
    </row>
    <row r="939">
      <c r="U939" s="65"/>
    </row>
    <row r="940">
      <c r="U940" s="65"/>
    </row>
    <row r="941">
      <c r="U941" s="65"/>
    </row>
    <row r="942">
      <c r="U942" s="65"/>
    </row>
    <row r="943">
      <c r="U943" s="65"/>
    </row>
    <row r="944">
      <c r="U944" s="65"/>
    </row>
    <row r="945">
      <c r="U945" s="65"/>
    </row>
    <row r="946">
      <c r="U946" s="65"/>
    </row>
    <row r="947">
      <c r="U947" s="65"/>
    </row>
    <row r="948">
      <c r="U948" s="65"/>
    </row>
    <row r="949">
      <c r="U949" s="65"/>
    </row>
    <row r="950">
      <c r="U950" s="65"/>
    </row>
    <row r="951">
      <c r="U951" s="65"/>
    </row>
    <row r="952">
      <c r="U952" s="65"/>
    </row>
    <row r="953">
      <c r="U953" s="65"/>
    </row>
    <row r="954">
      <c r="U954" s="65"/>
    </row>
    <row r="955">
      <c r="U955" s="65"/>
    </row>
    <row r="956">
      <c r="U956" s="65"/>
    </row>
    <row r="957">
      <c r="U957" s="65"/>
    </row>
    <row r="958">
      <c r="U958" s="65"/>
    </row>
    <row r="959">
      <c r="U959" s="65"/>
    </row>
    <row r="960">
      <c r="U960" s="65"/>
    </row>
    <row r="961">
      <c r="U961" s="65"/>
    </row>
    <row r="962">
      <c r="U962" s="65"/>
    </row>
    <row r="963">
      <c r="U963" s="65"/>
    </row>
    <row r="964">
      <c r="U964" s="65"/>
    </row>
    <row r="965">
      <c r="U965" s="65"/>
    </row>
    <row r="966">
      <c r="U966" s="65"/>
    </row>
    <row r="967">
      <c r="U967" s="65"/>
    </row>
    <row r="968">
      <c r="U968" s="65"/>
    </row>
    <row r="969">
      <c r="U969" s="65"/>
    </row>
    <row r="970">
      <c r="U970" s="65"/>
    </row>
    <row r="971">
      <c r="U971" s="65"/>
    </row>
    <row r="972">
      <c r="U972" s="65"/>
    </row>
    <row r="973">
      <c r="U973" s="65"/>
    </row>
    <row r="974">
      <c r="U974" s="65"/>
    </row>
    <row r="975">
      <c r="U975" s="65"/>
    </row>
    <row r="976">
      <c r="U976" s="65"/>
    </row>
    <row r="977">
      <c r="U977" s="65"/>
    </row>
    <row r="978">
      <c r="U978" s="65"/>
    </row>
    <row r="979">
      <c r="U979" s="65"/>
    </row>
    <row r="980">
      <c r="U980" s="65"/>
    </row>
    <row r="981">
      <c r="U981" s="65"/>
    </row>
    <row r="982">
      <c r="U982" s="65"/>
    </row>
    <row r="983">
      <c r="U983" s="65"/>
    </row>
    <row r="984">
      <c r="U984" s="65"/>
    </row>
    <row r="985">
      <c r="U985" s="65"/>
    </row>
    <row r="986">
      <c r="U986" s="65"/>
    </row>
    <row r="987">
      <c r="U987" s="65"/>
    </row>
    <row r="988">
      <c r="U988" s="65"/>
    </row>
    <row r="989">
      <c r="U989" s="65"/>
    </row>
    <row r="990">
      <c r="U990" s="65"/>
    </row>
    <row r="991">
      <c r="U991" s="65"/>
    </row>
    <row r="992">
      <c r="U992" s="65"/>
    </row>
    <row r="993">
      <c r="U993" s="65"/>
    </row>
    <row r="994">
      <c r="U994" s="65"/>
    </row>
    <row r="995">
      <c r="U995" s="65"/>
    </row>
    <row r="996">
      <c r="U996" s="65"/>
    </row>
    <row r="997">
      <c r="U997" s="65"/>
    </row>
    <row r="998">
      <c r="U998" s="65"/>
    </row>
    <row r="999">
      <c r="U999" s="65"/>
    </row>
    <row r="1000">
      <c r="U1000" s="65"/>
    </row>
    <row r="1001">
      <c r="U1001" s="65"/>
    </row>
    <row r="1002">
      <c r="U1002" s="65"/>
    </row>
  </sheetData>
  <mergeCells count="10">
    <mergeCell ref="B46:B66"/>
    <mergeCell ref="B67:B68"/>
    <mergeCell ref="B70:B89"/>
    <mergeCell ref="A1:A2"/>
    <mergeCell ref="B1:B2"/>
    <mergeCell ref="C1:C2"/>
    <mergeCell ref="D1:D2"/>
    <mergeCell ref="B3:B4"/>
    <mergeCell ref="B5:B27"/>
    <mergeCell ref="B28:B45"/>
  </mergeCells>
  <conditionalFormatting sqref="D3:D89">
    <cfRule type="cellIs" dxfId="4" priority="1" operator="between">
      <formula>"08:00:00"</formula>
      <formula>"07:00:00"</formula>
    </cfRule>
  </conditionalFormatting>
  <conditionalFormatting sqref="D3:D89">
    <cfRule type="cellIs" dxfId="5" priority="2" operator="between">
      <formula>"07:00:00"</formula>
      <formula>"00:00:01"</formula>
    </cfRule>
  </conditionalFormatting>
  <conditionalFormatting sqref="D3:D89">
    <cfRule type="containsText" dxfId="6" priority="3" operator="containsText" text="Leave">
      <formula>NOT(ISERROR(SEARCH(("Leave"),(D3))))</formula>
    </cfRule>
  </conditionalFormatting>
  <conditionalFormatting sqref="E3:AH89">
    <cfRule type="notContainsText" dxfId="8" priority="4" operator="notContains" text="0">
      <formula>ISERROR(SEARCH(("0"),(E3)))</formula>
    </cfRule>
  </conditionalFormatting>
  <conditionalFormatting sqref="D3:AH89">
    <cfRule type="cellIs" dxfId="2" priority="5" operator="greaterThanOrEqual">
      <formula>"08:45:00"</formula>
    </cfRule>
  </conditionalFormatting>
  <conditionalFormatting sqref="D3:AH89">
    <cfRule type="cellIs" dxfId="3" priority="6" operator="between">
      <formula>"08:44:00"</formula>
      <formula>"08:00:00"</formula>
    </cfRule>
  </conditionalFormatting>
  <conditionalFormatting sqref="E3:AH89">
    <cfRule type="cellIs" dxfId="9" priority="7" operator="between">
      <formula>"07:59:00"</formula>
      <formula>"07:00:00"</formula>
    </cfRule>
  </conditionalFormatting>
  <conditionalFormatting sqref="E3:AH89">
    <cfRule type="cellIs" dxfId="5" priority="8" operator="between">
      <formula>"06:59:00"</formula>
      <formula>"00:00:01"</formula>
    </cfRule>
  </conditionalFormatting>
  <conditionalFormatting sqref="E3:AH89">
    <cfRule type="notContainsBlanks" dxfId="10" priority="9">
      <formula>LEN(TRIM(E3))&gt;0</formula>
    </cfRule>
  </conditionalFormatting>
  <conditionalFormatting sqref="E3:AH89">
    <cfRule type="containsText" dxfId="11" priority="10" operator="containsText" text="Leave">
      <formula>NOT(ISERROR(SEARCH(("Leave"),(E3))))</formula>
    </cfRule>
  </conditionalFormatting>
  <conditionalFormatting sqref="D3:AH89">
    <cfRule type="notContainsBlanks" dxfId="7" priority="11">
      <formula>LEN(TRIM(D3))&gt;0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63"/>
    <col customWidth="1" min="2" max="2" width="11.13"/>
    <col customWidth="1" min="3" max="3" width="23.13"/>
    <col customWidth="1" min="4" max="4" width="10.13"/>
    <col customWidth="1" min="5" max="5" width="9.75"/>
    <col customWidth="1" min="6" max="6" width="10.13"/>
    <col customWidth="1" min="7" max="7" width="10.0"/>
    <col customWidth="1" min="8" max="13" width="8.38"/>
    <col customWidth="1" min="14" max="14" width="9.38"/>
    <col customWidth="1" min="15" max="15" width="9.25"/>
    <col customWidth="1" min="16" max="34" width="9.38"/>
  </cols>
  <sheetData>
    <row r="1">
      <c r="A1" s="133" t="s">
        <v>1</v>
      </c>
      <c r="B1" s="132" t="s">
        <v>265</v>
      </c>
      <c r="C1" s="133" t="s">
        <v>266</v>
      </c>
      <c r="D1" s="133" t="s">
        <v>267</v>
      </c>
      <c r="E1" s="259" t="str">
        <f t="shared" ref="E1:AH1" si="1">text(E2, "ddd")</f>
        <v>Mon</v>
      </c>
      <c r="F1" s="260" t="str">
        <f t="shared" si="1"/>
        <v>Tue</v>
      </c>
      <c r="G1" s="260" t="str">
        <f t="shared" si="1"/>
        <v>Wed</v>
      </c>
      <c r="H1" s="260" t="str">
        <f t="shared" si="1"/>
        <v>Thu</v>
      </c>
      <c r="I1" s="260" t="str">
        <f t="shared" si="1"/>
        <v>Fri</v>
      </c>
      <c r="J1" s="134" t="str">
        <f t="shared" si="1"/>
        <v>Sat</v>
      </c>
      <c r="K1" s="134" t="str">
        <f t="shared" si="1"/>
        <v>Sun</v>
      </c>
      <c r="L1" s="259" t="str">
        <f t="shared" si="1"/>
        <v>Mon</v>
      </c>
      <c r="M1" s="260" t="str">
        <f t="shared" si="1"/>
        <v>Tue</v>
      </c>
      <c r="N1" s="259" t="str">
        <f t="shared" si="1"/>
        <v>Wed</v>
      </c>
      <c r="O1" s="260" t="str">
        <f t="shared" si="1"/>
        <v>Thu</v>
      </c>
      <c r="P1" s="260" t="str">
        <f t="shared" si="1"/>
        <v>Fri</v>
      </c>
      <c r="Q1" s="134" t="str">
        <f t="shared" si="1"/>
        <v>Sat</v>
      </c>
      <c r="R1" s="134" t="str">
        <f t="shared" si="1"/>
        <v>Sun</v>
      </c>
      <c r="S1" s="259" t="str">
        <f t="shared" si="1"/>
        <v>Mon</v>
      </c>
      <c r="T1" s="260" t="str">
        <f t="shared" si="1"/>
        <v>Tue</v>
      </c>
      <c r="U1" s="260" t="str">
        <f t="shared" si="1"/>
        <v>Wed</v>
      </c>
      <c r="V1" s="260" t="str">
        <f t="shared" si="1"/>
        <v>Thu</v>
      </c>
      <c r="W1" s="260" t="str">
        <f t="shared" si="1"/>
        <v>Fri</v>
      </c>
      <c r="X1" s="134" t="str">
        <f t="shared" si="1"/>
        <v>Sat</v>
      </c>
      <c r="Y1" s="134" t="str">
        <f t="shared" si="1"/>
        <v>Sun</v>
      </c>
      <c r="Z1" s="259" t="str">
        <f t="shared" si="1"/>
        <v>Mon</v>
      </c>
      <c r="AA1" s="260" t="str">
        <f t="shared" si="1"/>
        <v>Tue</v>
      </c>
      <c r="AB1" s="260" t="str">
        <f t="shared" si="1"/>
        <v>Wed</v>
      </c>
      <c r="AC1" s="260" t="str">
        <f t="shared" si="1"/>
        <v>Thu</v>
      </c>
      <c r="AD1" s="260" t="str">
        <f t="shared" si="1"/>
        <v>Fri</v>
      </c>
      <c r="AE1" s="218" t="str">
        <f t="shared" si="1"/>
        <v>Sat</v>
      </c>
      <c r="AF1" s="134" t="str">
        <f t="shared" si="1"/>
        <v>Sun</v>
      </c>
      <c r="AG1" s="259" t="str">
        <f t="shared" si="1"/>
        <v>Mon</v>
      </c>
      <c r="AH1" s="259" t="str">
        <f t="shared" si="1"/>
        <v>Tue</v>
      </c>
    </row>
    <row r="2">
      <c r="A2" s="15"/>
      <c r="C2" s="15"/>
      <c r="D2" s="15"/>
      <c r="E2" s="251">
        <v>45992.0</v>
      </c>
      <c r="F2" s="251">
        <v>45993.0</v>
      </c>
      <c r="G2" s="251">
        <v>45994.0</v>
      </c>
      <c r="H2" s="251">
        <v>45995.0</v>
      </c>
      <c r="I2" s="251">
        <v>45996.0</v>
      </c>
      <c r="J2" s="251">
        <v>45997.0</v>
      </c>
      <c r="K2" s="251">
        <v>45998.0</v>
      </c>
      <c r="L2" s="251">
        <v>45999.0</v>
      </c>
      <c r="M2" s="251">
        <v>46000.0</v>
      </c>
      <c r="N2" s="251">
        <v>46001.0</v>
      </c>
      <c r="O2" s="251">
        <v>46002.0</v>
      </c>
      <c r="P2" s="251">
        <v>46003.0</v>
      </c>
      <c r="Q2" s="251">
        <v>46004.0</v>
      </c>
      <c r="R2" s="251">
        <v>46005.0</v>
      </c>
      <c r="S2" s="251">
        <v>46006.0</v>
      </c>
      <c r="T2" s="251">
        <v>46007.0</v>
      </c>
      <c r="U2" s="251">
        <v>46008.0</v>
      </c>
      <c r="V2" s="251">
        <v>46009.0</v>
      </c>
      <c r="W2" s="251">
        <v>46010.0</v>
      </c>
      <c r="X2" s="251">
        <v>46011.0</v>
      </c>
      <c r="Y2" s="251">
        <v>46012.0</v>
      </c>
      <c r="Z2" s="251">
        <v>46013.0</v>
      </c>
      <c r="AA2" s="251">
        <v>46014.0</v>
      </c>
      <c r="AB2" s="251">
        <v>46015.0</v>
      </c>
      <c r="AC2" s="251">
        <v>46016.0</v>
      </c>
      <c r="AD2" s="251">
        <v>46017.0</v>
      </c>
      <c r="AE2" s="251">
        <v>46018.0</v>
      </c>
      <c r="AF2" s="251">
        <v>46019.0</v>
      </c>
      <c r="AG2" s="251">
        <v>46020.0</v>
      </c>
      <c r="AH2" s="251">
        <v>46021.0</v>
      </c>
    </row>
    <row r="3">
      <c r="A3" s="253">
        <v>1.0</v>
      </c>
      <c r="B3" s="138">
        <v>45452.0</v>
      </c>
      <c r="C3" s="261" t="s">
        <v>222</v>
      </c>
      <c r="D3" s="211"/>
      <c r="E3" s="262" t="s">
        <v>431</v>
      </c>
      <c r="F3" s="262" t="s">
        <v>431</v>
      </c>
      <c r="G3" s="262" t="s">
        <v>431</v>
      </c>
      <c r="H3" s="262" t="s">
        <v>431</v>
      </c>
      <c r="I3" s="262" t="s">
        <v>431</v>
      </c>
      <c r="J3" s="262" t="s">
        <v>431</v>
      </c>
      <c r="K3" s="262" t="s">
        <v>431</v>
      </c>
      <c r="L3" s="262" t="s">
        <v>431</v>
      </c>
      <c r="M3" s="262" t="s">
        <v>431</v>
      </c>
      <c r="N3" s="262" t="s">
        <v>431</v>
      </c>
      <c r="O3" s="262" t="s">
        <v>431</v>
      </c>
      <c r="P3" s="220"/>
      <c r="Q3" s="224"/>
      <c r="R3" s="223"/>
      <c r="S3" s="221"/>
      <c r="T3" s="221"/>
      <c r="U3" s="224"/>
      <c r="V3" s="224"/>
      <c r="W3" s="224"/>
      <c r="X3" s="223"/>
      <c r="Y3" s="223"/>
      <c r="Z3" s="244"/>
      <c r="AA3" s="244"/>
      <c r="AB3" s="224"/>
      <c r="AC3" s="224"/>
      <c r="AD3" s="244"/>
      <c r="AE3" s="223"/>
      <c r="AF3" s="223"/>
      <c r="AG3" s="222"/>
      <c r="AH3" s="222"/>
    </row>
    <row r="4">
      <c r="A4" s="253"/>
      <c r="B4" s="15"/>
      <c r="C4" s="197" t="s">
        <v>41</v>
      </c>
      <c r="D4" s="22">
        <f t="shared" ref="D4:D74" si="2">sum(E4:AH4)</f>
        <v>3.146527778</v>
      </c>
      <c r="E4" s="224">
        <v>0.38333333333333336</v>
      </c>
      <c r="F4" s="263">
        <v>0.37569444444444444</v>
      </c>
      <c r="G4" s="264" t="s">
        <v>271</v>
      </c>
      <c r="H4" s="222">
        <v>0.4486111111111111</v>
      </c>
      <c r="I4" s="222">
        <v>0.3909722222222222</v>
      </c>
      <c r="J4" s="222"/>
      <c r="K4" s="222"/>
      <c r="L4" s="224">
        <v>0.3770833333333333</v>
      </c>
      <c r="M4" s="224">
        <v>0.38333333333333336</v>
      </c>
      <c r="N4" s="222">
        <v>0.3909722222222222</v>
      </c>
      <c r="O4" s="222">
        <v>0.39652777777777776</v>
      </c>
      <c r="P4" s="220"/>
      <c r="Q4" s="223"/>
      <c r="R4" s="223"/>
      <c r="S4" s="221"/>
      <c r="T4" s="221"/>
      <c r="U4" s="223"/>
      <c r="V4" s="223"/>
      <c r="W4" s="224"/>
      <c r="X4" s="223"/>
      <c r="Y4" s="223"/>
      <c r="Z4" s="244"/>
      <c r="AA4" s="244"/>
      <c r="AB4" s="224"/>
      <c r="AC4" s="224"/>
      <c r="AD4" s="244"/>
      <c r="AE4" s="224"/>
      <c r="AF4" s="224"/>
      <c r="AG4" s="224"/>
      <c r="AH4" s="223"/>
    </row>
    <row r="5">
      <c r="A5" s="253"/>
      <c r="B5" s="254">
        <v>45848.0</v>
      </c>
      <c r="C5" s="198" t="s">
        <v>201</v>
      </c>
      <c r="D5" s="22">
        <f t="shared" si="2"/>
        <v>2.642361111</v>
      </c>
      <c r="E5" s="222">
        <v>0.3451388888888889</v>
      </c>
      <c r="F5" s="265">
        <v>0.3611111111111111</v>
      </c>
      <c r="G5" s="264" t="s">
        <v>269</v>
      </c>
      <c r="H5" s="222">
        <v>0.36736111111111114</v>
      </c>
      <c r="I5" s="223" t="s">
        <v>316</v>
      </c>
      <c r="J5" s="222"/>
      <c r="K5" s="222"/>
      <c r="L5" s="222">
        <v>0.41041666666666665</v>
      </c>
      <c r="M5" s="222">
        <v>0.38472222222222224</v>
      </c>
      <c r="N5" s="222">
        <v>0.3875</v>
      </c>
      <c r="O5" s="222">
        <v>0.3861111111111111</v>
      </c>
      <c r="P5" s="220"/>
      <c r="Q5" s="222"/>
      <c r="R5" s="223"/>
      <c r="S5" s="221"/>
      <c r="T5" s="221"/>
      <c r="U5" s="222"/>
      <c r="V5" s="223"/>
      <c r="W5" s="222"/>
      <c r="X5" s="222"/>
      <c r="Y5" s="222"/>
      <c r="Z5" s="244"/>
      <c r="AA5" s="244"/>
      <c r="AB5" s="222"/>
      <c r="AC5" s="222"/>
      <c r="AD5" s="244"/>
      <c r="AE5" s="224"/>
      <c r="AF5" s="222"/>
      <c r="AG5" s="222"/>
      <c r="AH5" s="223"/>
    </row>
    <row r="6">
      <c r="A6" s="253"/>
      <c r="B6" s="32"/>
      <c r="C6" s="198" t="s">
        <v>246</v>
      </c>
      <c r="D6" s="22">
        <f t="shared" si="2"/>
        <v>1.090277778</v>
      </c>
      <c r="E6" s="223" t="s">
        <v>316</v>
      </c>
      <c r="F6" s="264" t="s">
        <v>316</v>
      </c>
      <c r="G6" s="265">
        <v>0.3541666666666667</v>
      </c>
      <c r="H6" s="223" t="s">
        <v>316</v>
      </c>
      <c r="I6" s="223" t="s">
        <v>316</v>
      </c>
      <c r="J6" s="222"/>
      <c r="K6" s="222"/>
      <c r="L6" s="222">
        <v>0.3611111111111111</v>
      </c>
      <c r="M6" s="223" t="s">
        <v>316</v>
      </c>
      <c r="N6" s="222">
        <v>0.375</v>
      </c>
      <c r="O6" s="223" t="s">
        <v>316</v>
      </c>
      <c r="P6" s="220"/>
      <c r="Q6" s="222"/>
      <c r="R6" s="223"/>
      <c r="S6" s="221"/>
      <c r="T6" s="221"/>
      <c r="U6" s="222"/>
      <c r="V6" s="223"/>
      <c r="W6" s="222"/>
      <c r="X6" s="223"/>
      <c r="Y6" s="223"/>
      <c r="Z6" s="244"/>
      <c r="AA6" s="244"/>
      <c r="AB6" s="222"/>
      <c r="AC6" s="223"/>
      <c r="AD6" s="244"/>
      <c r="AE6" s="223"/>
      <c r="AF6" s="223"/>
      <c r="AG6" s="223"/>
      <c r="AH6" s="223"/>
    </row>
    <row r="7">
      <c r="A7" s="253"/>
      <c r="B7" s="32"/>
      <c r="C7" s="199" t="s">
        <v>147</v>
      </c>
      <c r="D7" s="22">
        <f t="shared" si="2"/>
        <v>3.403472222</v>
      </c>
      <c r="E7" s="222">
        <v>0.3597222222222222</v>
      </c>
      <c r="F7" s="265">
        <v>0.3680555555555556</v>
      </c>
      <c r="G7" s="265">
        <v>0.3854166666666667</v>
      </c>
      <c r="H7" s="222">
        <v>0.3729166666666667</v>
      </c>
      <c r="I7" s="222">
        <v>0.3951388888888889</v>
      </c>
      <c r="J7" s="222"/>
      <c r="K7" s="222"/>
      <c r="L7" s="222">
        <v>0.37222222222222223</v>
      </c>
      <c r="M7" s="222">
        <v>0.38819444444444445</v>
      </c>
      <c r="N7" s="222">
        <v>0.3854166666666667</v>
      </c>
      <c r="O7" s="222">
        <v>0.3763888888888889</v>
      </c>
      <c r="P7" s="220"/>
      <c r="Q7" s="222"/>
      <c r="R7" s="222"/>
      <c r="S7" s="221"/>
      <c r="T7" s="221"/>
      <c r="U7" s="222"/>
      <c r="V7" s="222"/>
      <c r="W7" s="222"/>
      <c r="X7" s="222"/>
      <c r="Y7" s="222"/>
      <c r="Z7" s="244"/>
      <c r="AA7" s="244"/>
      <c r="AB7" s="224"/>
      <c r="AC7" s="222"/>
      <c r="AD7" s="244"/>
      <c r="AE7" s="224"/>
      <c r="AF7" s="222"/>
      <c r="AG7" s="224"/>
      <c r="AH7" s="222"/>
    </row>
    <row r="8">
      <c r="A8" s="252"/>
      <c r="B8" s="32"/>
      <c r="C8" s="198" t="s">
        <v>177</v>
      </c>
      <c r="D8" s="22">
        <f t="shared" si="2"/>
        <v>2.100694444</v>
      </c>
      <c r="E8" s="222">
        <v>0.3347222222222222</v>
      </c>
      <c r="F8" s="265">
        <v>0.33611111111111114</v>
      </c>
      <c r="G8" s="265">
        <v>0.35625</v>
      </c>
      <c r="H8" s="223" t="s">
        <v>269</v>
      </c>
      <c r="I8" s="223" t="s">
        <v>316</v>
      </c>
      <c r="J8" s="222"/>
      <c r="K8" s="222"/>
      <c r="L8" s="223" t="s">
        <v>269</v>
      </c>
      <c r="M8" s="222">
        <v>0.3625</v>
      </c>
      <c r="N8" s="222">
        <v>0.3597222222222222</v>
      </c>
      <c r="O8" s="222">
        <v>0.35138888888888886</v>
      </c>
      <c r="P8" s="220"/>
      <c r="Q8" s="222"/>
      <c r="R8" s="223"/>
      <c r="S8" s="221"/>
      <c r="T8" s="221"/>
      <c r="U8" s="222"/>
      <c r="V8" s="222"/>
      <c r="W8" s="222"/>
      <c r="X8" s="222"/>
      <c r="Y8" s="223"/>
      <c r="Z8" s="244"/>
      <c r="AA8" s="244"/>
      <c r="AB8" s="222"/>
      <c r="AC8" s="222"/>
      <c r="AD8" s="244"/>
      <c r="AE8" s="223"/>
      <c r="AF8" s="223"/>
      <c r="AG8" s="223"/>
      <c r="AH8" s="223"/>
    </row>
    <row r="9">
      <c r="A9" s="252"/>
      <c r="B9" s="32"/>
      <c r="C9" s="199" t="s">
        <v>216</v>
      </c>
      <c r="D9" s="22">
        <f t="shared" si="2"/>
        <v>0</v>
      </c>
      <c r="E9" s="223" t="s">
        <v>316</v>
      </c>
      <c r="F9" s="223" t="s">
        <v>316</v>
      </c>
      <c r="G9" s="223" t="s">
        <v>316</v>
      </c>
      <c r="H9" s="223" t="s">
        <v>316</v>
      </c>
      <c r="I9" s="223" t="s">
        <v>316</v>
      </c>
      <c r="J9" s="222"/>
      <c r="K9" s="222"/>
      <c r="L9" s="223" t="s">
        <v>272</v>
      </c>
      <c r="M9" s="223" t="s">
        <v>272</v>
      </c>
      <c r="N9" s="223" t="s">
        <v>272</v>
      </c>
      <c r="O9" s="223" t="s">
        <v>272</v>
      </c>
      <c r="P9" s="223"/>
      <c r="Q9" s="223"/>
      <c r="R9" s="223"/>
      <c r="S9" s="221"/>
      <c r="T9" s="221"/>
      <c r="U9" s="223"/>
      <c r="V9" s="223"/>
      <c r="W9" s="223"/>
      <c r="X9" s="223"/>
      <c r="Y9" s="223"/>
      <c r="Z9" s="244"/>
      <c r="AA9" s="244"/>
      <c r="AB9" s="223"/>
      <c r="AC9" s="223"/>
      <c r="AD9" s="244"/>
      <c r="AE9" s="223"/>
      <c r="AF9" s="223"/>
      <c r="AG9" s="223"/>
      <c r="AH9" s="223"/>
    </row>
    <row r="10">
      <c r="A10" s="253"/>
      <c r="B10" s="32"/>
      <c r="C10" s="198" t="s">
        <v>386</v>
      </c>
      <c r="D10" s="22">
        <f t="shared" si="2"/>
        <v>2.65625</v>
      </c>
      <c r="E10" s="223" t="s">
        <v>271</v>
      </c>
      <c r="F10" s="265">
        <v>0.36666666666666664</v>
      </c>
      <c r="G10" s="265">
        <v>0.37222222222222223</v>
      </c>
      <c r="H10" s="222">
        <v>0.36875</v>
      </c>
      <c r="I10" s="223" t="s">
        <v>316</v>
      </c>
      <c r="J10" s="222"/>
      <c r="K10" s="222"/>
      <c r="L10" s="222">
        <v>0.37777777777777777</v>
      </c>
      <c r="M10" s="222">
        <v>0.35208333333333336</v>
      </c>
      <c r="N10" s="222">
        <v>0.4666666666666667</v>
      </c>
      <c r="O10" s="222">
        <v>0.35208333333333336</v>
      </c>
      <c r="P10" s="220"/>
      <c r="Q10" s="222"/>
      <c r="R10" s="223"/>
      <c r="S10" s="221"/>
      <c r="T10" s="221"/>
      <c r="U10" s="222"/>
      <c r="V10" s="222"/>
      <c r="W10" s="222"/>
      <c r="X10" s="223"/>
      <c r="Y10" s="223"/>
      <c r="Z10" s="244"/>
      <c r="AA10" s="244"/>
      <c r="AB10" s="222"/>
      <c r="AC10" s="222"/>
      <c r="AD10" s="244"/>
      <c r="AE10" s="222"/>
      <c r="AF10" s="222"/>
      <c r="AG10" s="222"/>
      <c r="AH10" s="222"/>
    </row>
    <row r="11">
      <c r="A11" s="252"/>
      <c r="B11" s="32"/>
      <c r="C11" s="198" t="s">
        <v>387</v>
      </c>
      <c r="D11" s="22">
        <f t="shared" si="2"/>
        <v>2.4</v>
      </c>
      <c r="E11" s="222">
        <v>0.3611111111111111</v>
      </c>
      <c r="F11" s="265">
        <v>0.3402777777777778</v>
      </c>
      <c r="G11" s="265">
        <v>0.36736111111111114</v>
      </c>
      <c r="H11" s="222">
        <v>0.34375</v>
      </c>
      <c r="I11" s="223" t="s">
        <v>316</v>
      </c>
      <c r="J11" s="222"/>
      <c r="K11" s="222"/>
      <c r="L11" s="223" t="s">
        <v>316</v>
      </c>
      <c r="M11" s="222">
        <v>0.3236111111111111</v>
      </c>
      <c r="N11" s="222">
        <v>0.33541666666666664</v>
      </c>
      <c r="O11" s="222">
        <v>0.3284722222222222</v>
      </c>
      <c r="P11" s="220"/>
      <c r="Q11" s="222"/>
      <c r="R11" s="223"/>
      <c r="S11" s="221"/>
      <c r="T11" s="221"/>
      <c r="U11" s="222"/>
      <c r="V11" s="224"/>
      <c r="W11" s="222"/>
      <c r="X11" s="222"/>
      <c r="Y11" s="223"/>
      <c r="Z11" s="244"/>
      <c r="AA11" s="244"/>
      <c r="AB11" s="222"/>
      <c r="AC11" s="222"/>
      <c r="AD11" s="244"/>
      <c r="AE11" s="222"/>
      <c r="AF11" s="224"/>
      <c r="AG11" s="222"/>
      <c r="AH11" s="222"/>
    </row>
    <row r="12">
      <c r="A12" s="252"/>
      <c r="B12" s="32"/>
      <c r="C12" s="198" t="s">
        <v>389</v>
      </c>
      <c r="D12" s="22">
        <f t="shared" si="2"/>
        <v>1.690972222</v>
      </c>
      <c r="E12" s="222">
        <v>0.4027777777777778</v>
      </c>
      <c r="F12" s="265">
        <v>0.4395833333333333</v>
      </c>
      <c r="G12" s="265">
        <v>0.47638888888888886</v>
      </c>
      <c r="H12" s="222">
        <v>0.37222222222222223</v>
      </c>
      <c r="I12" s="223" t="s">
        <v>269</v>
      </c>
      <c r="J12" s="222"/>
      <c r="K12" s="222"/>
      <c r="L12" s="223" t="s">
        <v>269</v>
      </c>
      <c r="M12" s="223" t="s">
        <v>269</v>
      </c>
      <c r="N12" s="223" t="s">
        <v>271</v>
      </c>
      <c r="O12" s="223" t="s">
        <v>271</v>
      </c>
      <c r="P12" s="220"/>
      <c r="Q12" s="222"/>
      <c r="R12" s="223"/>
      <c r="S12" s="221"/>
      <c r="T12" s="221"/>
      <c r="U12" s="222"/>
      <c r="V12" s="222"/>
      <c r="W12" s="222"/>
      <c r="X12" s="222"/>
      <c r="Y12" s="223"/>
      <c r="Z12" s="244"/>
      <c r="AA12" s="244"/>
      <c r="AB12" s="222"/>
      <c r="AC12" s="222"/>
      <c r="AD12" s="244"/>
      <c r="AE12" s="222"/>
      <c r="AF12" s="222"/>
      <c r="AG12" s="222"/>
      <c r="AH12" s="222"/>
    </row>
    <row r="13">
      <c r="A13" s="253"/>
      <c r="B13" s="32"/>
      <c r="C13" s="198" t="s">
        <v>391</v>
      </c>
      <c r="D13" s="22">
        <f t="shared" si="2"/>
        <v>3.20625</v>
      </c>
      <c r="E13" s="222">
        <v>0.3263888888888889</v>
      </c>
      <c r="F13" s="265">
        <v>0.18472222222222223</v>
      </c>
      <c r="G13" s="265">
        <v>0.425</v>
      </c>
      <c r="H13" s="222">
        <v>0.4013888888888889</v>
      </c>
      <c r="I13" s="222">
        <v>0.3333333333333333</v>
      </c>
      <c r="J13" s="222"/>
      <c r="K13" s="222"/>
      <c r="L13" s="222">
        <v>0.3902777777777778</v>
      </c>
      <c r="M13" s="222">
        <v>0.34791666666666665</v>
      </c>
      <c r="N13" s="222">
        <v>0.4076388888888889</v>
      </c>
      <c r="O13" s="222">
        <v>0.38958333333333334</v>
      </c>
      <c r="P13" s="220"/>
      <c r="Q13" s="222"/>
      <c r="R13" s="222"/>
      <c r="S13" s="221"/>
      <c r="T13" s="221"/>
      <c r="U13" s="222"/>
      <c r="V13" s="222"/>
      <c r="W13" s="222"/>
      <c r="X13" s="222"/>
      <c r="Y13" s="222"/>
      <c r="Z13" s="244"/>
      <c r="AA13" s="244"/>
      <c r="AB13" s="222"/>
      <c r="AC13" s="222"/>
      <c r="AD13" s="244"/>
      <c r="AE13" s="222"/>
      <c r="AF13" s="222"/>
      <c r="AG13" s="222"/>
      <c r="AH13" s="222"/>
    </row>
    <row r="14">
      <c r="A14" s="252"/>
      <c r="B14" s="32"/>
      <c r="C14" s="198" t="s">
        <v>392</v>
      </c>
      <c r="D14" s="22">
        <f t="shared" si="2"/>
        <v>2.759027778</v>
      </c>
      <c r="E14" s="222">
        <v>0.3347222222222222</v>
      </c>
      <c r="F14" s="265"/>
      <c r="G14" s="265">
        <v>0.32916666666666666</v>
      </c>
      <c r="H14" s="222">
        <v>0.4736111111111111</v>
      </c>
      <c r="I14" s="224">
        <v>0.16666666666666666</v>
      </c>
      <c r="J14" s="222"/>
      <c r="K14" s="222"/>
      <c r="L14" s="222">
        <v>0.4486111111111111</v>
      </c>
      <c r="M14" s="222">
        <v>0.3263888888888889</v>
      </c>
      <c r="N14" s="222">
        <v>0.31527777777777777</v>
      </c>
      <c r="O14" s="224">
        <v>0.3645833333333333</v>
      </c>
      <c r="P14" s="220"/>
      <c r="Q14" s="222"/>
      <c r="R14" s="222"/>
      <c r="S14" s="221"/>
      <c r="T14" s="221"/>
      <c r="U14" s="222"/>
      <c r="V14" s="222"/>
      <c r="W14" s="224"/>
      <c r="X14" s="223"/>
      <c r="Y14" s="222"/>
      <c r="Z14" s="244"/>
      <c r="AA14" s="244"/>
      <c r="AB14" s="222"/>
      <c r="AC14" s="222"/>
      <c r="AD14" s="244"/>
      <c r="AE14" s="222"/>
      <c r="AF14" s="222"/>
      <c r="AG14" s="222"/>
      <c r="AH14" s="222"/>
    </row>
    <row r="15">
      <c r="A15" s="252"/>
      <c r="B15" s="32"/>
      <c r="C15" s="200" t="s">
        <v>403</v>
      </c>
      <c r="D15" s="22">
        <f t="shared" si="2"/>
        <v>2.588888889</v>
      </c>
      <c r="E15" s="222">
        <v>0.38680555555555557</v>
      </c>
      <c r="F15" s="265">
        <v>0.39375</v>
      </c>
      <c r="G15" s="263">
        <v>0.16666666666666666</v>
      </c>
      <c r="H15" s="222">
        <v>0.37569444444444444</v>
      </c>
      <c r="I15" s="223" t="s">
        <v>316</v>
      </c>
      <c r="J15" s="222"/>
      <c r="K15" s="222"/>
      <c r="L15" s="222">
        <v>0.41875</v>
      </c>
      <c r="M15" s="223" t="s">
        <v>269</v>
      </c>
      <c r="N15" s="222">
        <v>0.4888888888888889</v>
      </c>
      <c r="O15" s="222">
        <v>0.35833333333333334</v>
      </c>
      <c r="P15" s="220"/>
      <c r="Q15" s="222"/>
      <c r="R15" s="222"/>
      <c r="S15" s="221"/>
      <c r="T15" s="221"/>
      <c r="U15" s="222"/>
      <c r="V15" s="222"/>
      <c r="W15" s="222"/>
      <c r="X15" s="224"/>
      <c r="Y15" s="222"/>
      <c r="Z15" s="244"/>
      <c r="AA15" s="244"/>
      <c r="AB15" s="222"/>
      <c r="AC15" s="222"/>
      <c r="AD15" s="244"/>
      <c r="AE15" s="222"/>
      <c r="AF15" s="222"/>
      <c r="AG15" s="224"/>
      <c r="AH15" s="222"/>
    </row>
    <row r="16">
      <c r="A16" s="253"/>
      <c r="B16" s="32"/>
      <c r="C16" s="200" t="s">
        <v>404</v>
      </c>
      <c r="D16" s="22">
        <f t="shared" si="2"/>
        <v>3.001388889</v>
      </c>
      <c r="E16" s="224">
        <v>0.3680555555555556</v>
      </c>
      <c r="F16" s="263">
        <v>0.36666666666666664</v>
      </c>
      <c r="G16" s="263">
        <v>0.3506944444444444</v>
      </c>
      <c r="H16" s="222">
        <v>0.39305555555555555</v>
      </c>
      <c r="I16" s="223" t="s">
        <v>271</v>
      </c>
      <c r="J16" s="222"/>
      <c r="K16" s="222"/>
      <c r="L16" s="222">
        <v>0.37916666666666665</v>
      </c>
      <c r="M16" s="222">
        <v>0.38680555555555557</v>
      </c>
      <c r="N16" s="222">
        <v>0.38125</v>
      </c>
      <c r="O16" s="222">
        <v>0.37569444444444444</v>
      </c>
      <c r="P16" s="220"/>
      <c r="Q16" s="222"/>
      <c r="R16" s="222"/>
      <c r="S16" s="221"/>
      <c r="T16" s="221"/>
      <c r="U16" s="222"/>
      <c r="V16" s="222"/>
      <c r="W16" s="222"/>
      <c r="X16" s="222"/>
      <c r="Y16" s="222"/>
      <c r="Z16" s="244"/>
      <c r="AA16" s="244"/>
      <c r="AB16" s="224"/>
      <c r="AC16" s="224"/>
      <c r="AD16" s="244"/>
      <c r="AE16" s="222"/>
      <c r="AF16" s="224"/>
      <c r="AG16" s="224"/>
      <c r="AH16" s="223"/>
    </row>
    <row r="17">
      <c r="A17" s="252"/>
      <c r="B17" s="32"/>
      <c r="C17" s="266" t="s">
        <v>405</v>
      </c>
      <c r="D17" s="22">
        <f t="shared" si="2"/>
        <v>1.052777778</v>
      </c>
      <c r="E17" s="222">
        <v>0.35625</v>
      </c>
      <c r="F17" s="265">
        <v>0.3458333333333333</v>
      </c>
      <c r="G17" s="265">
        <v>0.3506944444444444</v>
      </c>
      <c r="H17" s="223" t="s">
        <v>431</v>
      </c>
      <c r="I17" s="223" t="s">
        <v>431</v>
      </c>
      <c r="J17" s="223" t="s">
        <v>431</v>
      </c>
      <c r="K17" s="223" t="s">
        <v>431</v>
      </c>
      <c r="L17" s="223" t="s">
        <v>431</v>
      </c>
      <c r="M17" s="223" t="s">
        <v>431</v>
      </c>
      <c r="N17" s="223" t="s">
        <v>431</v>
      </c>
      <c r="O17" s="223" t="s">
        <v>431</v>
      </c>
      <c r="P17" s="220"/>
      <c r="Q17" s="222"/>
      <c r="R17" s="222"/>
      <c r="S17" s="221"/>
      <c r="T17" s="221"/>
      <c r="U17" s="222"/>
      <c r="V17" s="222"/>
      <c r="W17" s="223"/>
      <c r="X17" s="222"/>
      <c r="Y17" s="222"/>
      <c r="Z17" s="244"/>
      <c r="AA17" s="244"/>
      <c r="AB17" s="222"/>
      <c r="AC17" s="222"/>
      <c r="AD17" s="244"/>
      <c r="AE17" s="222"/>
      <c r="AF17" s="224"/>
      <c r="AG17" s="222"/>
      <c r="AH17" s="222"/>
    </row>
    <row r="18">
      <c r="A18" s="252"/>
      <c r="B18" s="32"/>
      <c r="C18" s="200" t="s">
        <v>406</v>
      </c>
      <c r="D18" s="22">
        <f t="shared" si="2"/>
        <v>2.45</v>
      </c>
      <c r="E18" s="222">
        <v>0.3763888888888889</v>
      </c>
      <c r="F18" s="265">
        <v>0.45555555555555555</v>
      </c>
      <c r="G18" s="265">
        <v>0.35833333333333334</v>
      </c>
      <c r="H18" s="222">
        <v>0.3645833333333333</v>
      </c>
      <c r="I18" s="223" t="s">
        <v>316</v>
      </c>
      <c r="J18" s="222"/>
      <c r="K18" s="222"/>
      <c r="L18" s="223" t="s">
        <v>316</v>
      </c>
      <c r="M18" s="224">
        <v>0.16666666666666666</v>
      </c>
      <c r="N18" s="222">
        <v>0.31805555555555554</v>
      </c>
      <c r="O18" s="222">
        <v>0.41041666666666665</v>
      </c>
      <c r="P18" s="220"/>
      <c r="Q18" s="222"/>
      <c r="R18" s="223"/>
      <c r="S18" s="221"/>
      <c r="T18" s="221"/>
      <c r="U18" s="222"/>
      <c r="V18" s="222"/>
      <c r="W18" s="222"/>
      <c r="X18" s="223"/>
      <c r="Y18" s="223"/>
      <c r="Z18" s="244"/>
      <c r="AA18" s="244"/>
      <c r="AB18" s="222"/>
      <c r="AC18" s="222"/>
      <c r="AD18" s="244"/>
      <c r="AE18" s="222"/>
      <c r="AF18" s="222"/>
      <c r="AG18" s="224"/>
      <c r="AH18" s="223"/>
    </row>
    <row r="19">
      <c r="A19" s="253"/>
      <c r="B19" s="32"/>
      <c r="C19" s="200" t="s">
        <v>407</v>
      </c>
      <c r="D19" s="22">
        <f t="shared" si="2"/>
        <v>2.986111111</v>
      </c>
      <c r="E19" s="222">
        <v>0.31875</v>
      </c>
      <c r="F19" s="263">
        <v>0.16666666666666666</v>
      </c>
      <c r="G19" s="265">
        <v>0.38819444444444445</v>
      </c>
      <c r="H19" s="222">
        <v>0.38263888888888886</v>
      </c>
      <c r="I19" s="222">
        <v>0.2875</v>
      </c>
      <c r="J19" s="222"/>
      <c r="K19" s="222"/>
      <c r="L19" s="222">
        <v>0.375</v>
      </c>
      <c r="M19" s="222">
        <v>0.34305555555555556</v>
      </c>
      <c r="N19" s="222">
        <v>0.38472222222222224</v>
      </c>
      <c r="O19" s="222">
        <v>0.33958333333333335</v>
      </c>
      <c r="P19" s="220"/>
      <c r="Q19" s="222"/>
      <c r="R19" s="222"/>
      <c r="S19" s="221"/>
      <c r="T19" s="221"/>
      <c r="U19" s="222"/>
      <c r="V19" s="222"/>
      <c r="W19" s="224"/>
      <c r="X19" s="222"/>
      <c r="Y19" s="222"/>
      <c r="Z19" s="244"/>
      <c r="AA19" s="244"/>
      <c r="AB19" s="222"/>
      <c r="AC19" s="222"/>
      <c r="AD19" s="244"/>
      <c r="AE19" s="222"/>
      <c r="AF19" s="222"/>
      <c r="AG19" s="222"/>
      <c r="AH19" s="222"/>
    </row>
    <row r="20">
      <c r="A20" s="252"/>
      <c r="B20" s="32"/>
      <c r="C20" s="200" t="s">
        <v>408</v>
      </c>
      <c r="D20" s="22">
        <f t="shared" si="2"/>
        <v>2.869444444</v>
      </c>
      <c r="E20" s="222">
        <v>0.3590277777777778</v>
      </c>
      <c r="F20" s="265">
        <v>0.33611111111111114</v>
      </c>
      <c r="G20" s="265">
        <v>0.38125</v>
      </c>
      <c r="H20" s="222">
        <v>0.34652777777777777</v>
      </c>
      <c r="I20" s="223" t="s">
        <v>439</v>
      </c>
      <c r="J20" s="222"/>
      <c r="K20" s="222"/>
      <c r="L20" s="222">
        <v>0.3701388888888889</v>
      </c>
      <c r="M20" s="222">
        <v>0.33055555555555555</v>
      </c>
      <c r="N20" s="222">
        <v>0.3659722222222222</v>
      </c>
      <c r="O20" s="222">
        <v>0.3798611111111111</v>
      </c>
      <c r="P20" s="220"/>
      <c r="Q20" s="222"/>
      <c r="R20" s="222"/>
      <c r="S20" s="221"/>
      <c r="T20" s="221"/>
      <c r="U20" s="222"/>
      <c r="V20" s="222"/>
      <c r="W20" s="222"/>
      <c r="X20" s="222"/>
      <c r="Y20" s="222"/>
      <c r="Z20" s="244"/>
      <c r="AA20" s="244"/>
      <c r="AB20" s="222"/>
      <c r="AC20" s="222"/>
      <c r="AD20" s="244"/>
      <c r="AE20" s="222"/>
      <c r="AF20" s="222"/>
      <c r="AG20" s="222"/>
      <c r="AH20" s="223"/>
    </row>
    <row r="21">
      <c r="A21" s="252"/>
      <c r="B21" s="32"/>
      <c r="C21" s="200" t="s">
        <v>423</v>
      </c>
      <c r="D21" s="22">
        <f t="shared" si="2"/>
        <v>3.125</v>
      </c>
      <c r="E21" s="222">
        <v>0.37083333333333335</v>
      </c>
      <c r="F21" s="265">
        <v>0.3854166666666667</v>
      </c>
      <c r="G21" s="265">
        <v>0.38472222222222224</v>
      </c>
      <c r="H21" s="222">
        <v>0.3909722222222222</v>
      </c>
      <c r="I21" s="222">
        <v>0.3875</v>
      </c>
      <c r="J21" s="222"/>
      <c r="K21" s="222"/>
      <c r="L21" s="224">
        <v>0.16666666666666666</v>
      </c>
      <c r="M21" s="222">
        <v>0.3388888888888889</v>
      </c>
      <c r="N21" s="222">
        <v>0.3527777777777778</v>
      </c>
      <c r="O21" s="222">
        <v>0.3472222222222222</v>
      </c>
      <c r="P21" s="220"/>
      <c r="Q21" s="222"/>
      <c r="R21" s="222"/>
      <c r="S21" s="221"/>
      <c r="T21" s="221"/>
      <c r="U21" s="222"/>
      <c r="V21" s="222"/>
      <c r="W21" s="224"/>
      <c r="X21" s="222"/>
      <c r="Y21" s="222"/>
      <c r="Z21" s="244"/>
      <c r="AA21" s="244"/>
      <c r="AB21" s="224"/>
      <c r="AC21" s="222"/>
      <c r="AD21" s="244"/>
      <c r="AE21" s="222"/>
      <c r="AF21" s="222"/>
      <c r="AG21" s="222"/>
      <c r="AH21" s="222"/>
    </row>
    <row r="22">
      <c r="A22" s="253"/>
      <c r="B22" s="32"/>
      <c r="C22" s="200" t="s">
        <v>424</v>
      </c>
      <c r="D22" s="22">
        <f t="shared" si="2"/>
        <v>2.3625</v>
      </c>
      <c r="E22" s="222">
        <v>0.3715277777777778</v>
      </c>
      <c r="F22" s="265">
        <v>0.3388888888888889</v>
      </c>
      <c r="G22" s="265">
        <v>0.37222222222222223</v>
      </c>
      <c r="H22" s="224">
        <v>0.16666666666666666</v>
      </c>
      <c r="I22" s="223" t="s">
        <v>316</v>
      </c>
      <c r="J22" s="222"/>
      <c r="K22" s="222"/>
      <c r="L22" s="222">
        <v>0.1701388888888889</v>
      </c>
      <c r="M22" s="222">
        <v>0.30486111111111114</v>
      </c>
      <c r="N22" s="222">
        <v>0.32222222222222224</v>
      </c>
      <c r="O22" s="222">
        <v>0.3159722222222222</v>
      </c>
      <c r="P22" s="220"/>
      <c r="Q22" s="222"/>
      <c r="R22" s="223"/>
      <c r="S22" s="221"/>
      <c r="T22" s="221"/>
      <c r="U22" s="222"/>
      <c r="V22" s="222"/>
      <c r="W22" s="222"/>
      <c r="X22" s="222"/>
      <c r="Y22" s="223"/>
      <c r="Z22" s="244"/>
      <c r="AA22" s="244"/>
      <c r="AB22" s="222"/>
      <c r="AC22" s="222"/>
      <c r="AD22" s="244"/>
      <c r="AE22" s="223"/>
      <c r="AF22" s="222"/>
      <c r="AG22" s="222"/>
      <c r="AH22" s="222"/>
    </row>
    <row r="23">
      <c r="A23" s="252"/>
      <c r="B23" s="32"/>
      <c r="C23" s="200" t="s">
        <v>426</v>
      </c>
      <c r="D23" s="22">
        <f t="shared" si="2"/>
        <v>3.419444444</v>
      </c>
      <c r="E23" s="222">
        <v>0.4013888888888889</v>
      </c>
      <c r="F23" s="265">
        <v>0.38819444444444445</v>
      </c>
      <c r="G23" s="265">
        <v>0.39305555555555555</v>
      </c>
      <c r="H23" s="222">
        <v>0.38263888888888886</v>
      </c>
      <c r="I23" s="222">
        <v>0.37569444444444444</v>
      </c>
      <c r="J23" s="222"/>
      <c r="K23" s="222"/>
      <c r="L23" s="222">
        <v>0.37916666666666665</v>
      </c>
      <c r="M23" s="222">
        <v>0.3701388888888889</v>
      </c>
      <c r="N23" s="222">
        <v>0.3715277777777778</v>
      </c>
      <c r="O23" s="222">
        <v>0.3576388888888889</v>
      </c>
      <c r="P23" s="220"/>
      <c r="Q23" s="222"/>
      <c r="R23" s="222"/>
      <c r="S23" s="221"/>
      <c r="T23" s="221"/>
      <c r="U23" s="222"/>
      <c r="V23" s="222"/>
      <c r="W23" s="222"/>
      <c r="X23" s="222"/>
      <c r="Y23" s="222"/>
      <c r="Z23" s="244"/>
      <c r="AA23" s="244"/>
      <c r="AB23" s="222"/>
      <c r="AC23" s="222"/>
      <c r="AD23" s="244"/>
      <c r="AE23" s="222"/>
      <c r="AF23" s="222"/>
      <c r="AG23" s="222"/>
      <c r="AH23" s="223"/>
    </row>
    <row r="24">
      <c r="A24" s="252"/>
      <c r="B24" s="32"/>
      <c r="C24" s="200" t="s">
        <v>427</v>
      </c>
      <c r="D24" s="22">
        <f t="shared" si="2"/>
        <v>2.96875</v>
      </c>
      <c r="E24" s="222">
        <v>0.37430555555555556</v>
      </c>
      <c r="F24" s="265">
        <v>0.37430555555555556</v>
      </c>
      <c r="G24" s="264" t="s">
        <v>269</v>
      </c>
      <c r="H24" s="222">
        <v>0.37083333333333335</v>
      </c>
      <c r="I24" s="222">
        <v>0.3638888888888889</v>
      </c>
      <c r="J24" s="222"/>
      <c r="K24" s="222"/>
      <c r="L24" s="222">
        <v>0.36944444444444446</v>
      </c>
      <c r="M24" s="222">
        <v>0.38055555555555554</v>
      </c>
      <c r="N24" s="222">
        <v>0.3645833333333333</v>
      </c>
      <c r="O24" s="222">
        <v>0.37083333333333335</v>
      </c>
      <c r="P24" s="220"/>
      <c r="Q24" s="222"/>
      <c r="R24" s="222"/>
      <c r="S24" s="221"/>
      <c r="T24" s="221"/>
      <c r="U24" s="222"/>
      <c r="V24" s="222"/>
      <c r="W24" s="222"/>
      <c r="X24" s="222"/>
      <c r="Y24" s="222"/>
      <c r="Z24" s="244"/>
      <c r="AA24" s="244"/>
      <c r="AB24" s="222"/>
      <c r="AC24" s="222"/>
      <c r="AD24" s="244"/>
      <c r="AE24" s="222"/>
      <c r="AF24" s="222"/>
      <c r="AG24" s="222"/>
      <c r="AH24" s="223"/>
    </row>
    <row r="25">
      <c r="A25" s="253"/>
      <c r="B25" s="32"/>
      <c r="C25" s="200" t="s">
        <v>409</v>
      </c>
      <c r="D25" s="22">
        <f t="shared" si="2"/>
        <v>2.832638889</v>
      </c>
      <c r="E25" s="222">
        <v>0.3701388888888889</v>
      </c>
      <c r="F25" s="265">
        <v>0.3902777777777778</v>
      </c>
      <c r="G25" s="265">
        <v>0.3659722222222222</v>
      </c>
      <c r="H25" s="222">
        <v>0.23819444444444443</v>
      </c>
      <c r="I25" s="223" t="s">
        <v>316</v>
      </c>
      <c r="J25" s="222"/>
      <c r="K25" s="222"/>
      <c r="L25" s="222">
        <v>0.3645833333333333</v>
      </c>
      <c r="M25" s="222">
        <v>0.36944444444444446</v>
      </c>
      <c r="N25" s="222">
        <v>0.3861111111111111</v>
      </c>
      <c r="O25" s="222">
        <v>0.34791666666666665</v>
      </c>
      <c r="P25" s="220"/>
      <c r="Q25" s="222"/>
      <c r="R25" s="222"/>
      <c r="S25" s="221"/>
      <c r="T25" s="221"/>
      <c r="U25" s="222"/>
      <c r="V25" s="222"/>
      <c r="W25" s="222"/>
      <c r="X25" s="222"/>
      <c r="Y25" s="222"/>
      <c r="Z25" s="244"/>
      <c r="AA25" s="244"/>
      <c r="AB25" s="222"/>
      <c r="AC25" s="222"/>
      <c r="AD25" s="244"/>
      <c r="AE25" s="224"/>
      <c r="AF25" s="223"/>
      <c r="AG25" s="223"/>
      <c r="AH25" s="224"/>
    </row>
    <row r="26">
      <c r="A26" s="252"/>
      <c r="B26" s="32"/>
      <c r="C26" s="200" t="s">
        <v>434</v>
      </c>
      <c r="D26" s="22">
        <f t="shared" si="2"/>
        <v>3.573611111</v>
      </c>
      <c r="E26" s="222">
        <v>0.4048611111111111</v>
      </c>
      <c r="F26" s="265">
        <v>0.4340277777777778</v>
      </c>
      <c r="G26" s="265">
        <v>0.42986111111111114</v>
      </c>
      <c r="H26" s="222">
        <v>0.4895833333333333</v>
      </c>
      <c r="I26" s="224">
        <v>0.16666666666666666</v>
      </c>
      <c r="J26" s="222"/>
      <c r="K26" s="222"/>
      <c r="L26" s="222">
        <v>0.40555555555555556</v>
      </c>
      <c r="M26" s="222">
        <v>0.39861111111111114</v>
      </c>
      <c r="N26" s="222">
        <v>0.4125</v>
      </c>
      <c r="O26" s="222">
        <v>0.43194444444444446</v>
      </c>
      <c r="P26" s="220"/>
      <c r="Q26" s="223"/>
      <c r="R26" s="223"/>
      <c r="S26" s="221"/>
      <c r="T26" s="221"/>
      <c r="U26" s="222"/>
      <c r="V26" s="222"/>
      <c r="W26" s="222"/>
      <c r="X26" s="222"/>
      <c r="Y26" s="222"/>
      <c r="Z26" s="244"/>
      <c r="AA26" s="244"/>
      <c r="AB26" s="222"/>
      <c r="AC26" s="222"/>
      <c r="AD26" s="244"/>
      <c r="AE26" s="224"/>
      <c r="AF26" s="223"/>
      <c r="AG26" s="223"/>
      <c r="AH26" s="224"/>
    </row>
    <row r="27">
      <c r="A27" s="252"/>
      <c r="B27" s="153" t="s">
        <v>274</v>
      </c>
      <c r="C27" s="201" t="s">
        <v>234</v>
      </c>
      <c r="D27" s="22">
        <f t="shared" si="2"/>
        <v>2.397222222</v>
      </c>
      <c r="E27" s="223" t="s">
        <v>316</v>
      </c>
      <c r="F27" s="263">
        <v>0.3680555555555556</v>
      </c>
      <c r="G27" s="263">
        <v>0.16666666666666666</v>
      </c>
      <c r="H27" s="224">
        <v>0.36666666666666664</v>
      </c>
      <c r="I27" s="224">
        <v>0.3763888888888889</v>
      </c>
      <c r="J27" s="222"/>
      <c r="K27" s="222"/>
      <c r="L27" s="224">
        <v>0.37083333333333335</v>
      </c>
      <c r="M27" s="224">
        <v>0.3729166666666667</v>
      </c>
      <c r="N27" s="223" t="s">
        <v>316</v>
      </c>
      <c r="O27" s="224">
        <v>0.37569444444444444</v>
      </c>
      <c r="P27" s="220"/>
      <c r="Q27" s="224"/>
      <c r="R27" s="223"/>
      <c r="S27" s="221"/>
      <c r="T27" s="221"/>
      <c r="U27" s="223"/>
      <c r="V27" s="225"/>
      <c r="W27" s="224"/>
      <c r="X27" s="223"/>
      <c r="Y27" s="224"/>
      <c r="Z27" s="244"/>
      <c r="AA27" s="244"/>
      <c r="AB27" s="224"/>
      <c r="AC27" s="224"/>
      <c r="AD27" s="244"/>
      <c r="AE27" s="222"/>
      <c r="AF27" s="223"/>
      <c r="AG27" s="223"/>
      <c r="AH27" s="222"/>
    </row>
    <row r="28">
      <c r="A28" s="253"/>
      <c r="B28" s="32"/>
      <c r="C28" s="201" t="s">
        <v>393</v>
      </c>
      <c r="D28" s="22">
        <f t="shared" si="2"/>
        <v>3.094444444</v>
      </c>
      <c r="E28" s="222">
        <v>0.37430555555555556</v>
      </c>
      <c r="F28" s="265">
        <v>0.42777777777777776</v>
      </c>
      <c r="G28" s="265">
        <v>0.35</v>
      </c>
      <c r="H28" s="222">
        <v>0.40208333333333335</v>
      </c>
      <c r="I28" s="223" t="s">
        <v>316</v>
      </c>
      <c r="J28" s="222"/>
      <c r="K28" s="222"/>
      <c r="L28" s="222">
        <v>0.42986111111111114</v>
      </c>
      <c r="M28" s="222">
        <v>0.3680555555555556</v>
      </c>
      <c r="N28" s="222">
        <v>0.36944444444444446</v>
      </c>
      <c r="O28" s="222">
        <v>0.3729166666666667</v>
      </c>
      <c r="P28" s="220"/>
      <c r="Q28" s="223"/>
      <c r="R28" s="222"/>
      <c r="S28" s="221"/>
      <c r="T28" s="221"/>
      <c r="U28" s="222"/>
      <c r="V28" s="222"/>
      <c r="W28" s="222"/>
      <c r="X28" s="222"/>
      <c r="Y28" s="222"/>
      <c r="Z28" s="244"/>
      <c r="AA28" s="244"/>
      <c r="AB28" s="223"/>
      <c r="AC28" s="222"/>
      <c r="AD28" s="244"/>
      <c r="AE28" s="222"/>
      <c r="AF28" s="222"/>
      <c r="AG28" s="223"/>
      <c r="AH28" s="222"/>
    </row>
    <row r="29">
      <c r="A29" s="252"/>
      <c r="B29" s="32"/>
      <c r="C29" s="201" t="s">
        <v>213</v>
      </c>
      <c r="D29" s="22">
        <f t="shared" si="2"/>
        <v>1.079861111</v>
      </c>
      <c r="E29" s="223" t="s">
        <v>316</v>
      </c>
      <c r="F29" s="264" t="s">
        <v>316</v>
      </c>
      <c r="G29" s="265">
        <v>0.35694444444444445</v>
      </c>
      <c r="H29" s="223" t="s">
        <v>316</v>
      </c>
      <c r="I29" s="223" t="s">
        <v>316</v>
      </c>
      <c r="J29" s="222"/>
      <c r="K29" s="222"/>
      <c r="L29" s="223" t="s">
        <v>316</v>
      </c>
      <c r="M29" s="223" t="s">
        <v>316</v>
      </c>
      <c r="N29" s="222">
        <v>0.40347222222222223</v>
      </c>
      <c r="O29" s="222">
        <v>0.3194444444444444</v>
      </c>
      <c r="P29" s="220"/>
      <c r="Q29" s="223"/>
      <c r="R29" s="223"/>
      <c r="S29" s="221"/>
      <c r="T29" s="221"/>
      <c r="U29" s="223"/>
      <c r="V29" s="223"/>
      <c r="W29" s="224"/>
      <c r="X29" s="222"/>
      <c r="Y29" s="223"/>
      <c r="Z29" s="244"/>
      <c r="AA29" s="244"/>
      <c r="AB29" s="223"/>
      <c r="AC29" s="223"/>
      <c r="AD29" s="244"/>
      <c r="AE29" s="223"/>
      <c r="AF29" s="223"/>
      <c r="AG29" s="222"/>
      <c r="AH29" s="222"/>
    </row>
    <row r="30">
      <c r="A30" s="252"/>
      <c r="B30" s="32"/>
      <c r="C30" s="201" t="s">
        <v>54</v>
      </c>
      <c r="D30" s="22">
        <f t="shared" si="2"/>
        <v>1.682638889</v>
      </c>
      <c r="E30" s="222">
        <v>0.34930555555555554</v>
      </c>
      <c r="F30" s="265">
        <v>0.4173611111111111</v>
      </c>
      <c r="G30" s="264" t="s">
        <v>316</v>
      </c>
      <c r="H30" s="223" t="s">
        <v>316</v>
      </c>
      <c r="I30" s="223" t="s">
        <v>316</v>
      </c>
      <c r="J30" s="222"/>
      <c r="K30" s="222"/>
      <c r="L30" s="222">
        <v>0.31805555555555554</v>
      </c>
      <c r="M30" s="224">
        <v>0.16666666666666666</v>
      </c>
      <c r="N30" s="222">
        <v>0.43125</v>
      </c>
      <c r="O30" s="223" t="s">
        <v>316</v>
      </c>
      <c r="P30" s="220"/>
      <c r="Q30" s="223"/>
      <c r="R30" s="223"/>
      <c r="S30" s="221"/>
      <c r="T30" s="221"/>
      <c r="U30" s="222"/>
      <c r="V30" s="222"/>
      <c r="W30" s="223"/>
      <c r="X30" s="223"/>
      <c r="Y30" s="223"/>
      <c r="Z30" s="244"/>
      <c r="AA30" s="244"/>
      <c r="AB30" s="224"/>
      <c r="AC30" s="222"/>
      <c r="AD30" s="244"/>
      <c r="AE30" s="224"/>
      <c r="AF30" s="222"/>
      <c r="AG30" s="223"/>
      <c r="AH30" s="223"/>
    </row>
    <row r="31">
      <c r="A31" s="253"/>
      <c r="B31" s="32"/>
      <c r="C31" s="201" t="s">
        <v>159</v>
      </c>
      <c r="D31" s="22">
        <f t="shared" si="2"/>
        <v>1.097222222</v>
      </c>
      <c r="E31" s="223" t="s">
        <v>272</v>
      </c>
      <c r="F31" s="264" t="s">
        <v>272</v>
      </c>
      <c r="G31" s="265">
        <v>0.3423611111111111</v>
      </c>
      <c r="H31" s="223" t="s">
        <v>316</v>
      </c>
      <c r="I31" s="223" t="s">
        <v>316</v>
      </c>
      <c r="J31" s="222"/>
      <c r="K31" s="222"/>
      <c r="L31" s="223" t="s">
        <v>316</v>
      </c>
      <c r="M31" s="222">
        <v>0.37916666666666665</v>
      </c>
      <c r="N31" s="224">
        <v>0.37569444444444444</v>
      </c>
      <c r="O31" s="223" t="s">
        <v>316</v>
      </c>
      <c r="P31" s="220"/>
      <c r="Q31" s="223"/>
      <c r="R31" s="223"/>
      <c r="S31" s="221"/>
      <c r="T31" s="221"/>
      <c r="U31" s="223"/>
      <c r="V31" s="222"/>
      <c r="W31" s="222"/>
      <c r="X31" s="223"/>
      <c r="Y31" s="223"/>
      <c r="Z31" s="244"/>
      <c r="AA31" s="244"/>
      <c r="AB31" s="223"/>
      <c r="AC31" s="223"/>
      <c r="AD31" s="244"/>
      <c r="AE31" s="223"/>
      <c r="AF31" s="222"/>
      <c r="AG31" s="224"/>
      <c r="AH31" s="223"/>
    </row>
    <row r="32">
      <c r="A32" s="252"/>
      <c r="B32" s="32"/>
      <c r="C32" s="201" t="s">
        <v>156</v>
      </c>
      <c r="D32" s="22">
        <f t="shared" si="2"/>
        <v>1.075</v>
      </c>
      <c r="E32" s="222">
        <v>0.3541666666666667</v>
      </c>
      <c r="F32" s="264" t="s">
        <v>316</v>
      </c>
      <c r="G32" s="264" t="s">
        <v>316</v>
      </c>
      <c r="H32" s="222">
        <v>0.3590277777777778</v>
      </c>
      <c r="I32" s="223" t="s">
        <v>316</v>
      </c>
      <c r="J32" s="222"/>
      <c r="K32" s="222"/>
      <c r="L32" s="222">
        <v>0.36180555555555555</v>
      </c>
      <c r="M32" s="223" t="s">
        <v>316</v>
      </c>
      <c r="N32" s="223" t="s">
        <v>316</v>
      </c>
      <c r="O32" s="223" t="s">
        <v>269</v>
      </c>
      <c r="P32" s="220"/>
      <c r="Q32" s="222"/>
      <c r="R32" s="223"/>
      <c r="S32" s="221"/>
      <c r="T32" s="221"/>
      <c r="U32" s="222"/>
      <c r="V32" s="223"/>
      <c r="W32" s="223"/>
      <c r="X32" s="222"/>
      <c r="Y32" s="223"/>
      <c r="Z32" s="244"/>
      <c r="AA32" s="244"/>
      <c r="AB32" s="222"/>
      <c r="AC32" s="223"/>
      <c r="AD32" s="244"/>
      <c r="AE32" s="224"/>
      <c r="AF32" s="223"/>
      <c r="AG32" s="223"/>
      <c r="AH32" s="222"/>
    </row>
    <row r="33">
      <c r="A33" s="252"/>
      <c r="B33" s="32"/>
      <c r="C33" s="201" t="s">
        <v>57</v>
      </c>
      <c r="D33" s="22">
        <f t="shared" si="2"/>
        <v>1.011805556</v>
      </c>
      <c r="E33" s="222">
        <v>0.35555555555555557</v>
      </c>
      <c r="F33" s="264" t="s">
        <v>316</v>
      </c>
      <c r="G33" s="265">
        <v>0.28888888888888886</v>
      </c>
      <c r="H33" s="223" t="s">
        <v>316</v>
      </c>
      <c r="I33" s="223" t="s">
        <v>316</v>
      </c>
      <c r="J33" s="222"/>
      <c r="K33" s="222"/>
      <c r="L33" s="223" t="s">
        <v>316</v>
      </c>
      <c r="M33" s="222">
        <v>0.36736111111111114</v>
      </c>
      <c r="N33" s="223" t="s">
        <v>316</v>
      </c>
      <c r="O33" s="223" t="s">
        <v>316</v>
      </c>
      <c r="P33" s="220"/>
      <c r="Q33" s="223"/>
      <c r="R33" s="223"/>
      <c r="S33" s="221"/>
      <c r="T33" s="221"/>
      <c r="U33" s="223"/>
      <c r="V33" s="223"/>
      <c r="W33" s="223"/>
      <c r="X33" s="223"/>
      <c r="Y33" s="223"/>
      <c r="Z33" s="244"/>
      <c r="AA33" s="244"/>
      <c r="AB33" s="222"/>
      <c r="AC33" s="223"/>
      <c r="AD33" s="244"/>
      <c r="AE33" s="224"/>
      <c r="AF33" s="223"/>
      <c r="AG33" s="222"/>
      <c r="AH33" s="223"/>
    </row>
    <row r="34">
      <c r="A34" s="253"/>
      <c r="B34" s="32"/>
      <c r="C34" s="201" t="s">
        <v>263</v>
      </c>
      <c r="D34" s="22">
        <f t="shared" si="2"/>
        <v>0.4013888889</v>
      </c>
      <c r="E34" s="223" t="s">
        <v>276</v>
      </c>
      <c r="F34" s="264" t="s">
        <v>276</v>
      </c>
      <c r="G34" s="264" t="s">
        <v>276</v>
      </c>
      <c r="H34" s="223" t="s">
        <v>276</v>
      </c>
      <c r="I34" s="223" t="s">
        <v>276</v>
      </c>
      <c r="J34" s="222"/>
      <c r="K34" s="222"/>
      <c r="L34" s="223" t="s">
        <v>276</v>
      </c>
      <c r="M34" s="223" t="s">
        <v>276</v>
      </c>
      <c r="N34" s="223" t="s">
        <v>276</v>
      </c>
      <c r="O34" s="222">
        <v>0.4013888888888889</v>
      </c>
      <c r="P34" s="220"/>
      <c r="Q34" s="222"/>
      <c r="R34" s="223"/>
      <c r="S34" s="221"/>
      <c r="T34" s="221"/>
      <c r="U34" s="222"/>
      <c r="V34" s="222"/>
      <c r="W34" s="222"/>
      <c r="X34" s="223"/>
      <c r="Y34" s="223"/>
      <c r="Z34" s="244"/>
      <c r="AA34" s="244"/>
      <c r="AB34" s="222"/>
      <c r="AC34" s="222"/>
      <c r="AD34" s="244"/>
      <c r="AE34" s="222"/>
      <c r="AF34" s="222"/>
      <c r="AG34" s="223"/>
      <c r="AH34" s="222"/>
    </row>
    <row r="35">
      <c r="A35" s="252"/>
      <c r="B35" s="32"/>
      <c r="C35" s="202" t="s">
        <v>339</v>
      </c>
      <c r="D35" s="22">
        <f t="shared" si="2"/>
        <v>3.089583333</v>
      </c>
      <c r="E35" s="222">
        <v>0.38125</v>
      </c>
      <c r="F35" s="265">
        <v>0.3590277777777778</v>
      </c>
      <c r="G35" s="263">
        <v>0.33125</v>
      </c>
      <c r="H35" s="222">
        <v>0.5138888888888888</v>
      </c>
      <c r="I35" s="223" t="s">
        <v>316</v>
      </c>
      <c r="J35" s="222"/>
      <c r="K35" s="222"/>
      <c r="L35" s="222">
        <v>0.3416666666666667</v>
      </c>
      <c r="M35" s="222">
        <v>0.36736111111111114</v>
      </c>
      <c r="N35" s="222">
        <v>0.4722222222222222</v>
      </c>
      <c r="O35" s="222">
        <v>0.3229166666666667</v>
      </c>
      <c r="P35" s="220"/>
      <c r="Q35" s="223"/>
      <c r="R35" s="223"/>
      <c r="S35" s="221"/>
      <c r="T35" s="221"/>
      <c r="U35" s="222"/>
      <c r="V35" s="223"/>
      <c r="W35" s="223"/>
      <c r="X35" s="222"/>
      <c r="Y35" s="223"/>
      <c r="Z35" s="244"/>
      <c r="AA35" s="244"/>
      <c r="AB35" s="222"/>
      <c r="AC35" s="222"/>
      <c r="AD35" s="244"/>
      <c r="AE35" s="223"/>
      <c r="AF35" s="222"/>
      <c r="AG35" s="222"/>
      <c r="AH35" s="223"/>
    </row>
    <row r="36">
      <c r="A36" s="252"/>
      <c r="B36" s="32"/>
      <c r="C36" s="201" t="s">
        <v>257</v>
      </c>
      <c r="D36" s="22">
        <f t="shared" si="2"/>
        <v>1.068055556</v>
      </c>
      <c r="E36" s="223" t="s">
        <v>271</v>
      </c>
      <c r="F36" s="264" t="s">
        <v>316</v>
      </c>
      <c r="G36" s="265">
        <v>0.35833333333333334</v>
      </c>
      <c r="H36" s="223" t="s">
        <v>316</v>
      </c>
      <c r="I36" s="223" t="s">
        <v>316</v>
      </c>
      <c r="J36" s="222"/>
      <c r="K36" s="222"/>
      <c r="L36" s="222">
        <v>0.34930555555555554</v>
      </c>
      <c r="M36" s="223" t="s">
        <v>316</v>
      </c>
      <c r="N36" s="222">
        <v>0.36041666666666666</v>
      </c>
      <c r="O36" s="223" t="s">
        <v>316</v>
      </c>
      <c r="P36" s="220"/>
      <c r="Q36" s="223"/>
      <c r="R36" s="223"/>
      <c r="S36" s="221"/>
      <c r="T36" s="221"/>
      <c r="U36" s="222"/>
      <c r="V36" s="223"/>
      <c r="W36" s="222"/>
      <c r="X36" s="223"/>
      <c r="Y36" s="223"/>
      <c r="Z36" s="244"/>
      <c r="AA36" s="244"/>
      <c r="AB36" s="222"/>
      <c r="AC36" s="223"/>
      <c r="AD36" s="244"/>
      <c r="AE36" s="223"/>
      <c r="AF36" s="223"/>
      <c r="AG36" s="222"/>
      <c r="AH36" s="223"/>
    </row>
    <row r="37">
      <c r="A37" s="253"/>
      <c r="B37" s="32"/>
      <c r="C37" s="203" t="s">
        <v>132</v>
      </c>
      <c r="D37" s="22">
        <f t="shared" si="2"/>
        <v>3.010416667</v>
      </c>
      <c r="E37" s="222">
        <v>0.32430555555555557</v>
      </c>
      <c r="F37" s="265">
        <v>0.4826388888888889</v>
      </c>
      <c r="G37" s="263">
        <v>0.54375</v>
      </c>
      <c r="H37" s="224">
        <v>0.4</v>
      </c>
      <c r="I37" s="223" t="s">
        <v>316</v>
      </c>
      <c r="J37" s="222"/>
      <c r="K37" s="222"/>
      <c r="L37" s="223" t="s">
        <v>269</v>
      </c>
      <c r="M37" s="222">
        <v>0.4826388888888889</v>
      </c>
      <c r="N37" s="224">
        <v>0.37569444444444444</v>
      </c>
      <c r="O37" s="224">
        <v>0.4013888888888889</v>
      </c>
      <c r="P37" s="220"/>
      <c r="Q37" s="223"/>
      <c r="R37" s="222"/>
      <c r="S37" s="221"/>
      <c r="T37" s="221"/>
      <c r="U37" s="224"/>
      <c r="V37" s="222"/>
      <c r="W37" s="224"/>
      <c r="X37" s="222"/>
      <c r="Y37" s="223"/>
      <c r="Z37" s="244"/>
      <c r="AA37" s="244"/>
      <c r="AB37" s="222"/>
      <c r="AC37" s="223"/>
      <c r="AD37" s="244"/>
      <c r="AE37" s="224"/>
      <c r="AF37" s="222"/>
      <c r="AG37" s="223"/>
      <c r="AH37" s="222"/>
    </row>
    <row r="38">
      <c r="A38" s="252"/>
      <c r="B38" s="32"/>
      <c r="C38" s="203" t="s">
        <v>99</v>
      </c>
      <c r="D38" s="22">
        <f t="shared" si="2"/>
        <v>0</v>
      </c>
      <c r="E38" s="223" t="s">
        <v>316</v>
      </c>
      <c r="F38" s="223" t="s">
        <v>316</v>
      </c>
      <c r="G38" s="223" t="s">
        <v>316</v>
      </c>
      <c r="H38" s="223" t="s">
        <v>316</v>
      </c>
      <c r="I38" s="223" t="s">
        <v>316</v>
      </c>
      <c r="J38" s="222"/>
      <c r="K38" s="222"/>
      <c r="L38" s="223" t="s">
        <v>316</v>
      </c>
      <c r="M38" s="223" t="s">
        <v>316</v>
      </c>
      <c r="N38" s="223" t="s">
        <v>316</v>
      </c>
      <c r="O38" s="223" t="s">
        <v>316</v>
      </c>
      <c r="P38" s="220"/>
      <c r="Q38" s="223"/>
      <c r="R38" s="223"/>
      <c r="S38" s="221"/>
      <c r="T38" s="221"/>
      <c r="U38" s="225"/>
      <c r="V38" s="222"/>
      <c r="W38" s="224"/>
      <c r="X38" s="223"/>
      <c r="Y38" s="223"/>
      <c r="Z38" s="244"/>
      <c r="AA38" s="244"/>
      <c r="AB38" s="223"/>
      <c r="AC38" s="223"/>
      <c r="AD38" s="244"/>
      <c r="AE38" s="224"/>
      <c r="AF38" s="222"/>
      <c r="AG38" s="222"/>
      <c r="AH38" s="223"/>
    </row>
    <row r="39">
      <c r="A39" s="253"/>
      <c r="B39" s="32"/>
      <c r="C39" s="203" t="s">
        <v>135</v>
      </c>
      <c r="D39" s="22">
        <f t="shared" si="2"/>
        <v>3.453472222</v>
      </c>
      <c r="E39" s="222">
        <v>0.42986111111111114</v>
      </c>
      <c r="F39" s="265">
        <v>0.43125</v>
      </c>
      <c r="G39" s="265">
        <v>0.4263888888888889</v>
      </c>
      <c r="H39" s="222">
        <v>0.42916666666666664</v>
      </c>
      <c r="I39" s="223" t="s">
        <v>316</v>
      </c>
      <c r="J39" s="222"/>
      <c r="K39" s="222"/>
      <c r="L39" s="222">
        <v>0.4236111111111111</v>
      </c>
      <c r="M39" s="222">
        <v>0.45</v>
      </c>
      <c r="N39" s="222">
        <v>0.40069444444444446</v>
      </c>
      <c r="O39" s="222">
        <v>0.4625</v>
      </c>
      <c r="P39" s="220"/>
      <c r="Q39" s="222"/>
      <c r="R39" s="222"/>
      <c r="S39" s="221"/>
      <c r="T39" s="221"/>
      <c r="U39" s="222"/>
      <c r="V39" s="222"/>
      <c r="W39" s="224"/>
      <c r="X39" s="222"/>
      <c r="Y39" s="223"/>
      <c r="Z39" s="244"/>
      <c r="AA39" s="244"/>
      <c r="AB39" s="223"/>
      <c r="AC39" s="222"/>
      <c r="AD39" s="244"/>
      <c r="AE39" s="224"/>
      <c r="AF39" s="222"/>
      <c r="AG39" s="223"/>
      <c r="AH39" s="224"/>
    </row>
    <row r="40">
      <c r="A40" s="252"/>
      <c r="B40" s="32"/>
      <c r="C40" s="203" t="s">
        <v>183</v>
      </c>
      <c r="D40" s="22">
        <f t="shared" si="2"/>
        <v>2.783333333</v>
      </c>
      <c r="E40" s="222">
        <v>0.3902777777777778</v>
      </c>
      <c r="F40" s="265">
        <v>0.30277777777777776</v>
      </c>
      <c r="G40" s="265">
        <v>0.45694444444444443</v>
      </c>
      <c r="H40" s="222">
        <v>0.4375</v>
      </c>
      <c r="I40" s="223" t="s">
        <v>316</v>
      </c>
      <c r="J40" s="222"/>
      <c r="K40" s="222"/>
      <c r="L40" s="222">
        <v>0.3416666666666667</v>
      </c>
      <c r="M40" s="223" t="s">
        <v>269</v>
      </c>
      <c r="N40" s="222">
        <v>0.4479166666666667</v>
      </c>
      <c r="O40" s="224">
        <v>0.40625</v>
      </c>
      <c r="P40" s="220"/>
      <c r="Q40" s="222"/>
      <c r="R40" s="223"/>
      <c r="S40" s="221"/>
      <c r="T40" s="221"/>
      <c r="U40" s="224"/>
      <c r="V40" s="222"/>
      <c r="W40" s="222"/>
      <c r="X40" s="223"/>
      <c r="Y40" s="223"/>
      <c r="Z40" s="244"/>
      <c r="AA40" s="244"/>
      <c r="AB40" s="222"/>
      <c r="AC40" s="222"/>
      <c r="AD40" s="244"/>
      <c r="AE40" s="224"/>
      <c r="AF40" s="222"/>
      <c r="AG40" s="222"/>
      <c r="AH40" s="222"/>
    </row>
    <row r="41">
      <c r="A41" s="253"/>
      <c r="B41" s="32"/>
      <c r="C41" s="203" t="s">
        <v>141</v>
      </c>
      <c r="D41" s="22">
        <f t="shared" si="2"/>
        <v>2.104861111</v>
      </c>
      <c r="E41" s="223" t="s">
        <v>316</v>
      </c>
      <c r="F41" s="265">
        <v>0.3347222222222222</v>
      </c>
      <c r="G41" s="265">
        <v>0.3590277777777778</v>
      </c>
      <c r="H41" s="222">
        <v>0.38333333333333336</v>
      </c>
      <c r="I41" s="223" t="s">
        <v>316</v>
      </c>
      <c r="J41" s="222"/>
      <c r="K41" s="222"/>
      <c r="L41" s="223" t="s">
        <v>316</v>
      </c>
      <c r="M41" s="222">
        <v>0.32916666666666666</v>
      </c>
      <c r="N41" s="222">
        <v>0.37222222222222223</v>
      </c>
      <c r="O41" s="222">
        <v>0.3263888888888889</v>
      </c>
      <c r="P41" s="220"/>
      <c r="Q41" s="222"/>
      <c r="R41" s="223"/>
      <c r="S41" s="221"/>
      <c r="T41" s="221"/>
      <c r="U41" s="222"/>
      <c r="V41" s="222"/>
      <c r="W41" s="222"/>
      <c r="X41" s="222"/>
      <c r="Y41" s="223"/>
      <c r="Z41" s="244"/>
      <c r="AA41" s="244"/>
      <c r="AB41" s="223"/>
      <c r="AC41" s="223"/>
      <c r="AD41" s="244"/>
      <c r="AE41" s="224"/>
      <c r="AF41" s="222"/>
      <c r="AG41" s="222"/>
      <c r="AH41" s="222"/>
    </row>
    <row r="42">
      <c r="A42" s="252"/>
      <c r="B42" s="15"/>
      <c r="C42" s="203" t="s">
        <v>207</v>
      </c>
      <c r="D42" s="22">
        <f t="shared" si="2"/>
        <v>0.5881944444</v>
      </c>
      <c r="E42" s="222">
        <v>0.3111111111111111</v>
      </c>
      <c r="F42" s="264" t="s">
        <v>316</v>
      </c>
      <c r="G42" s="265">
        <v>0.27708333333333335</v>
      </c>
      <c r="H42" s="223" t="s">
        <v>316</v>
      </c>
      <c r="I42" s="223" t="s">
        <v>316</v>
      </c>
      <c r="J42" s="222"/>
      <c r="K42" s="222"/>
      <c r="L42" s="223" t="s">
        <v>276</v>
      </c>
      <c r="M42" s="223" t="s">
        <v>276</v>
      </c>
      <c r="N42" s="223" t="s">
        <v>276</v>
      </c>
      <c r="O42" s="223" t="s">
        <v>276</v>
      </c>
      <c r="P42" s="220"/>
      <c r="Q42" s="223"/>
      <c r="R42" s="223"/>
      <c r="S42" s="221"/>
      <c r="T42" s="221"/>
      <c r="U42" s="222"/>
      <c r="V42" s="224"/>
      <c r="W42" s="223"/>
      <c r="X42" s="222"/>
      <c r="Y42" s="223"/>
      <c r="Z42" s="244"/>
      <c r="AA42" s="244"/>
      <c r="AB42" s="222"/>
      <c r="AC42" s="222"/>
      <c r="AD42" s="244"/>
      <c r="AE42" s="224"/>
      <c r="AF42" s="222"/>
      <c r="AG42" s="223"/>
      <c r="AH42" s="223"/>
    </row>
    <row r="43">
      <c r="A43" s="252"/>
      <c r="B43" s="161" t="s">
        <v>278</v>
      </c>
      <c r="C43" s="203" t="s">
        <v>78</v>
      </c>
      <c r="D43" s="22">
        <f t="shared" si="2"/>
        <v>2.535416667</v>
      </c>
      <c r="E43" s="223" t="s">
        <v>316</v>
      </c>
      <c r="F43" s="265">
        <v>0.3388888888888889</v>
      </c>
      <c r="G43" s="265">
        <v>0.35625</v>
      </c>
      <c r="H43" s="223" t="s">
        <v>316</v>
      </c>
      <c r="I43" s="222">
        <v>0.3770833333333333</v>
      </c>
      <c r="J43" s="222"/>
      <c r="K43" s="222"/>
      <c r="L43" s="222">
        <v>0.3638888888888889</v>
      </c>
      <c r="M43" s="222">
        <v>0.3576388888888889</v>
      </c>
      <c r="N43" s="222">
        <v>0.37083333333333335</v>
      </c>
      <c r="O43" s="222">
        <v>0.37083333333333335</v>
      </c>
      <c r="P43" s="220"/>
      <c r="Q43" s="224"/>
      <c r="R43" s="222"/>
      <c r="S43" s="221"/>
      <c r="T43" s="221"/>
      <c r="U43" s="222"/>
      <c r="V43" s="222"/>
      <c r="W43" s="222"/>
      <c r="X43" s="222"/>
      <c r="Y43" s="222"/>
      <c r="Z43" s="244"/>
      <c r="AA43" s="244"/>
      <c r="AB43" s="222"/>
      <c r="AC43" s="222"/>
      <c r="AD43" s="244"/>
      <c r="AE43" s="224"/>
      <c r="AF43" s="222"/>
      <c r="AG43" s="222"/>
      <c r="AH43" s="223"/>
    </row>
    <row r="44">
      <c r="A44" s="253"/>
      <c r="B44" s="32"/>
      <c r="C44" s="203" t="s">
        <v>14</v>
      </c>
      <c r="D44" s="22">
        <f t="shared" si="2"/>
        <v>0</v>
      </c>
      <c r="E44" s="223" t="s">
        <v>272</v>
      </c>
      <c r="F44" s="223" t="s">
        <v>272</v>
      </c>
      <c r="G44" s="223" t="s">
        <v>272</v>
      </c>
      <c r="H44" s="223" t="s">
        <v>272</v>
      </c>
      <c r="I44" s="223" t="s">
        <v>272</v>
      </c>
      <c r="J44" s="222"/>
      <c r="K44" s="222"/>
      <c r="L44" s="223" t="s">
        <v>272</v>
      </c>
      <c r="M44" s="223" t="s">
        <v>272</v>
      </c>
      <c r="N44" s="223" t="s">
        <v>272</v>
      </c>
      <c r="O44" s="223" t="s">
        <v>272</v>
      </c>
      <c r="P44" s="220"/>
      <c r="Q44" s="224"/>
      <c r="R44" s="223"/>
      <c r="S44" s="221"/>
      <c r="T44" s="221"/>
      <c r="U44" s="224"/>
      <c r="V44" s="222"/>
      <c r="W44" s="224"/>
      <c r="X44" s="224"/>
      <c r="Y44" s="223"/>
      <c r="Z44" s="244"/>
      <c r="AA44" s="244"/>
      <c r="AB44" s="223"/>
      <c r="AC44" s="223"/>
      <c r="AD44" s="244"/>
      <c r="AE44" s="224"/>
      <c r="AF44" s="222"/>
      <c r="AG44" s="224"/>
      <c r="AH44" s="222"/>
    </row>
    <row r="45">
      <c r="A45" s="252"/>
      <c r="B45" s="32"/>
      <c r="C45" s="203" t="s">
        <v>105</v>
      </c>
      <c r="D45" s="22">
        <f t="shared" si="2"/>
        <v>0</v>
      </c>
      <c r="E45" s="223" t="s">
        <v>316</v>
      </c>
      <c r="F45" s="229" t="s">
        <v>316</v>
      </c>
      <c r="G45" s="229" t="s">
        <v>316</v>
      </c>
      <c r="H45" s="229" t="s">
        <v>316</v>
      </c>
      <c r="I45" s="229" t="s">
        <v>316</v>
      </c>
      <c r="J45" s="222"/>
      <c r="K45" s="222"/>
      <c r="L45" s="223" t="s">
        <v>316</v>
      </c>
      <c r="M45" s="223" t="s">
        <v>316</v>
      </c>
      <c r="N45" s="223" t="s">
        <v>316</v>
      </c>
      <c r="O45" s="223" t="s">
        <v>316</v>
      </c>
      <c r="P45" s="220"/>
      <c r="Q45" s="223"/>
      <c r="R45" s="223"/>
      <c r="S45" s="221"/>
      <c r="T45" s="221"/>
      <c r="U45" s="223"/>
      <c r="V45" s="223"/>
      <c r="W45" s="223"/>
      <c r="X45" s="223"/>
      <c r="Y45" s="223"/>
      <c r="Z45" s="244"/>
      <c r="AA45" s="244"/>
      <c r="AB45" s="223"/>
      <c r="AC45" s="223"/>
      <c r="AD45" s="244"/>
      <c r="AE45" s="223"/>
      <c r="AF45" s="223"/>
      <c r="AG45" s="223"/>
      <c r="AH45" s="223"/>
    </row>
    <row r="46">
      <c r="A46" s="252"/>
      <c r="B46" s="32"/>
      <c r="C46" s="203" t="s">
        <v>29</v>
      </c>
      <c r="D46" s="22">
        <f t="shared" si="2"/>
        <v>0</v>
      </c>
      <c r="E46" s="223" t="s">
        <v>316</v>
      </c>
      <c r="F46" s="229" t="s">
        <v>316</v>
      </c>
      <c r="G46" s="229" t="s">
        <v>316</v>
      </c>
      <c r="H46" s="229" t="s">
        <v>316</v>
      </c>
      <c r="I46" s="229" t="s">
        <v>316</v>
      </c>
      <c r="J46" s="222"/>
      <c r="K46" s="222"/>
      <c r="L46" s="223" t="s">
        <v>316</v>
      </c>
      <c r="M46" s="223" t="s">
        <v>316</v>
      </c>
      <c r="N46" s="223" t="s">
        <v>316</v>
      </c>
      <c r="O46" s="223" t="s">
        <v>316</v>
      </c>
      <c r="P46" s="220"/>
      <c r="Q46" s="223"/>
      <c r="R46" s="223"/>
      <c r="S46" s="221"/>
      <c r="T46" s="221"/>
      <c r="U46" s="223"/>
      <c r="V46" s="223"/>
      <c r="W46" s="223"/>
      <c r="X46" s="223"/>
      <c r="Y46" s="223"/>
      <c r="Z46" s="244"/>
      <c r="AA46" s="244"/>
      <c r="AB46" s="223"/>
      <c r="AC46" s="223"/>
      <c r="AD46" s="244"/>
      <c r="AE46" s="223"/>
      <c r="AF46" s="223"/>
      <c r="AG46" s="223"/>
      <c r="AH46" s="223"/>
    </row>
    <row r="47">
      <c r="A47" s="253"/>
      <c r="B47" s="32"/>
      <c r="C47" s="203" t="s">
        <v>17</v>
      </c>
      <c r="D47" s="22">
        <f t="shared" si="2"/>
        <v>2.856944444</v>
      </c>
      <c r="E47" s="222">
        <v>0.34375</v>
      </c>
      <c r="F47" s="265">
        <v>0.40208333333333335</v>
      </c>
      <c r="G47" s="265">
        <v>0.38472222222222224</v>
      </c>
      <c r="H47" s="222">
        <v>0.42083333333333334</v>
      </c>
      <c r="I47" s="223" t="s">
        <v>315</v>
      </c>
      <c r="J47" s="222"/>
      <c r="K47" s="222"/>
      <c r="L47" s="222">
        <v>0.3784722222222222</v>
      </c>
      <c r="M47" s="224">
        <v>0.16666666666666666</v>
      </c>
      <c r="N47" s="224">
        <v>0.3645833333333333</v>
      </c>
      <c r="O47" s="224">
        <v>0.3958333333333333</v>
      </c>
      <c r="P47" s="220"/>
      <c r="Q47" s="223"/>
      <c r="R47" s="224"/>
      <c r="S47" s="221"/>
      <c r="T47" s="221"/>
      <c r="U47" s="223"/>
      <c r="V47" s="222"/>
      <c r="W47" s="224"/>
      <c r="X47" s="224"/>
      <c r="Y47" s="222"/>
      <c r="Z47" s="244"/>
      <c r="AA47" s="244"/>
      <c r="AB47" s="223"/>
      <c r="AC47" s="222"/>
      <c r="AD47" s="244"/>
      <c r="AE47" s="224"/>
      <c r="AF47" s="222"/>
      <c r="AG47" s="223"/>
      <c r="AH47" s="222"/>
    </row>
    <row r="48">
      <c r="A48" s="252"/>
      <c r="B48" s="32"/>
      <c r="C48" s="203" t="s">
        <v>150</v>
      </c>
      <c r="D48" s="22">
        <f t="shared" si="2"/>
        <v>3.2</v>
      </c>
      <c r="E48" s="222">
        <v>0.4131944444444444</v>
      </c>
      <c r="F48" s="265">
        <v>0.38472222222222224</v>
      </c>
      <c r="G48" s="265">
        <v>0.4236111111111111</v>
      </c>
      <c r="H48" s="222">
        <v>0.4263888888888889</v>
      </c>
      <c r="I48" s="223" t="s">
        <v>316</v>
      </c>
      <c r="J48" s="222"/>
      <c r="K48" s="222"/>
      <c r="L48" s="222">
        <v>0.44305555555555554</v>
      </c>
      <c r="M48" s="222">
        <v>0.4173611111111111</v>
      </c>
      <c r="N48" s="222">
        <v>0.33194444444444443</v>
      </c>
      <c r="O48" s="224">
        <v>0.3597222222222222</v>
      </c>
      <c r="P48" s="220"/>
      <c r="Q48" s="222"/>
      <c r="R48" s="223"/>
      <c r="S48" s="221"/>
      <c r="T48" s="221"/>
      <c r="U48" s="222"/>
      <c r="V48" s="223"/>
      <c r="W48" s="223"/>
      <c r="X48" s="222"/>
      <c r="Y48" s="223"/>
      <c r="Z48" s="244"/>
      <c r="AA48" s="244"/>
      <c r="AB48" s="222"/>
      <c r="AC48" s="222"/>
      <c r="AD48" s="244"/>
      <c r="AE48" s="224"/>
      <c r="AF48" s="222"/>
      <c r="AG48" s="222"/>
      <c r="AH48" s="223"/>
    </row>
    <row r="49">
      <c r="A49" s="252"/>
      <c r="B49" s="32"/>
      <c r="C49" s="200" t="s">
        <v>231</v>
      </c>
      <c r="D49" s="22">
        <f t="shared" si="2"/>
        <v>1.799305556</v>
      </c>
      <c r="E49" s="223" t="s">
        <v>269</v>
      </c>
      <c r="F49" s="263">
        <v>0.3326388888888889</v>
      </c>
      <c r="G49" s="263">
        <v>0.44583333333333336</v>
      </c>
      <c r="H49" s="223" t="s">
        <v>316</v>
      </c>
      <c r="I49" s="223" t="s">
        <v>316</v>
      </c>
      <c r="J49" s="222"/>
      <c r="K49" s="222"/>
      <c r="L49" s="223" t="s">
        <v>316</v>
      </c>
      <c r="M49" s="224">
        <v>0.3194444444444444</v>
      </c>
      <c r="N49" s="222">
        <v>0.40069444444444446</v>
      </c>
      <c r="O49" s="222">
        <v>0.30069444444444443</v>
      </c>
      <c r="P49" s="220"/>
      <c r="Q49" s="222"/>
      <c r="R49" s="223"/>
      <c r="S49" s="221"/>
      <c r="T49" s="221"/>
      <c r="U49" s="222"/>
      <c r="V49" s="222"/>
      <c r="W49" s="222"/>
      <c r="X49" s="222"/>
      <c r="Y49" s="223"/>
      <c r="Z49" s="244"/>
      <c r="AA49" s="244"/>
      <c r="AB49" s="222"/>
      <c r="AC49" s="222"/>
      <c r="AD49" s="244"/>
      <c r="AE49" s="222"/>
      <c r="AF49" s="222"/>
      <c r="AG49" s="222"/>
      <c r="AH49" s="222"/>
    </row>
    <row r="50">
      <c r="A50" s="252"/>
      <c r="B50" s="32"/>
      <c r="C50" s="198" t="s">
        <v>249</v>
      </c>
      <c r="D50" s="22">
        <f t="shared" si="2"/>
        <v>2.413194444</v>
      </c>
      <c r="E50" s="222">
        <v>0.3770833333333333</v>
      </c>
      <c r="F50" s="265">
        <v>0.33055555555555555</v>
      </c>
      <c r="G50" s="265">
        <v>0.33611111111111114</v>
      </c>
      <c r="H50" s="222">
        <v>0.3236111111111111</v>
      </c>
      <c r="I50" s="223" t="s">
        <v>316</v>
      </c>
      <c r="J50" s="222"/>
      <c r="K50" s="222"/>
      <c r="L50" s="222">
        <v>0.3347222222222222</v>
      </c>
      <c r="M50" s="222">
        <v>0.33819444444444446</v>
      </c>
      <c r="N50" s="222">
        <v>0.3729166666666667</v>
      </c>
      <c r="O50" s="223" t="s">
        <v>315</v>
      </c>
      <c r="P50" s="220"/>
      <c r="Q50" s="222"/>
      <c r="R50" s="223"/>
      <c r="S50" s="221"/>
      <c r="T50" s="221"/>
      <c r="U50" s="222"/>
      <c r="V50" s="222"/>
      <c r="W50" s="222"/>
      <c r="X50" s="222"/>
      <c r="Y50" s="223"/>
      <c r="Z50" s="244"/>
      <c r="AA50" s="244"/>
      <c r="AB50" s="222"/>
      <c r="AC50" s="222"/>
      <c r="AD50" s="244"/>
      <c r="AE50" s="222"/>
      <c r="AF50" s="222"/>
      <c r="AG50" s="222"/>
      <c r="AH50" s="222"/>
    </row>
    <row r="51">
      <c r="A51" s="253"/>
      <c r="B51" s="32"/>
      <c r="C51" s="198" t="s">
        <v>394</v>
      </c>
      <c r="D51" s="22">
        <f t="shared" si="2"/>
        <v>2.266666667</v>
      </c>
      <c r="E51" s="224">
        <v>0.16666666666666666</v>
      </c>
      <c r="F51" s="265">
        <v>0.3548611111111111</v>
      </c>
      <c r="G51" s="265">
        <v>0.2111111111111111</v>
      </c>
      <c r="H51" s="223" t="s">
        <v>316</v>
      </c>
      <c r="I51" s="222">
        <v>0.3763888888888889</v>
      </c>
      <c r="J51" s="222"/>
      <c r="K51" s="222"/>
      <c r="L51" s="222">
        <v>0.38819444444444445</v>
      </c>
      <c r="M51" s="222">
        <v>0.3861111111111111</v>
      </c>
      <c r="N51" s="222">
        <v>0.38333333333333336</v>
      </c>
      <c r="O51" s="223" t="s">
        <v>316</v>
      </c>
      <c r="P51" s="220"/>
      <c r="Q51" s="222"/>
      <c r="R51" s="223"/>
      <c r="S51" s="221"/>
      <c r="T51" s="221"/>
      <c r="U51" s="223"/>
      <c r="V51" s="222"/>
      <c r="W51" s="222"/>
      <c r="X51" s="222"/>
      <c r="Y51" s="223"/>
      <c r="Z51" s="244"/>
      <c r="AA51" s="244"/>
      <c r="AB51" s="222"/>
      <c r="AC51" s="222"/>
      <c r="AD51" s="244"/>
      <c r="AE51" s="223"/>
      <c r="AF51" s="222"/>
      <c r="AG51" s="222"/>
      <c r="AH51" s="223"/>
    </row>
    <row r="52">
      <c r="A52" s="252"/>
      <c r="B52" s="32"/>
      <c r="C52" s="198" t="s">
        <v>72</v>
      </c>
      <c r="D52" s="22">
        <f t="shared" si="2"/>
        <v>2.521527778</v>
      </c>
      <c r="E52" s="223" t="s">
        <v>272</v>
      </c>
      <c r="F52" s="223" t="s">
        <v>272</v>
      </c>
      <c r="G52" s="265">
        <v>0.45694444444444443</v>
      </c>
      <c r="H52" s="222">
        <v>0.43125</v>
      </c>
      <c r="I52" s="223" t="s">
        <v>316</v>
      </c>
      <c r="J52" s="222"/>
      <c r="K52" s="222"/>
      <c r="L52" s="222">
        <v>0.4222222222222222</v>
      </c>
      <c r="M52" s="222">
        <v>0.3951388888888889</v>
      </c>
      <c r="N52" s="222">
        <v>0.4111111111111111</v>
      </c>
      <c r="O52" s="224">
        <v>0.4048611111111111</v>
      </c>
      <c r="P52" s="220"/>
      <c r="Q52" s="222"/>
      <c r="R52" s="223"/>
      <c r="S52" s="221"/>
      <c r="T52" s="221"/>
      <c r="U52" s="222"/>
      <c r="V52" s="222"/>
      <c r="W52" s="222"/>
      <c r="X52" s="222"/>
      <c r="Y52" s="223"/>
      <c r="Z52" s="244"/>
      <c r="AA52" s="244"/>
      <c r="AB52" s="223"/>
      <c r="AC52" s="223"/>
      <c r="AD52" s="244"/>
      <c r="AE52" s="224"/>
      <c r="AF52" s="224"/>
      <c r="AG52" s="222"/>
      <c r="AH52" s="222"/>
    </row>
    <row r="53">
      <c r="A53" s="252"/>
      <c r="B53" s="32"/>
      <c r="C53" s="198" t="s">
        <v>204</v>
      </c>
      <c r="D53" s="22">
        <f t="shared" si="2"/>
        <v>0</v>
      </c>
      <c r="E53" s="223" t="s">
        <v>316</v>
      </c>
      <c r="F53" s="223" t="s">
        <v>316</v>
      </c>
      <c r="G53" s="223" t="s">
        <v>316</v>
      </c>
      <c r="H53" s="223" t="s">
        <v>316</v>
      </c>
      <c r="I53" s="223" t="s">
        <v>316</v>
      </c>
      <c r="J53" s="222"/>
      <c r="K53" s="222"/>
      <c r="L53" s="223" t="s">
        <v>316</v>
      </c>
      <c r="M53" s="223" t="s">
        <v>316</v>
      </c>
      <c r="N53" s="223" t="s">
        <v>316</v>
      </c>
      <c r="O53" s="223" t="s">
        <v>316</v>
      </c>
      <c r="P53" s="220"/>
      <c r="Q53" s="223"/>
      <c r="R53" s="223"/>
      <c r="S53" s="221"/>
      <c r="T53" s="221"/>
      <c r="U53" s="223"/>
      <c r="V53" s="223"/>
      <c r="W53" s="223"/>
      <c r="X53" s="244"/>
      <c r="Y53" s="223"/>
      <c r="Z53" s="244"/>
      <c r="AA53" s="244"/>
      <c r="AB53" s="223"/>
      <c r="AC53" s="223"/>
      <c r="AD53" s="244"/>
      <c r="AE53" s="223"/>
      <c r="AF53" s="223"/>
      <c r="AG53" s="223"/>
      <c r="AH53" s="223"/>
    </row>
    <row r="54">
      <c r="A54" s="253"/>
      <c r="B54" s="32"/>
      <c r="C54" s="200" t="s">
        <v>410</v>
      </c>
      <c r="D54" s="22">
        <f t="shared" si="2"/>
        <v>2.795138889</v>
      </c>
      <c r="E54" s="222">
        <v>0.3388888888888889</v>
      </c>
      <c r="F54" s="265">
        <v>0.3923611111111111</v>
      </c>
      <c r="G54" s="265">
        <v>0.3368055555555556</v>
      </c>
      <c r="H54" s="222">
        <v>0.3298611111111111</v>
      </c>
      <c r="I54" s="223" t="s">
        <v>316</v>
      </c>
      <c r="J54" s="222"/>
      <c r="K54" s="222"/>
      <c r="L54" s="222">
        <v>0.34791666666666665</v>
      </c>
      <c r="M54" s="222">
        <v>0.34097222222222223</v>
      </c>
      <c r="N54" s="222">
        <v>0.36041666666666666</v>
      </c>
      <c r="O54" s="222">
        <v>0.34791666666666665</v>
      </c>
      <c r="P54" s="220"/>
      <c r="Q54" s="222"/>
      <c r="R54" s="222"/>
      <c r="S54" s="221"/>
      <c r="T54" s="221"/>
      <c r="U54" s="255"/>
      <c r="V54" s="222"/>
      <c r="W54" s="224"/>
      <c r="X54" s="222"/>
      <c r="Y54" s="222"/>
      <c r="Z54" s="244"/>
      <c r="AA54" s="244"/>
      <c r="AB54" s="222"/>
      <c r="AC54" s="222"/>
      <c r="AD54" s="244"/>
      <c r="AE54" s="222"/>
      <c r="AF54" s="222"/>
      <c r="AG54" s="222"/>
      <c r="AH54" s="222"/>
    </row>
    <row r="55">
      <c r="A55" s="252"/>
      <c r="B55" s="32"/>
      <c r="C55" s="198" t="s">
        <v>81</v>
      </c>
      <c r="D55" s="22">
        <f t="shared" si="2"/>
        <v>3.082638889</v>
      </c>
      <c r="E55" s="224">
        <v>0.16666666666666666</v>
      </c>
      <c r="F55" s="265">
        <v>0.49236111111111114</v>
      </c>
      <c r="G55" s="263">
        <v>0.44930555555555557</v>
      </c>
      <c r="H55" s="224">
        <v>0.16666666666666666</v>
      </c>
      <c r="I55" s="223" t="s">
        <v>316</v>
      </c>
      <c r="J55" s="222"/>
      <c r="K55" s="222"/>
      <c r="L55" s="222">
        <v>0.4479166666666667</v>
      </c>
      <c r="M55" s="224">
        <v>0.5743055555555555</v>
      </c>
      <c r="N55" s="224">
        <v>0.37569444444444444</v>
      </c>
      <c r="O55" s="222">
        <v>0.4097222222222222</v>
      </c>
      <c r="P55" s="220"/>
      <c r="Q55" s="222"/>
      <c r="R55" s="224"/>
      <c r="S55" s="221"/>
      <c r="T55" s="221"/>
      <c r="U55" s="222"/>
      <c r="V55" s="222"/>
      <c r="W55" s="224"/>
      <c r="X55" s="222"/>
      <c r="Y55" s="223"/>
      <c r="Z55" s="244"/>
      <c r="AA55" s="244"/>
      <c r="AB55" s="222"/>
      <c r="AC55" s="223"/>
      <c r="AD55" s="244"/>
      <c r="AE55" s="224"/>
      <c r="AF55" s="222"/>
      <c r="AG55" s="222"/>
      <c r="AH55" s="222"/>
    </row>
    <row r="56">
      <c r="A56" s="252"/>
      <c r="B56" s="32"/>
      <c r="C56" s="198" t="s">
        <v>153</v>
      </c>
      <c r="D56" s="22">
        <f t="shared" si="2"/>
        <v>2.779166667</v>
      </c>
      <c r="E56" s="224">
        <v>0.3611111111111111</v>
      </c>
      <c r="F56" s="263">
        <v>0.37777777777777777</v>
      </c>
      <c r="G56" s="263">
        <v>0.33541666666666664</v>
      </c>
      <c r="H56" s="222">
        <v>0.41944444444444445</v>
      </c>
      <c r="I56" s="223" t="s">
        <v>316</v>
      </c>
      <c r="J56" s="222"/>
      <c r="K56" s="222"/>
      <c r="L56" s="224">
        <v>0.16666666666666666</v>
      </c>
      <c r="M56" s="222">
        <v>0.3909722222222222</v>
      </c>
      <c r="N56" s="222">
        <v>0.3326388888888889</v>
      </c>
      <c r="O56" s="222">
        <v>0.3951388888888889</v>
      </c>
      <c r="P56" s="220"/>
      <c r="Q56" s="222"/>
      <c r="R56" s="223"/>
      <c r="S56" s="221"/>
      <c r="T56" s="221"/>
      <c r="U56" s="223"/>
      <c r="V56" s="223"/>
      <c r="W56" s="222"/>
      <c r="X56" s="222"/>
      <c r="Y56" s="223"/>
      <c r="Z56" s="244"/>
      <c r="AA56" s="244"/>
      <c r="AB56" s="222"/>
      <c r="AC56" s="222"/>
      <c r="AD56" s="244"/>
      <c r="AE56" s="224"/>
      <c r="AF56" s="222"/>
      <c r="AG56" s="222"/>
      <c r="AH56" s="222"/>
    </row>
    <row r="57">
      <c r="A57" s="253"/>
      <c r="B57" s="32"/>
      <c r="C57" s="198" t="s">
        <v>198</v>
      </c>
      <c r="D57" s="22">
        <f t="shared" si="2"/>
        <v>2.864583333</v>
      </c>
      <c r="E57" s="222">
        <v>0.3638888888888889</v>
      </c>
      <c r="F57" s="265">
        <v>0.36319444444444443</v>
      </c>
      <c r="G57" s="265">
        <v>0.35694444444444445</v>
      </c>
      <c r="H57" s="222">
        <v>0.3701388888888889</v>
      </c>
      <c r="I57" s="223" t="s">
        <v>316</v>
      </c>
      <c r="J57" s="222"/>
      <c r="K57" s="222"/>
      <c r="L57" s="222">
        <v>0.35833333333333334</v>
      </c>
      <c r="M57" s="222">
        <v>0.3659722222222222</v>
      </c>
      <c r="N57" s="222">
        <v>0.34444444444444444</v>
      </c>
      <c r="O57" s="222">
        <v>0.3416666666666667</v>
      </c>
      <c r="P57" s="220"/>
      <c r="Q57" s="222"/>
      <c r="R57" s="223"/>
      <c r="S57" s="221"/>
      <c r="T57" s="221"/>
      <c r="U57" s="223"/>
      <c r="V57" s="223"/>
      <c r="W57" s="223"/>
      <c r="X57" s="244"/>
      <c r="Y57" s="223"/>
      <c r="Z57" s="244"/>
      <c r="AA57" s="244"/>
      <c r="AB57" s="222"/>
      <c r="AC57" s="222"/>
      <c r="AD57" s="244"/>
      <c r="AE57" s="224"/>
      <c r="AF57" s="222"/>
      <c r="AG57" s="222"/>
      <c r="AH57" s="222"/>
    </row>
    <row r="58">
      <c r="A58" s="252"/>
      <c r="B58" s="32"/>
      <c r="C58" s="200" t="s">
        <v>411</v>
      </c>
      <c r="D58" s="22">
        <f t="shared" si="2"/>
        <v>2.423611111</v>
      </c>
      <c r="E58" s="223" t="s">
        <v>316</v>
      </c>
      <c r="F58" s="265">
        <v>0.47847222222222224</v>
      </c>
      <c r="G58" s="265">
        <v>0.36875</v>
      </c>
      <c r="H58" s="222">
        <v>0.3854166666666667</v>
      </c>
      <c r="I58" s="223" t="s">
        <v>316</v>
      </c>
      <c r="J58" s="222"/>
      <c r="K58" s="222"/>
      <c r="L58" s="223" t="s">
        <v>316</v>
      </c>
      <c r="M58" s="222">
        <v>0.39444444444444443</v>
      </c>
      <c r="N58" s="222">
        <v>0.3972222222222222</v>
      </c>
      <c r="O58" s="222">
        <v>0.3993055555555556</v>
      </c>
      <c r="P58" s="220"/>
      <c r="Q58" s="222"/>
      <c r="R58" s="223"/>
      <c r="S58" s="221"/>
      <c r="T58" s="221"/>
      <c r="U58" s="223"/>
      <c r="V58" s="222"/>
      <c r="W58" s="224"/>
      <c r="X58" s="222"/>
      <c r="Y58" s="223"/>
      <c r="Z58" s="244"/>
      <c r="AA58" s="244"/>
      <c r="AB58" s="223"/>
      <c r="AC58" s="223"/>
      <c r="AD58" s="244"/>
      <c r="AE58" s="223"/>
      <c r="AF58" s="222"/>
      <c r="AG58" s="222"/>
      <c r="AH58" s="222"/>
    </row>
    <row r="59">
      <c r="A59" s="252"/>
      <c r="B59" s="32"/>
      <c r="C59" s="200" t="s">
        <v>412</v>
      </c>
      <c r="D59" s="22">
        <f t="shared" si="2"/>
        <v>1.740277778</v>
      </c>
      <c r="E59" s="222">
        <v>0.3402777777777778</v>
      </c>
      <c r="F59" s="264" t="s">
        <v>316</v>
      </c>
      <c r="G59" s="265">
        <v>0.3715277777777778</v>
      </c>
      <c r="H59" s="222">
        <v>0.34791666666666665</v>
      </c>
      <c r="I59" s="223" t="s">
        <v>316</v>
      </c>
      <c r="J59" s="222"/>
      <c r="K59" s="222"/>
      <c r="L59" s="222">
        <v>0.30277777777777776</v>
      </c>
      <c r="M59" s="223" t="s">
        <v>316</v>
      </c>
      <c r="N59" s="222">
        <v>0.37777777777777777</v>
      </c>
      <c r="O59" s="223" t="s">
        <v>316</v>
      </c>
      <c r="P59" s="220"/>
      <c r="Q59" s="222"/>
      <c r="R59" s="223"/>
      <c r="S59" s="221"/>
      <c r="T59" s="221"/>
      <c r="U59" s="222"/>
      <c r="V59" s="222"/>
      <c r="W59" s="222"/>
      <c r="X59" s="244"/>
      <c r="Y59" s="223"/>
      <c r="Z59" s="244"/>
      <c r="AA59" s="244"/>
      <c r="AB59" s="222"/>
      <c r="AC59" s="222"/>
      <c r="AD59" s="244"/>
      <c r="AE59" s="222"/>
      <c r="AF59" s="222"/>
      <c r="AG59" s="222"/>
      <c r="AH59" s="222"/>
    </row>
    <row r="60">
      <c r="A60" s="253"/>
      <c r="B60" s="32"/>
      <c r="C60" s="198" t="s">
        <v>26</v>
      </c>
      <c r="D60" s="22">
        <f t="shared" si="2"/>
        <v>2.593055556</v>
      </c>
      <c r="E60" s="223" t="s">
        <v>316</v>
      </c>
      <c r="F60" s="265">
        <v>0.4722222222222222</v>
      </c>
      <c r="G60" s="263">
        <v>0.46458333333333335</v>
      </c>
      <c r="H60" s="222">
        <v>0.24861111111111112</v>
      </c>
      <c r="I60" s="223" t="s">
        <v>316</v>
      </c>
      <c r="J60" s="222"/>
      <c r="K60" s="222"/>
      <c r="L60" s="223" t="s">
        <v>316</v>
      </c>
      <c r="M60" s="224">
        <v>0.5284722222222222</v>
      </c>
      <c r="N60" s="224">
        <v>0.41388888888888886</v>
      </c>
      <c r="O60" s="224">
        <v>0.4652777777777778</v>
      </c>
      <c r="P60" s="220"/>
      <c r="Q60" s="224"/>
      <c r="R60" s="224"/>
      <c r="S60" s="221"/>
      <c r="T60" s="221"/>
      <c r="U60" s="223"/>
      <c r="V60" s="224"/>
      <c r="W60" s="224"/>
      <c r="X60" s="224"/>
      <c r="Y60" s="223"/>
      <c r="Z60" s="244"/>
      <c r="AA60" s="244"/>
      <c r="AB60" s="223"/>
      <c r="AC60" s="224"/>
      <c r="AD60" s="244"/>
      <c r="AE60" s="224"/>
      <c r="AF60" s="224"/>
      <c r="AG60" s="224"/>
      <c r="AH60" s="222"/>
    </row>
    <row r="61">
      <c r="A61" s="252"/>
      <c r="B61" s="32"/>
      <c r="C61" s="198" t="s">
        <v>51</v>
      </c>
      <c r="D61" s="22">
        <f t="shared" si="2"/>
        <v>1.770138889</v>
      </c>
      <c r="E61" s="222">
        <v>0.28402777777777777</v>
      </c>
      <c r="F61" s="263">
        <v>0.3229166666666667</v>
      </c>
      <c r="G61" s="265">
        <v>0.24444444444444444</v>
      </c>
      <c r="H61" s="223" t="s">
        <v>316</v>
      </c>
      <c r="I61" s="223" t="s">
        <v>316</v>
      </c>
      <c r="J61" s="222"/>
      <c r="K61" s="222"/>
      <c r="L61" s="223" t="s">
        <v>316</v>
      </c>
      <c r="M61" s="222">
        <v>0.32916666666666666</v>
      </c>
      <c r="N61" s="222">
        <v>0.3277777777777778</v>
      </c>
      <c r="O61" s="222">
        <v>0.26180555555555557</v>
      </c>
      <c r="P61" s="220"/>
      <c r="Q61" s="223"/>
      <c r="R61" s="223"/>
      <c r="S61" s="221"/>
      <c r="T61" s="221"/>
      <c r="U61" s="223"/>
      <c r="V61" s="223"/>
      <c r="W61" s="222"/>
      <c r="X61" s="224"/>
      <c r="Y61" s="223"/>
      <c r="Z61" s="244"/>
      <c r="AA61" s="244"/>
      <c r="AB61" s="223"/>
      <c r="AC61" s="223"/>
      <c r="AD61" s="244"/>
      <c r="AE61" s="223"/>
      <c r="AF61" s="223"/>
      <c r="AG61" s="223"/>
      <c r="AH61" s="223"/>
    </row>
    <row r="62">
      <c r="A62" s="252"/>
      <c r="B62" s="32"/>
      <c r="C62" s="200" t="s">
        <v>413</v>
      </c>
      <c r="D62" s="22">
        <f t="shared" si="2"/>
        <v>2.43125</v>
      </c>
      <c r="E62" s="222">
        <v>0.3715277777777778</v>
      </c>
      <c r="F62" s="265">
        <v>0.47291666666666665</v>
      </c>
      <c r="G62" s="264" t="s">
        <v>316</v>
      </c>
      <c r="H62" s="222">
        <v>0.36180555555555555</v>
      </c>
      <c r="I62" s="223" t="s">
        <v>316</v>
      </c>
      <c r="J62" s="222"/>
      <c r="K62" s="222"/>
      <c r="L62" s="222">
        <v>0.34444444444444444</v>
      </c>
      <c r="M62" s="224">
        <v>0.4847222222222222</v>
      </c>
      <c r="N62" s="223" t="s">
        <v>316</v>
      </c>
      <c r="O62" s="224">
        <v>0.3958333333333333</v>
      </c>
      <c r="P62" s="220"/>
      <c r="Q62" s="222"/>
      <c r="R62" s="223"/>
      <c r="S62" s="221"/>
      <c r="T62" s="221"/>
      <c r="U62" s="224"/>
      <c r="V62" s="222"/>
      <c r="W62" s="222"/>
      <c r="X62" s="223"/>
      <c r="Y62" s="223"/>
      <c r="Z62" s="244"/>
      <c r="AA62" s="244"/>
      <c r="AB62" s="222"/>
      <c r="AC62" s="224"/>
      <c r="AD62" s="244"/>
      <c r="AE62" s="222"/>
      <c r="AF62" s="222"/>
      <c r="AG62" s="222"/>
      <c r="AH62" s="222"/>
    </row>
    <row r="63">
      <c r="A63" s="253"/>
      <c r="B63" s="32"/>
      <c r="C63" s="198" t="s">
        <v>397</v>
      </c>
      <c r="D63" s="22">
        <f t="shared" si="2"/>
        <v>3.320833333</v>
      </c>
      <c r="E63" s="222">
        <v>0.4701388888888889</v>
      </c>
      <c r="F63" s="265">
        <v>0.45625</v>
      </c>
      <c r="G63" s="265">
        <v>0.38680555555555557</v>
      </c>
      <c r="H63" s="222">
        <v>0.3486111111111111</v>
      </c>
      <c r="I63" s="223" t="s">
        <v>316</v>
      </c>
      <c r="J63" s="222"/>
      <c r="K63" s="222"/>
      <c r="L63" s="222">
        <v>0.45625</v>
      </c>
      <c r="M63" s="224">
        <v>0.5270833333333333</v>
      </c>
      <c r="N63" s="222">
        <v>0.39444444444444443</v>
      </c>
      <c r="O63" s="222">
        <v>0.28125</v>
      </c>
      <c r="P63" s="220"/>
      <c r="Q63" s="223"/>
      <c r="R63" s="223"/>
      <c r="S63" s="221"/>
      <c r="T63" s="221"/>
      <c r="U63" s="222"/>
      <c r="V63" s="222"/>
      <c r="W63" s="222"/>
      <c r="X63" s="222"/>
      <c r="Y63" s="223"/>
      <c r="Z63" s="244"/>
      <c r="AA63" s="244"/>
      <c r="AB63" s="222"/>
      <c r="AC63" s="222"/>
      <c r="AD63" s="244"/>
      <c r="AE63" s="224"/>
      <c r="AF63" s="222"/>
      <c r="AG63" s="222"/>
      <c r="AH63" s="222"/>
    </row>
    <row r="64">
      <c r="A64" s="253"/>
      <c r="B64" s="32"/>
      <c r="C64" s="200" t="s">
        <v>440</v>
      </c>
      <c r="D64" s="22">
        <f t="shared" si="2"/>
        <v>0</v>
      </c>
      <c r="E64" s="222"/>
      <c r="F64" s="265"/>
      <c r="G64" s="264"/>
      <c r="H64" s="222"/>
      <c r="I64" s="223"/>
      <c r="J64" s="222"/>
      <c r="K64" s="222"/>
      <c r="L64" s="222"/>
      <c r="M64" s="222"/>
      <c r="N64" s="223"/>
      <c r="O64" s="222"/>
      <c r="P64" s="220"/>
      <c r="Q64" s="222"/>
      <c r="R64" s="223"/>
      <c r="S64" s="221"/>
      <c r="T64" s="221"/>
      <c r="U64" s="223"/>
      <c r="V64" s="222"/>
      <c r="W64" s="222"/>
      <c r="X64" s="223"/>
      <c r="Y64" s="223"/>
      <c r="Z64" s="244"/>
      <c r="AA64" s="244"/>
      <c r="AB64" s="222"/>
      <c r="AC64" s="222"/>
      <c r="AD64" s="244"/>
      <c r="AE64" s="224"/>
      <c r="AF64" s="222"/>
      <c r="AG64" s="222"/>
      <c r="AH64" s="222"/>
    </row>
    <row r="65">
      <c r="A65" s="252"/>
      <c r="B65" s="15"/>
      <c r="C65" s="198" t="s">
        <v>385</v>
      </c>
      <c r="D65" s="22">
        <f t="shared" si="2"/>
        <v>2.220138889</v>
      </c>
      <c r="E65" s="222">
        <v>0.3888888888888889</v>
      </c>
      <c r="F65" s="265">
        <v>0.3972222222222222</v>
      </c>
      <c r="G65" s="264" t="s">
        <v>269</v>
      </c>
      <c r="H65" s="222">
        <v>0.3875</v>
      </c>
      <c r="I65" s="223" t="s">
        <v>316</v>
      </c>
      <c r="J65" s="222"/>
      <c r="K65" s="222"/>
      <c r="L65" s="222">
        <v>0.3701388888888889</v>
      </c>
      <c r="M65" s="222">
        <v>0.3375</v>
      </c>
      <c r="N65" s="223" t="s">
        <v>316</v>
      </c>
      <c r="O65" s="222">
        <v>0.3388888888888889</v>
      </c>
      <c r="P65" s="220"/>
      <c r="Q65" s="222"/>
      <c r="R65" s="223"/>
      <c r="S65" s="221"/>
      <c r="T65" s="221"/>
      <c r="U65" s="223"/>
      <c r="V65" s="222"/>
      <c r="W65" s="222"/>
      <c r="X65" s="223"/>
      <c r="Y65" s="223"/>
      <c r="Z65" s="244"/>
      <c r="AA65" s="244"/>
      <c r="AB65" s="222"/>
      <c r="AC65" s="222"/>
      <c r="AD65" s="244"/>
      <c r="AE65" s="224"/>
      <c r="AF65" s="222"/>
      <c r="AG65" s="222"/>
      <c r="AH65" s="222"/>
    </row>
    <row r="66">
      <c r="A66" s="253"/>
      <c r="B66" s="256" t="s">
        <v>436</v>
      </c>
      <c r="C66" s="267" t="s">
        <v>186</v>
      </c>
      <c r="D66" s="22">
        <f t="shared" si="2"/>
        <v>2.841666667</v>
      </c>
      <c r="E66" s="222">
        <v>0.4097222222222222</v>
      </c>
      <c r="F66" s="265">
        <v>0.37569444444444444</v>
      </c>
      <c r="G66" s="264" t="s">
        <v>316</v>
      </c>
      <c r="H66" s="224">
        <v>0.3680555555555556</v>
      </c>
      <c r="I66" s="223" t="s">
        <v>316</v>
      </c>
      <c r="J66" s="222"/>
      <c r="K66" s="222"/>
      <c r="L66" s="222">
        <v>0.4215277777777778</v>
      </c>
      <c r="M66" s="222">
        <v>0.4375</v>
      </c>
      <c r="N66" s="224">
        <v>0.4097222222222222</v>
      </c>
      <c r="O66" s="224">
        <v>0.41944444444444445</v>
      </c>
      <c r="P66" s="220"/>
      <c r="Q66" s="223"/>
      <c r="R66" s="223"/>
      <c r="S66" s="221"/>
      <c r="T66" s="221"/>
      <c r="U66" s="224"/>
      <c r="V66" s="224"/>
      <c r="W66" s="222"/>
      <c r="X66" s="224"/>
      <c r="Y66" s="223"/>
      <c r="Z66" s="244"/>
      <c r="AA66" s="244"/>
      <c r="AB66" s="222"/>
      <c r="AC66" s="222"/>
      <c r="AD66" s="244"/>
      <c r="AE66" s="222"/>
      <c r="AF66" s="224"/>
      <c r="AG66" s="223"/>
      <c r="AH66" s="222"/>
    </row>
    <row r="67">
      <c r="A67" s="253"/>
      <c r="B67" s="15"/>
      <c r="C67" s="268" t="s">
        <v>93</v>
      </c>
      <c r="D67" s="22">
        <f t="shared" si="2"/>
        <v>3.336805556</v>
      </c>
      <c r="E67" s="222">
        <v>0.45</v>
      </c>
      <c r="F67" s="265">
        <v>0.4486111111111111</v>
      </c>
      <c r="G67" s="265">
        <v>0.3770833333333333</v>
      </c>
      <c r="H67" s="222">
        <v>0.43125</v>
      </c>
      <c r="I67" s="223" t="s">
        <v>316</v>
      </c>
      <c r="J67" s="222"/>
      <c r="K67" s="222"/>
      <c r="L67" s="222">
        <v>0.43333333333333335</v>
      </c>
      <c r="M67" s="222">
        <v>0.42430555555555555</v>
      </c>
      <c r="N67" s="222">
        <v>0.4270833333333333</v>
      </c>
      <c r="O67" s="222">
        <v>0.3451388888888889</v>
      </c>
      <c r="P67" s="220"/>
      <c r="Q67" s="223"/>
      <c r="R67" s="223"/>
      <c r="S67" s="221"/>
      <c r="T67" s="221"/>
      <c r="U67" s="224"/>
      <c r="V67" s="224"/>
      <c r="W67" s="222"/>
      <c r="X67" s="224"/>
      <c r="Y67" s="223"/>
      <c r="Z67" s="244"/>
      <c r="AA67" s="244"/>
      <c r="AB67" s="222"/>
      <c r="AC67" s="222"/>
      <c r="AD67" s="244"/>
      <c r="AE67" s="222"/>
      <c r="AF67" s="224"/>
      <c r="AG67" s="223"/>
      <c r="AH67" s="222"/>
    </row>
    <row r="68">
      <c r="A68" s="253"/>
      <c r="B68" s="256" t="s">
        <v>436</v>
      </c>
      <c r="C68" s="201" t="s">
        <v>260</v>
      </c>
      <c r="D68" s="22">
        <f t="shared" si="2"/>
        <v>2.48125</v>
      </c>
      <c r="E68" s="224">
        <v>0.16666666666666666</v>
      </c>
      <c r="F68" s="265">
        <v>0.3013888888888889</v>
      </c>
      <c r="G68" s="265">
        <v>0.3194444444444444</v>
      </c>
      <c r="H68" s="224">
        <v>0.41388888888888886</v>
      </c>
      <c r="I68" s="223" t="s">
        <v>316</v>
      </c>
      <c r="J68" s="222"/>
      <c r="K68" s="222"/>
      <c r="L68" s="222">
        <v>0.2763888888888889</v>
      </c>
      <c r="M68" s="222">
        <v>0.32222222222222224</v>
      </c>
      <c r="N68" s="222">
        <v>0.32083333333333336</v>
      </c>
      <c r="O68" s="224">
        <v>0.36041666666666666</v>
      </c>
      <c r="P68" s="220"/>
      <c r="Q68" s="223"/>
      <c r="R68" s="223"/>
      <c r="S68" s="221"/>
      <c r="T68" s="221"/>
      <c r="U68" s="224"/>
      <c r="V68" s="224"/>
      <c r="W68" s="222"/>
      <c r="X68" s="224"/>
      <c r="Y68" s="223"/>
      <c r="Z68" s="244"/>
      <c r="AA68" s="244"/>
      <c r="AB68" s="222"/>
      <c r="AC68" s="222"/>
      <c r="AD68" s="244"/>
      <c r="AE68" s="222"/>
      <c r="AF68" s="224"/>
      <c r="AG68" s="223"/>
      <c r="AH68" s="222"/>
    </row>
    <row r="69">
      <c r="A69" s="252"/>
      <c r="B69" s="15"/>
      <c r="C69" s="202" t="s">
        <v>400</v>
      </c>
      <c r="D69" s="22">
        <f t="shared" si="2"/>
        <v>2.447916667</v>
      </c>
      <c r="E69" s="224">
        <v>0.20833333333333334</v>
      </c>
      <c r="F69" s="265">
        <v>0.41388888888888886</v>
      </c>
      <c r="G69" s="265">
        <v>0.2965277777777778</v>
      </c>
      <c r="H69" s="224">
        <v>0.16666666666666666</v>
      </c>
      <c r="I69" s="223" t="s">
        <v>316</v>
      </c>
      <c r="J69" s="222"/>
      <c r="K69" s="222"/>
      <c r="L69" s="224">
        <v>0.16666666666666666</v>
      </c>
      <c r="M69" s="222">
        <v>0.35138888888888886</v>
      </c>
      <c r="N69" s="222">
        <v>0.43680555555555556</v>
      </c>
      <c r="O69" s="222">
        <v>0.4076388888888889</v>
      </c>
      <c r="P69" s="220"/>
      <c r="Q69" s="222"/>
      <c r="R69" s="223"/>
      <c r="S69" s="221"/>
      <c r="T69" s="221"/>
      <c r="U69" s="223"/>
      <c r="V69" s="222"/>
      <c r="W69" s="222"/>
      <c r="X69" s="222"/>
      <c r="Y69" s="223"/>
      <c r="Z69" s="244"/>
      <c r="AA69" s="244"/>
      <c r="AB69" s="222"/>
      <c r="AC69" s="222"/>
      <c r="AD69" s="244"/>
      <c r="AE69" s="224"/>
      <c r="AF69" s="224"/>
      <c r="AG69" s="224"/>
      <c r="AH69" s="223"/>
    </row>
    <row r="70">
      <c r="A70" s="252"/>
      <c r="B70" s="193" t="s">
        <v>281</v>
      </c>
      <c r="C70" s="198" t="s">
        <v>32</v>
      </c>
      <c r="D70" s="22">
        <f t="shared" si="2"/>
        <v>0</v>
      </c>
      <c r="E70" s="223" t="s">
        <v>272</v>
      </c>
      <c r="F70" s="223" t="s">
        <v>272</v>
      </c>
      <c r="G70" s="223" t="s">
        <v>272</v>
      </c>
      <c r="H70" s="223" t="s">
        <v>272</v>
      </c>
      <c r="I70" s="223" t="s">
        <v>272</v>
      </c>
      <c r="J70" s="222"/>
      <c r="K70" s="222"/>
      <c r="L70" s="223" t="s">
        <v>422</v>
      </c>
      <c r="M70" s="223" t="s">
        <v>422</v>
      </c>
      <c r="N70" s="223" t="s">
        <v>422</v>
      </c>
      <c r="O70" s="223" t="s">
        <v>422</v>
      </c>
      <c r="P70" s="220"/>
      <c r="Q70" s="224"/>
      <c r="R70" s="223"/>
      <c r="S70" s="221"/>
      <c r="T70" s="221"/>
      <c r="U70" s="224"/>
      <c r="V70" s="223"/>
      <c r="W70" s="223"/>
      <c r="X70" s="224"/>
      <c r="Y70" s="223"/>
      <c r="Z70" s="244"/>
      <c r="AA70" s="244"/>
      <c r="AB70" s="223"/>
      <c r="AC70" s="223"/>
      <c r="AD70" s="244"/>
      <c r="AE70" s="224"/>
      <c r="AF70" s="224"/>
      <c r="AG70" s="224"/>
      <c r="AH70" s="223"/>
    </row>
    <row r="71">
      <c r="A71" s="253"/>
      <c r="B71" s="166" t="s">
        <v>282</v>
      </c>
      <c r="C71" s="206" t="s">
        <v>390</v>
      </c>
      <c r="D71" s="22">
        <f t="shared" si="2"/>
        <v>2.550694444</v>
      </c>
      <c r="E71" s="222">
        <v>0.3173611111111111</v>
      </c>
      <c r="F71" s="265">
        <v>0.3125</v>
      </c>
      <c r="G71" s="265">
        <v>0.38263888888888886</v>
      </c>
      <c r="H71" s="223" t="s">
        <v>316</v>
      </c>
      <c r="I71" s="223" t="s">
        <v>316</v>
      </c>
      <c r="J71" s="222"/>
      <c r="K71" s="222"/>
      <c r="L71" s="222">
        <v>0.4486111111111111</v>
      </c>
      <c r="M71" s="222">
        <v>0.3638888888888889</v>
      </c>
      <c r="N71" s="222">
        <v>0.3875</v>
      </c>
      <c r="O71" s="222">
        <v>0.33819444444444446</v>
      </c>
      <c r="P71" s="220"/>
      <c r="Q71" s="222"/>
      <c r="R71" s="222"/>
      <c r="S71" s="221"/>
      <c r="T71" s="221"/>
      <c r="U71" s="222"/>
      <c r="V71" s="224"/>
      <c r="W71" s="222"/>
      <c r="X71" s="222"/>
      <c r="Y71" s="223"/>
      <c r="Z71" s="244"/>
      <c r="AA71" s="244"/>
      <c r="AB71" s="222"/>
      <c r="AC71" s="222"/>
      <c r="AD71" s="244"/>
      <c r="AE71" s="224"/>
      <c r="AF71" s="224"/>
      <c r="AG71" s="222"/>
      <c r="AH71" s="222"/>
    </row>
    <row r="72">
      <c r="A72" s="252"/>
      <c r="B72" s="32"/>
      <c r="C72" s="257" t="s">
        <v>437</v>
      </c>
      <c r="D72" s="22">
        <f t="shared" si="2"/>
        <v>3.334722222</v>
      </c>
      <c r="E72" s="222">
        <v>0.39791666666666664</v>
      </c>
      <c r="F72" s="263">
        <v>0.37569444444444444</v>
      </c>
      <c r="G72" s="263">
        <v>0.37083333333333335</v>
      </c>
      <c r="H72" s="224">
        <v>0.37569444444444444</v>
      </c>
      <c r="I72" s="222">
        <v>0.36736111111111114</v>
      </c>
      <c r="J72" s="222"/>
      <c r="K72" s="222"/>
      <c r="L72" s="222">
        <v>0.3993055555555556</v>
      </c>
      <c r="M72" s="222">
        <v>0.24583333333333332</v>
      </c>
      <c r="N72" s="222">
        <v>0.41388888888888886</v>
      </c>
      <c r="O72" s="222">
        <v>0.38819444444444445</v>
      </c>
      <c r="P72" s="220"/>
      <c r="Q72" s="224"/>
      <c r="R72" s="223"/>
      <c r="S72" s="221"/>
      <c r="T72" s="221"/>
      <c r="U72" s="224"/>
      <c r="V72" s="224"/>
      <c r="W72" s="224"/>
      <c r="X72" s="224"/>
      <c r="Y72" s="224"/>
      <c r="Z72" s="244"/>
      <c r="AA72" s="244"/>
      <c r="AB72" s="224"/>
      <c r="AC72" s="224"/>
      <c r="AD72" s="244"/>
      <c r="AE72" s="224"/>
      <c r="AF72" s="224"/>
      <c r="AG72" s="222"/>
      <c r="AH72" s="222"/>
    </row>
    <row r="73">
      <c r="A73" s="253"/>
      <c r="B73" s="32"/>
      <c r="C73" s="206" t="s">
        <v>23</v>
      </c>
      <c r="D73" s="22">
        <f t="shared" si="2"/>
        <v>2.133333333</v>
      </c>
      <c r="E73" s="223" t="s">
        <v>269</v>
      </c>
      <c r="F73" s="265">
        <v>0.24027777777777778</v>
      </c>
      <c r="G73" s="263">
        <v>0.22291666666666668</v>
      </c>
      <c r="H73" s="222">
        <v>0.4326388888888889</v>
      </c>
      <c r="I73" s="223" t="s">
        <v>316</v>
      </c>
      <c r="J73" s="222"/>
      <c r="K73" s="222"/>
      <c r="L73" s="222">
        <v>0.32708333333333334</v>
      </c>
      <c r="M73" s="224">
        <v>0.26805555555555555</v>
      </c>
      <c r="N73" s="224">
        <v>0.2708333333333333</v>
      </c>
      <c r="O73" s="222">
        <v>0.3715277777777778</v>
      </c>
      <c r="P73" s="220"/>
      <c r="Q73" s="224"/>
      <c r="R73" s="223"/>
      <c r="S73" s="221"/>
      <c r="T73" s="221"/>
      <c r="U73" s="224"/>
      <c r="V73" s="224"/>
      <c r="W73" s="224"/>
      <c r="X73" s="222"/>
      <c r="Y73" s="223"/>
      <c r="Z73" s="244"/>
      <c r="AA73" s="244"/>
      <c r="AB73" s="224"/>
      <c r="AC73" s="222"/>
      <c r="AD73" s="244"/>
      <c r="AE73" s="224"/>
      <c r="AF73" s="224"/>
      <c r="AG73" s="222"/>
      <c r="AH73" s="222"/>
    </row>
    <row r="74">
      <c r="A74" s="252"/>
      <c r="B74" s="32"/>
      <c r="C74" s="206" t="s">
        <v>138</v>
      </c>
      <c r="D74" s="22">
        <f t="shared" si="2"/>
        <v>2.221527778</v>
      </c>
      <c r="E74" s="222">
        <v>0.37430555555555556</v>
      </c>
      <c r="F74" s="265">
        <v>0.31180555555555556</v>
      </c>
      <c r="G74" s="265">
        <v>0.3076388888888889</v>
      </c>
      <c r="H74" s="222">
        <v>0.27847222222222223</v>
      </c>
      <c r="I74" s="223" t="s">
        <v>316</v>
      </c>
      <c r="J74" s="222"/>
      <c r="K74" s="222"/>
      <c r="L74" s="222">
        <v>0.37430555555555556</v>
      </c>
      <c r="M74" s="223" t="s">
        <v>316</v>
      </c>
      <c r="N74" s="222">
        <v>0.4083333333333333</v>
      </c>
      <c r="O74" s="224">
        <v>0.16666666666666666</v>
      </c>
      <c r="P74" s="220"/>
      <c r="Q74" s="222"/>
      <c r="R74" s="222"/>
      <c r="S74" s="221"/>
      <c r="T74" s="221"/>
      <c r="U74" s="222"/>
      <c r="V74" s="222"/>
      <c r="W74" s="222"/>
      <c r="X74" s="222"/>
      <c r="Y74" s="223"/>
      <c r="Z74" s="244"/>
      <c r="AA74" s="244"/>
      <c r="AB74" s="224"/>
      <c r="AC74" s="222"/>
      <c r="AD74" s="244"/>
      <c r="AE74" s="224"/>
      <c r="AF74" s="223"/>
      <c r="AG74" s="223"/>
      <c r="AH74" s="223"/>
    </row>
    <row r="75">
      <c r="A75" s="252"/>
      <c r="B75" s="32"/>
      <c r="C75" s="210" t="s">
        <v>228</v>
      </c>
      <c r="D75" s="211"/>
      <c r="E75" s="223" t="s">
        <v>431</v>
      </c>
      <c r="F75" s="223" t="s">
        <v>431</v>
      </c>
      <c r="G75" s="223" t="s">
        <v>431</v>
      </c>
      <c r="H75" s="223" t="s">
        <v>431</v>
      </c>
      <c r="I75" s="223" t="s">
        <v>431</v>
      </c>
      <c r="J75" s="223" t="s">
        <v>431</v>
      </c>
      <c r="K75" s="223" t="s">
        <v>431</v>
      </c>
      <c r="L75" s="223" t="s">
        <v>431</v>
      </c>
      <c r="M75" s="223" t="s">
        <v>431</v>
      </c>
      <c r="N75" s="223" t="s">
        <v>431</v>
      </c>
      <c r="O75" s="223" t="s">
        <v>431</v>
      </c>
      <c r="P75" s="220"/>
      <c r="Q75" s="222"/>
      <c r="R75" s="223"/>
      <c r="S75" s="221"/>
      <c r="T75" s="221"/>
      <c r="U75" s="223"/>
      <c r="V75" s="223"/>
      <c r="W75" s="223"/>
      <c r="X75" s="223"/>
      <c r="Y75" s="223"/>
      <c r="Z75" s="244"/>
      <c r="AA75" s="244"/>
      <c r="AB75" s="223"/>
      <c r="AC75" s="223"/>
      <c r="AD75" s="244"/>
      <c r="AE75" s="224"/>
      <c r="AF75" s="222"/>
      <c r="AG75" s="222"/>
      <c r="AH75" s="222"/>
    </row>
    <row r="76">
      <c r="A76" s="253"/>
      <c r="B76" s="32"/>
      <c r="C76" s="206" t="s">
        <v>273</v>
      </c>
      <c r="D76" s="22">
        <f t="shared" ref="D76:D90" si="3">sum(E76:AH76)</f>
        <v>1.865972222</v>
      </c>
      <c r="E76" s="222">
        <v>0.32708333333333334</v>
      </c>
      <c r="F76" s="264" t="s">
        <v>284</v>
      </c>
      <c r="G76" s="265">
        <v>0.3104166666666667</v>
      </c>
      <c r="H76" s="222">
        <v>0.28125</v>
      </c>
      <c r="I76" s="223" t="s">
        <v>316</v>
      </c>
      <c r="J76" s="222"/>
      <c r="K76" s="222"/>
      <c r="L76" s="224">
        <v>0.3763888888888889</v>
      </c>
      <c r="M76" s="223" t="s">
        <v>316</v>
      </c>
      <c r="N76" s="222">
        <v>0.32430555555555557</v>
      </c>
      <c r="O76" s="222">
        <v>0.2465277777777778</v>
      </c>
      <c r="P76" s="220"/>
      <c r="Q76" s="223"/>
      <c r="R76" s="223"/>
      <c r="S76" s="221"/>
      <c r="T76" s="221"/>
      <c r="U76" s="223"/>
      <c r="V76" s="223"/>
      <c r="W76" s="223"/>
      <c r="X76" s="223"/>
      <c r="Y76" s="223"/>
      <c r="Z76" s="244"/>
      <c r="AA76" s="244"/>
      <c r="AB76" s="222"/>
      <c r="AC76" s="223"/>
      <c r="AD76" s="244"/>
      <c r="AE76" s="222"/>
      <c r="AF76" s="223"/>
      <c r="AG76" s="222"/>
      <c r="AH76" s="222"/>
    </row>
    <row r="77">
      <c r="A77" s="252"/>
      <c r="B77" s="32"/>
      <c r="C77" s="206" t="s">
        <v>10</v>
      </c>
      <c r="D77" s="22">
        <f t="shared" si="3"/>
        <v>3.574305556</v>
      </c>
      <c r="E77" s="224">
        <v>0.37569444444444444</v>
      </c>
      <c r="F77" s="117">
        <v>0.38333333333333336</v>
      </c>
      <c r="G77" s="263">
        <v>0.49930555555555556</v>
      </c>
      <c r="H77" s="224">
        <v>0.6034722222222222</v>
      </c>
      <c r="I77" s="223" t="s">
        <v>316</v>
      </c>
      <c r="J77" s="222"/>
      <c r="K77" s="222"/>
      <c r="L77" s="224">
        <v>0.3715277777777778</v>
      </c>
      <c r="M77" s="224">
        <v>0.45902777777777776</v>
      </c>
      <c r="N77" s="224">
        <v>0.5305555555555556</v>
      </c>
      <c r="O77" s="222">
        <v>0.35138888888888886</v>
      </c>
      <c r="P77" s="220"/>
      <c r="Q77" s="222"/>
      <c r="R77" s="223"/>
      <c r="S77" s="244"/>
      <c r="T77" s="244"/>
      <c r="U77" s="224"/>
      <c r="V77" s="224"/>
      <c r="W77" s="224"/>
      <c r="X77" s="224"/>
      <c r="Y77" s="223"/>
      <c r="Z77" s="244"/>
      <c r="AA77" s="244"/>
      <c r="AB77" s="224"/>
      <c r="AC77" s="224"/>
      <c r="AD77" s="244"/>
      <c r="AE77" s="224"/>
      <c r="AF77" s="224"/>
      <c r="AG77" s="224"/>
      <c r="AH77" s="223"/>
    </row>
    <row r="78">
      <c r="A78" s="253"/>
      <c r="B78" s="32"/>
      <c r="C78" s="206" t="s">
        <v>6</v>
      </c>
      <c r="D78" s="22">
        <f t="shared" si="3"/>
        <v>4.753472222</v>
      </c>
      <c r="E78" s="224">
        <v>0.5777777777777777</v>
      </c>
      <c r="F78" s="263">
        <v>0.4847222222222222</v>
      </c>
      <c r="G78" s="263">
        <v>0.4444444444444444</v>
      </c>
      <c r="H78" s="224">
        <v>0.5631944444444444</v>
      </c>
      <c r="I78" s="222">
        <v>0.48541666666666666</v>
      </c>
      <c r="J78" s="222"/>
      <c r="K78" s="222"/>
      <c r="L78" s="222">
        <v>0.5416666666666666</v>
      </c>
      <c r="M78" s="222">
        <v>0.5680555555555555</v>
      </c>
      <c r="N78" s="222">
        <v>0.5458333333333333</v>
      </c>
      <c r="O78" s="222">
        <v>0.5423611111111111</v>
      </c>
      <c r="P78" s="220"/>
      <c r="Q78" s="224"/>
      <c r="R78" s="222"/>
      <c r="S78" s="244"/>
      <c r="T78" s="244"/>
      <c r="U78" s="224"/>
      <c r="V78" s="222"/>
      <c r="W78" s="224"/>
      <c r="X78" s="224"/>
      <c r="Y78" s="224"/>
      <c r="Z78" s="222"/>
      <c r="AA78" s="244"/>
      <c r="AB78" s="222"/>
      <c r="AC78" s="222"/>
      <c r="AD78" s="244"/>
      <c r="AE78" s="224"/>
      <c r="AF78" s="224"/>
      <c r="AG78" s="224"/>
      <c r="AH78" s="224"/>
    </row>
    <row r="79">
      <c r="A79" s="252"/>
      <c r="B79" s="32"/>
      <c r="C79" s="206" t="s">
        <v>75</v>
      </c>
      <c r="D79" s="22">
        <f t="shared" si="3"/>
        <v>2.610416667</v>
      </c>
      <c r="E79" s="222">
        <v>0.2659722222222222</v>
      </c>
      <c r="F79" s="265">
        <v>0.2513888888888889</v>
      </c>
      <c r="G79" s="265">
        <v>0.3194444444444444</v>
      </c>
      <c r="H79" s="222">
        <v>0.2798611111111111</v>
      </c>
      <c r="I79" s="224">
        <v>0.15555555555555556</v>
      </c>
      <c r="J79" s="222"/>
      <c r="K79" s="222"/>
      <c r="L79" s="222">
        <v>0.36875</v>
      </c>
      <c r="M79" s="222">
        <v>0.3736111111111111</v>
      </c>
      <c r="N79" s="222">
        <v>0.32013888888888886</v>
      </c>
      <c r="O79" s="222">
        <v>0.27569444444444446</v>
      </c>
      <c r="P79" s="220"/>
      <c r="Q79" s="222"/>
      <c r="R79" s="223"/>
      <c r="S79" s="244"/>
      <c r="T79" s="244"/>
      <c r="U79" s="222"/>
      <c r="V79" s="222"/>
      <c r="W79" s="222"/>
      <c r="X79" s="223"/>
      <c r="Y79" s="223"/>
      <c r="Z79" s="244"/>
      <c r="AA79" s="244"/>
      <c r="AB79" s="222"/>
      <c r="AC79" s="222"/>
      <c r="AD79" s="244"/>
      <c r="AE79" s="224"/>
      <c r="AF79" s="222"/>
      <c r="AG79" s="222"/>
      <c r="AH79" s="222"/>
    </row>
    <row r="80">
      <c r="A80" s="252"/>
      <c r="B80" s="32"/>
      <c r="C80" s="206" t="s">
        <v>120</v>
      </c>
      <c r="D80" s="22">
        <f t="shared" si="3"/>
        <v>3.308333333</v>
      </c>
      <c r="E80" s="224">
        <v>0.3715277777777778</v>
      </c>
      <c r="F80" s="263">
        <v>0.3611111111111111</v>
      </c>
      <c r="G80" s="263">
        <v>0.3763888888888889</v>
      </c>
      <c r="H80" s="224">
        <v>0.36666666666666664</v>
      </c>
      <c r="I80" s="224">
        <v>0.3611111111111111</v>
      </c>
      <c r="J80" s="223" t="s">
        <v>284</v>
      </c>
      <c r="K80" s="223" t="s">
        <v>284</v>
      </c>
      <c r="L80" s="224">
        <v>0.3680555555555556</v>
      </c>
      <c r="M80" s="224">
        <v>0.37569444444444444</v>
      </c>
      <c r="N80" s="224">
        <v>0.3611111111111111</v>
      </c>
      <c r="O80" s="224">
        <v>0.36666666666666664</v>
      </c>
      <c r="P80" s="220"/>
      <c r="Q80" s="224"/>
      <c r="R80" s="224"/>
      <c r="S80" s="223"/>
      <c r="T80" s="223"/>
      <c r="U80" s="224"/>
      <c r="V80" s="224"/>
      <c r="W80" s="224"/>
      <c r="X80" s="224"/>
      <c r="Y80" s="223"/>
      <c r="Z80" s="223"/>
      <c r="AA80" s="223"/>
      <c r="AB80" s="224"/>
      <c r="AC80" s="224"/>
      <c r="AD80" s="244"/>
      <c r="AE80" s="222"/>
      <c r="AF80" s="224"/>
      <c r="AG80" s="224"/>
      <c r="AH80" s="224"/>
    </row>
    <row r="81">
      <c r="A81" s="253"/>
      <c r="B81" s="32"/>
      <c r="C81" s="207" t="s">
        <v>123</v>
      </c>
      <c r="D81" s="22">
        <f t="shared" si="3"/>
        <v>3.143055556</v>
      </c>
      <c r="E81" s="223" t="s">
        <v>284</v>
      </c>
      <c r="F81" s="263">
        <v>0.3680555555555556</v>
      </c>
      <c r="G81" s="265">
        <v>0.3958333333333333</v>
      </c>
      <c r="H81" s="224">
        <v>0.37569444444444444</v>
      </c>
      <c r="I81" s="222">
        <v>0.38958333333333334</v>
      </c>
      <c r="J81" s="223" t="s">
        <v>284</v>
      </c>
      <c r="K81" s="223" t="s">
        <v>284</v>
      </c>
      <c r="L81" s="222">
        <v>0.39861111111111114</v>
      </c>
      <c r="M81" s="222">
        <v>0.41805555555555557</v>
      </c>
      <c r="N81" s="222">
        <v>0.40069444444444446</v>
      </c>
      <c r="O81" s="222">
        <v>0.39652777777777776</v>
      </c>
      <c r="P81" s="220"/>
      <c r="Q81" s="224"/>
      <c r="R81" s="224"/>
      <c r="S81" s="223"/>
      <c r="T81" s="223"/>
      <c r="U81" s="223"/>
      <c r="V81" s="223"/>
      <c r="W81" s="223"/>
      <c r="X81" s="223"/>
      <c r="Y81" s="223"/>
      <c r="Z81" s="223"/>
      <c r="AA81" s="223"/>
      <c r="AB81" s="224"/>
      <c r="AC81" s="224"/>
      <c r="AD81" s="244"/>
      <c r="AE81" s="224"/>
      <c r="AF81" s="224"/>
      <c r="AG81" s="224"/>
      <c r="AH81" s="224"/>
    </row>
    <row r="82">
      <c r="A82" s="252"/>
      <c r="B82" s="32"/>
      <c r="C82" s="206" t="s">
        <v>111</v>
      </c>
      <c r="D82" s="22">
        <f t="shared" si="3"/>
        <v>3.640972222</v>
      </c>
      <c r="E82" s="224">
        <v>0.3645833333333333</v>
      </c>
      <c r="F82" s="265">
        <v>0.34444444444444444</v>
      </c>
      <c r="G82" s="263">
        <v>0.37569444444444444</v>
      </c>
      <c r="H82" s="222">
        <v>0.35625</v>
      </c>
      <c r="I82" s="224">
        <v>0.37569444444444444</v>
      </c>
      <c r="J82" s="224">
        <v>0.3611111111111111</v>
      </c>
      <c r="K82" s="223" t="s">
        <v>284</v>
      </c>
      <c r="L82" s="224">
        <v>0.3541666666666667</v>
      </c>
      <c r="M82" s="224">
        <v>0.36319444444444443</v>
      </c>
      <c r="N82" s="224">
        <v>0.36041666666666666</v>
      </c>
      <c r="O82" s="222">
        <v>0.3854166666666667</v>
      </c>
      <c r="P82" s="220"/>
      <c r="Q82" s="222"/>
      <c r="R82" s="222"/>
      <c r="S82" s="222"/>
      <c r="T82" s="223"/>
      <c r="U82" s="222"/>
      <c r="V82" s="222"/>
      <c r="W82" s="222"/>
      <c r="X82" s="224"/>
      <c r="Y82" s="224"/>
      <c r="Z82" s="222"/>
      <c r="AA82" s="223"/>
      <c r="AB82" s="224"/>
      <c r="AC82" s="224"/>
      <c r="AD82" s="244"/>
      <c r="AE82" s="224"/>
      <c r="AF82" s="222"/>
      <c r="AG82" s="222"/>
      <c r="AH82" s="222"/>
    </row>
    <row r="83">
      <c r="A83" s="253"/>
      <c r="B83" s="32"/>
      <c r="C83" s="207" t="s">
        <v>114</v>
      </c>
      <c r="D83" s="22">
        <f t="shared" si="3"/>
        <v>3.854861111</v>
      </c>
      <c r="E83" s="224">
        <v>0.35</v>
      </c>
      <c r="F83" s="263">
        <v>0.3576388888888889</v>
      </c>
      <c r="G83" s="263">
        <v>0.3611111111111111</v>
      </c>
      <c r="H83" s="224">
        <v>0.3597222222222222</v>
      </c>
      <c r="I83" s="223" t="s">
        <v>284</v>
      </c>
      <c r="J83" s="224">
        <v>0.5409722222222222</v>
      </c>
      <c r="K83" s="224">
        <v>0.5923611111111111</v>
      </c>
      <c r="L83" s="224">
        <v>0.5493055555555556</v>
      </c>
      <c r="M83" s="224">
        <v>0.38055555555555554</v>
      </c>
      <c r="N83" s="224">
        <v>0.36319444444444443</v>
      </c>
      <c r="O83" s="223" t="s">
        <v>425</v>
      </c>
      <c r="P83" s="220"/>
      <c r="Q83" s="223"/>
      <c r="R83" s="223"/>
      <c r="S83" s="223"/>
      <c r="T83" s="223"/>
      <c r="U83" s="223"/>
      <c r="V83" s="224"/>
      <c r="W83" s="224"/>
      <c r="X83" s="224"/>
      <c r="Y83" s="224"/>
      <c r="Z83" s="224"/>
      <c r="AA83" s="224"/>
      <c r="AB83" s="224"/>
      <c r="AC83" s="224"/>
      <c r="AD83" s="244"/>
      <c r="AE83" s="224"/>
      <c r="AF83" s="222"/>
      <c r="AG83" s="222"/>
      <c r="AH83" s="222"/>
    </row>
    <row r="84">
      <c r="A84" s="252"/>
      <c r="B84" s="32"/>
      <c r="C84" s="207" t="s">
        <v>129</v>
      </c>
      <c r="D84" s="22">
        <f t="shared" si="3"/>
        <v>2.742361111</v>
      </c>
      <c r="E84" s="223" t="s">
        <v>284</v>
      </c>
      <c r="F84" s="265">
        <v>0.34652777777777777</v>
      </c>
      <c r="G84" s="265">
        <v>0.33819444444444446</v>
      </c>
      <c r="H84" s="222">
        <v>0.3298611111111111</v>
      </c>
      <c r="I84" s="222">
        <v>0.3576388888888889</v>
      </c>
      <c r="J84" s="222">
        <v>0.36041666666666666</v>
      </c>
      <c r="K84" s="223" t="s">
        <v>284</v>
      </c>
      <c r="L84" s="223" t="s">
        <v>284</v>
      </c>
      <c r="M84" s="222">
        <v>0.33194444444444443</v>
      </c>
      <c r="N84" s="222">
        <v>0.3423611111111111</v>
      </c>
      <c r="O84" s="222">
        <v>0.33541666666666664</v>
      </c>
      <c r="P84" s="220"/>
      <c r="Q84" s="222"/>
      <c r="R84" s="223"/>
      <c r="S84" s="223"/>
      <c r="T84" s="223"/>
      <c r="U84" s="222"/>
      <c r="V84" s="222"/>
      <c r="W84" s="222"/>
      <c r="X84" s="222"/>
      <c r="Y84" s="222"/>
      <c r="Z84" s="223"/>
      <c r="AA84" s="222"/>
      <c r="AB84" s="222"/>
      <c r="AC84" s="222"/>
      <c r="AD84" s="244"/>
      <c r="AE84" s="223"/>
      <c r="AF84" s="222"/>
      <c r="AG84" s="222"/>
      <c r="AH84" s="222"/>
    </row>
    <row r="85">
      <c r="A85" s="252"/>
      <c r="B85" s="32"/>
      <c r="C85" s="206" t="s">
        <v>126</v>
      </c>
      <c r="D85" s="22">
        <f t="shared" si="3"/>
        <v>3.790277778</v>
      </c>
      <c r="E85" s="224">
        <v>0.3736111111111111</v>
      </c>
      <c r="F85" s="264" t="s">
        <v>284</v>
      </c>
      <c r="G85" s="263">
        <v>0.3638888888888889</v>
      </c>
      <c r="H85" s="224">
        <v>0.37569444444444444</v>
      </c>
      <c r="I85" s="222">
        <v>0.3701388888888889</v>
      </c>
      <c r="J85" s="222">
        <v>0.4576388888888889</v>
      </c>
      <c r="K85" s="222">
        <v>0.4083333333333333</v>
      </c>
      <c r="L85" s="222">
        <v>0.36041666666666666</v>
      </c>
      <c r="M85" s="224">
        <v>0.36666666666666664</v>
      </c>
      <c r="N85" s="224">
        <v>0.3597222222222222</v>
      </c>
      <c r="O85" s="222">
        <v>0.3541666666666667</v>
      </c>
      <c r="P85" s="220"/>
      <c r="Q85" s="224"/>
      <c r="R85" s="222"/>
      <c r="S85" s="222"/>
      <c r="T85" s="224"/>
      <c r="U85" s="222"/>
      <c r="V85" s="222"/>
      <c r="W85" s="223"/>
      <c r="X85" s="224"/>
      <c r="Y85" s="222"/>
      <c r="Z85" s="222"/>
      <c r="AA85" s="224"/>
      <c r="AB85" s="222"/>
      <c r="AC85" s="224"/>
      <c r="AD85" s="244"/>
      <c r="AE85" s="224"/>
      <c r="AF85" s="222"/>
      <c r="AG85" s="222"/>
      <c r="AH85" s="222"/>
    </row>
    <row r="86">
      <c r="A86" s="253"/>
      <c r="B86" s="32"/>
      <c r="C86" s="206" t="s">
        <v>287</v>
      </c>
      <c r="D86" s="22">
        <f t="shared" si="3"/>
        <v>3.095138889</v>
      </c>
      <c r="E86" s="224">
        <v>0.37569444444444444</v>
      </c>
      <c r="F86" s="265">
        <v>0.3548611111111111</v>
      </c>
      <c r="G86" s="265">
        <v>0.33611111111111114</v>
      </c>
      <c r="H86" s="223" t="s">
        <v>284</v>
      </c>
      <c r="I86" s="222">
        <v>0.3375</v>
      </c>
      <c r="J86" s="222">
        <v>0.34097222222222223</v>
      </c>
      <c r="K86" s="222">
        <v>0.3333333333333333</v>
      </c>
      <c r="L86" s="222">
        <v>0.3375</v>
      </c>
      <c r="M86" s="223" t="s">
        <v>284</v>
      </c>
      <c r="N86" s="222">
        <v>0.33541666666666664</v>
      </c>
      <c r="O86" s="224">
        <v>0.34375</v>
      </c>
      <c r="P86" s="220"/>
      <c r="Q86" s="222"/>
      <c r="R86" s="222"/>
      <c r="S86" s="222"/>
      <c r="T86" s="222"/>
      <c r="U86" s="222"/>
      <c r="V86" s="222"/>
      <c r="W86" s="224"/>
      <c r="X86" s="223"/>
      <c r="Y86" s="224"/>
      <c r="Z86" s="222"/>
      <c r="AA86" s="224"/>
      <c r="AB86" s="222"/>
      <c r="AC86" s="222"/>
      <c r="AD86" s="244"/>
      <c r="AE86" s="222"/>
      <c r="AF86" s="224"/>
      <c r="AG86" s="222"/>
      <c r="AH86" s="223"/>
    </row>
    <row r="87">
      <c r="A87" s="252"/>
      <c r="B87" s="32"/>
      <c r="C87" s="208" t="s">
        <v>162</v>
      </c>
      <c r="D87" s="22">
        <f t="shared" si="3"/>
        <v>4.675</v>
      </c>
      <c r="E87" s="224">
        <v>0.5777777777777777</v>
      </c>
      <c r="F87" s="263">
        <v>0.54375</v>
      </c>
      <c r="G87" s="263">
        <v>0.4840277777777778</v>
      </c>
      <c r="H87" s="224">
        <v>0.5631944444444444</v>
      </c>
      <c r="I87" s="222">
        <v>0.4576388888888889</v>
      </c>
      <c r="J87" s="224">
        <v>0.37569444444444444</v>
      </c>
      <c r="K87" s="223" t="s">
        <v>284</v>
      </c>
      <c r="L87" s="222">
        <v>0.3902777777777778</v>
      </c>
      <c r="M87" s="222">
        <v>0.5194444444444445</v>
      </c>
      <c r="N87" s="222">
        <v>0.35694444444444445</v>
      </c>
      <c r="O87" s="222">
        <v>0.40625</v>
      </c>
      <c r="P87" s="220"/>
      <c r="Q87" s="224"/>
      <c r="R87" s="222"/>
      <c r="S87" s="222"/>
      <c r="T87" s="223"/>
      <c r="U87" s="224"/>
      <c r="V87" s="222"/>
      <c r="W87" s="224"/>
      <c r="X87" s="224"/>
      <c r="Y87" s="224"/>
      <c r="Z87" s="224"/>
      <c r="AA87" s="223"/>
      <c r="AB87" s="222"/>
      <c r="AC87" s="224"/>
      <c r="AD87" s="244"/>
      <c r="AE87" s="224"/>
      <c r="AF87" s="224"/>
      <c r="AG87" s="224"/>
      <c r="AH87" s="224"/>
    </row>
    <row r="88">
      <c r="A88" s="253"/>
      <c r="B88" s="32"/>
      <c r="C88" s="206" t="s">
        <v>117</v>
      </c>
      <c r="D88" s="22">
        <f t="shared" si="3"/>
        <v>3.871527778</v>
      </c>
      <c r="E88" s="222">
        <v>0.3611111111111111</v>
      </c>
      <c r="F88" s="263">
        <v>0.29583333333333334</v>
      </c>
      <c r="G88" s="263">
        <v>0.3645833333333333</v>
      </c>
      <c r="H88" s="222">
        <v>0.3951388888888889</v>
      </c>
      <c r="I88" s="224">
        <v>0.35555555555555557</v>
      </c>
      <c r="J88" s="224">
        <v>0.3284722222222222</v>
      </c>
      <c r="K88" s="223" t="s">
        <v>284</v>
      </c>
      <c r="L88" s="222">
        <v>0.4756944444444444</v>
      </c>
      <c r="M88" s="222">
        <v>0.4083333333333333</v>
      </c>
      <c r="N88" s="222">
        <v>0.46875</v>
      </c>
      <c r="O88" s="222">
        <v>0.41805555555555557</v>
      </c>
      <c r="P88" s="220"/>
      <c r="Q88" s="224"/>
      <c r="R88" s="223"/>
      <c r="S88" s="120"/>
      <c r="T88" s="223"/>
      <c r="U88" s="222"/>
      <c r="V88" s="222"/>
      <c r="W88" s="224"/>
      <c r="X88" s="224"/>
      <c r="Y88" s="224"/>
      <c r="Z88" s="224"/>
      <c r="AA88" s="223"/>
      <c r="AB88" s="222"/>
      <c r="AC88" s="224"/>
      <c r="AD88" s="244"/>
      <c r="AE88" s="224"/>
      <c r="AF88" s="224"/>
      <c r="AG88" s="222"/>
      <c r="AH88" s="222"/>
    </row>
    <row r="89">
      <c r="A89" s="252"/>
      <c r="B89" s="32"/>
      <c r="C89" s="206" t="s">
        <v>237</v>
      </c>
      <c r="D89" s="22">
        <f t="shared" si="3"/>
        <v>3.103472222</v>
      </c>
      <c r="E89" s="224">
        <v>0.36875</v>
      </c>
      <c r="F89" s="264" t="s">
        <v>284</v>
      </c>
      <c r="G89" s="265">
        <v>0.3388888888888889</v>
      </c>
      <c r="H89" s="222">
        <v>0.3347222222222222</v>
      </c>
      <c r="I89" s="222">
        <v>0.34791666666666665</v>
      </c>
      <c r="J89" s="222">
        <v>0.34375</v>
      </c>
      <c r="K89" s="224">
        <v>0.35208333333333336</v>
      </c>
      <c r="L89" s="222">
        <v>0.3375</v>
      </c>
      <c r="M89" s="222">
        <v>0.3416666666666667</v>
      </c>
      <c r="N89" s="222">
        <v>0.33819444444444446</v>
      </c>
      <c r="O89" s="223" t="s">
        <v>284</v>
      </c>
      <c r="P89" s="220"/>
      <c r="Q89" s="222"/>
      <c r="R89" s="223"/>
      <c r="S89" s="224"/>
      <c r="T89" s="223"/>
      <c r="U89" s="222"/>
      <c r="V89" s="222"/>
      <c r="W89" s="222"/>
      <c r="X89" s="222"/>
      <c r="Y89" s="222"/>
      <c r="Z89" s="224"/>
      <c r="AA89" s="224"/>
      <c r="AB89" s="224"/>
      <c r="AC89" s="223"/>
      <c r="AD89" s="244"/>
      <c r="AE89" s="224"/>
      <c r="AF89" s="223"/>
      <c r="AG89" s="224"/>
      <c r="AH89" s="222"/>
    </row>
    <row r="90">
      <c r="A90" s="252"/>
      <c r="B90" s="15"/>
      <c r="C90" s="206" t="s">
        <v>288</v>
      </c>
      <c r="D90" s="22">
        <f t="shared" si="3"/>
        <v>3.056944444</v>
      </c>
      <c r="E90" s="222">
        <v>0.3229166666666667</v>
      </c>
      <c r="F90" s="265">
        <v>0.3347222222222222</v>
      </c>
      <c r="G90" s="265">
        <v>0.33541666666666664</v>
      </c>
      <c r="H90" s="222">
        <v>0.33541666666666664</v>
      </c>
      <c r="I90" s="223" t="s">
        <v>284</v>
      </c>
      <c r="J90" s="224">
        <v>0.3541666666666667</v>
      </c>
      <c r="K90" s="222">
        <v>0.3368055555555556</v>
      </c>
      <c r="L90" s="223" t="s">
        <v>284</v>
      </c>
      <c r="M90" s="222">
        <v>0.35555555555555557</v>
      </c>
      <c r="N90" s="222">
        <v>0.3472222222222222</v>
      </c>
      <c r="O90" s="222">
        <v>0.3347222222222222</v>
      </c>
      <c r="P90" s="220"/>
      <c r="Q90" s="224"/>
      <c r="R90" s="224"/>
      <c r="S90" s="224"/>
      <c r="T90" s="224"/>
      <c r="U90" s="224"/>
      <c r="V90" s="224"/>
      <c r="W90" s="222"/>
      <c r="X90" s="222"/>
      <c r="Y90" s="222"/>
      <c r="Z90" s="222"/>
      <c r="AA90" s="224"/>
      <c r="AB90" s="223"/>
      <c r="AC90" s="222"/>
      <c r="AD90" s="244"/>
      <c r="AE90" s="224"/>
      <c r="AF90" s="224"/>
      <c r="AG90" s="224"/>
      <c r="AH90" s="224"/>
    </row>
    <row r="91">
      <c r="H91" s="258"/>
      <c r="I91" s="258"/>
      <c r="T91" s="258"/>
      <c r="U91" s="65"/>
    </row>
    <row r="92">
      <c r="U92" s="65"/>
    </row>
    <row r="93">
      <c r="U93" s="65"/>
    </row>
    <row r="94">
      <c r="U94" s="65"/>
    </row>
    <row r="95">
      <c r="U95" s="65"/>
    </row>
    <row r="96">
      <c r="U96" s="65"/>
    </row>
    <row r="97">
      <c r="U97" s="65"/>
    </row>
    <row r="98">
      <c r="U98" s="65"/>
    </row>
    <row r="99">
      <c r="U99" s="65"/>
    </row>
    <row r="100">
      <c r="U100" s="65"/>
    </row>
    <row r="101">
      <c r="U101" s="65"/>
    </row>
    <row r="102">
      <c r="U102" s="65"/>
    </row>
    <row r="103">
      <c r="U103" s="65"/>
    </row>
    <row r="104">
      <c r="U104" s="65"/>
    </row>
    <row r="105">
      <c r="U105" s="65"/>
    </row>
    <row r="106">
      <c r="U106" s="65"/>
    </row>
    <row r="107">
      <c r="U107" s="65"/>
    </row>
    <row r="108">
      <c r="U108" s="65"/>
    </row>
    <row r="109">
      <c r="U109" s="65"/>
    </row>
    <row r="110">
      <c r="U110" s="65"/>
    </row>
    <row r="111">
      <c r="U111" s="65"/>
    </row>
    <row r="112">
      <c r="U112" s="65"/>
    </row>
    <row r="113">
      <c r="U113" s="65"/>
    </row>
    <row r="114">
      <c r="U114" s="65"/>
    </row>
    <row r="115">
      <c r="U115" s="65"/>
    </row>
    <row r="116">
      <c r="U116" s="65"/>
    </row>
    <row r="117">
      <c r="U117" s="65"/>
    </row>
    <row r="118">
      <c r="U118" s="65"/>
    </row>
    <row r="119">
      <c r="U119" s="65"/>
    </row>
    <row r="120">
      <c r="U120" s="65"/>
    </row>
    <row r="121">
      <c r="U121" s="65"/>
    </row>
    <row r="122">
      <c r="U122" s="65"/>
    </row>
    <row r="123">
      <c r="U123" s="65"/>
    </row>
    <row r="124">
      <c r="U124" s="65"/>
    </row>
    <row r="125">
      <c r="U125" s="65"/>
    </row>
    <row r="126">
      <c r="U126" s="65"/>
    </row>
    <row r="127">
      <c r="U127" s="65"/>
    </row>
    <row r="128">
      <c r="U128" s="65"/>
    </row>
    <row r="129">
      <c r="U129" s="65"/>
    </row>
    <row r="130">
      <c r="U130" s="65"/>
    </row>
    <row r="131">
      <c r="U131" s="65"/>
    </row>
    <row r="132">
      <c r="U132" s="65"/>
    </row>
    <row r="133">
      <c r="U133" s="65"/>
    </row>
    <row r="134">
      <c r="U134" s="65"/>
    </row>
    <row r="135">
      <c r="U135" s="65"/>
    </row>
    <row r="136">
      <c r="U136" s="65"/>
    </row>
    <row r="137">
      <c r="U137" s="65"/>
    </row>
    <row r="138">
      <c r="U138" s="65"/>
    </row>
    <row r="139">
      <c r="U139" s="65"/>
    </row>
    <row r="140">
      <c r="U140" s="65"/>
    </row>
    <row r="141">
      <c r="U141" s="65"/>
    </row>
    <row r="142">
      <c r="U142" s="65"/>
    </row>
    <row r="143">
      <c r="U143" s="65"/>
    </row>
    <row r="144">
      <c r="U144" s="65"/>
    </row>
    <row r="145">
      <c r="U145" s="65"/>
    </row>
    <row r="146">
      <c r="U146" s="65"/>
    </row>
    <row r="147">
      <c r="U147" s="65"/>
    </row>
    <row r="148">
      <c r="U148" s="65"/>
    </row>
    <row r="149">
      <c r="U149" s="65"/>
    </row>
    <row r="150">
      <c r="U150" s="65"/>
    </row>
    <row r="151">
      <c r="U151" s="65"/>
    </row>
    <row r="152">
      <c r="U152" s="65"/>
    </row>
    <row r="153">
      <c r="U153" s="65"/>
    </row>
    <row r="154">
      <c r="U154" s="65"/>
    </row>
    <row r="155">
      <c r="U155" s="65"/>
    </row>
    <row r="156">
      <c r="U156" s="65"/>
    </row>
    <row r="157">
      <c r="U157" s="65"/>
    </row>
    <row r="158">
      <c r="U158" s="65"/>
    </row>
    <row r="159">
      <c r="U159" s="65"/>
    </row>
    <row r="160">
      <c r="U160" s="65"/>
    </row>
    <row r="161">
      <c r="U161" s="65"/>
    </row>
    <row r="162">
      <c r="U162" s="65"/>
    </row>
    <row r="163">
      <c r="U163" s="65"/>
    </row>
    <row r="164">
      <c r="U164" s="65"/>
    </row>
    <row r="165">
      <c r="U165" s="65"/>
    </row>
    <row r="166">
      <c r="U166" s="65"/>
    </row>
    <row r="167">
      <c r="U167" s="65"/>
    </row>
    <row r="168">
      <c r="U168" s="65"/>
    </row>
    <row r="169">
      <c r="U169" s="65"/>
    </row>
    <row r="170">
      <c r="U170" s="65"/>
    </row>
    <row r="171">
      <c r="U171" s="65"/>
    </row>
    <row r="172">
      <c r="U172" s="65"/>
    </row>
    <row r="173">
      <c r="U173" s="65"/>
    </row>
    <row r="174">
      <c r="U174" s="65"/>
    </row>
    <row r="175">
      <c r="U175" s="65"/>
    </row>
    <row r="176">
      <c r="U176" s="65"/>
    </row>
    <row r="177">
      <c r="U177" s="65"/>
    </row>
    <row r="178">
      <c r="U178" s="65"/>
    </row>
    <row r="179">
      <c r="U179" s="65"/>
    </row>
    <row r="180">
      <c r="U180" s="65"/>
    </row>
    <row r="181">
      <c r="U181" s="65"/>
    </row>
    <row r="182">
      <c r="U182" s="65"/>
    </row>
    <row r="183">
      <c r="U183" s="65"/>
    </row>
    <row r="184">
      <c r="U184" s="65"/>
    </row>
    <row r="185">
      <c r="U185" s="65"/>
    </row>
    <row r="186">
      <c r="U186" s="65"/>
    </row>
    <row r="187">
      <c r="U187" s="65"/>
    </row>
    <row r="188">
      <c r="U188" s="65"/>
    </row>
    <row r="189">
      <c r="U189" s="65"/>
    </row>
    <row r="190">
      <c r="U190" s="65"/>
    </row>
    <row r="191">
      <c r="U191" s="65"/>
    </row>
    <row r="192">
      <c r="U192" s="65"/>
    </row>
    <row r="193">
      <c r="U193" s="65"/>
    </row>
    <row r="194">
      <c r="U194" s="65"/>
    </row>
    <row r="195">
      <c r="U195" s="65"/>
    </row>
    <row r="196">
      <c r="U196" s="65"/>
    </row>
    <row r="197">
      <c r="U197" s="65"/>
    </row>
    <row r="198">
      <c r="U198" s="65"/>
    </row>
    <row r="199">
      <c r="U199" s="65"/>
    </row>
    <row r="200">
      <c r="U200" s="65"/>
    </row>
    <row r="201">
      <c r="U201" s="65"/>
    </row>
    <row r="202">
      <c r="U202" s="65"/>
    </row>
    <row r="203">
      <c r="U203" s="65"/>
    </row>
    <row r="204">
      <c r="U204" s="65"/>
    </row>
    <row r="205">
      <c r="U205" s="65"/>
    </row>
    <row r="206">
      <c r="U206" s="65"/>
    </row>
    <row r="207">
      <c r="U207" s="65"/>
    </row>
    <row r="208">
      <c r="U208" s="65"/>
    </row>
    <row r="209">
      <c r="U209" s="65"/>
    </row>
    <row r="210">
      <c r="U210" s="65"/>
    </row>
    <row r="211">
      <c r="U211" s="65"/>
    </row>
    <row r="212">
      <c r="U212" s="65"/>
    </row>
    <row r="213">
      <c r="U213" s="65"/>
    </row>
    <row r="214">
      <c r="U214" s="65"/>
    </row>
    <row r="215">
      <c r="U215" s="65"/>
    </row>
    <row r="216">
      <c r="U216" s="65"/>
    </row>
    <row r="217">
      <c r="U217" s="65"/>
    </row>
    <row r="218">
      <c r="U218" s="65"/>
    </row>
    <row r="219">
      <c r="U219" s="65"/>
    </row>
    <row r="220">
      <c r="U220" s="65"/>
    </row>
    <row r="221">
      <c r="U221" s="65"/>
    </row>
    <row r="222">
      <c r="U222" s="65"/>
    </row>
    <row r="223">
      <c r="U223" s="65"/>
    </row>
    <row r="224">
      <c r="U224" s="65"/>
    </row>
    <row r="225">
      <c r="U225" s="65"/>
    </row>
    <row r="226">
      <c r="U226" s="65"/>
    </row>
    <row r="227">
      <c r="U227" s="65"/>
    </row>
    <row r="228">
      <c r="U228" s="65"/>
    </row>
    <row r="229">
      <c r="U229" s="65"/>
    </row>
    <row r="230">
      <c r="U230" s="65"/>
    </row>
    <row r="231">
      <c r="U231" s="65"/>
    </row>
    <row r="232">
      <c r="U232" s="65"/>
    </row>
    <row r="233">
      <c r="U233" s="65"/>
    </row>
    <row r="234">
      <c r="U234" s="65"/>
    </row>
    <row r="235">
      <c r="U235" s="65"/>
    </row>
    <row r="236">
      <c r="U236" s="65"/>
    </row>
    <row r="237">
      <c r="U237" s="65"/>
    </row>
    <row r="238">
      <c r="U238" s="65"/>
    </row>
    <row r="239">
      <c r="U239" s="65"/>
    </row>
    <row r="240">
      <c r="U240" s="65"/>
    </row>
    <row r="241">
      <c r="U241" s="65"/>
    </row>
    <row r="242">
      <c r="U242" s="65"/>
    </row>
    <row r="243">
      <c r="U243" s="65"/>
    </row>
    <row r="244">
      <c r="U244" s="65"/>
    </row>
    <row r="245">
      <c r="U245" s="65"/>
    </row>
    <row r="246">
      <c r="U246" s="65"/>
    </row>
    <row r="247">
      <c r="U247" s="65"/>
    </row>
    <row r="248">
      <c r="U248" s="65"/>
    </row>
    <row r="249">
      <c r="U249" s="65"/>
    </row>
    <row r="250">
      <c r="U250" s="65"/>
    </row>
    <row r="251">
      <c r="U251" s="65"/>
    </row>
    <row r="252">
      <c r="U252" s="65"/>
    </row>
    <row r="253">
      <c r="U253" s="65"/>
    </row>
    <row r="254">
      <c r="U254" s="65"/>
    </row>
    <row r="255">
      <c r="U255" s="65"/>
    </row>
    <row r="256">
      <c r="U256" s="65"/>
    </row>
    <row r="257">
      <c r="U257" s="65"/>
    </row>
    <row r="258">
      <c r="U258" s="65"/>
    </row>
    <row r="259">
      <c r="U259" s="65"/>
    </row>
    <row r="260">
      <c r="U260" s="65"/>
    </row>
    <row r="261">
      <c r="U261" s="65"/>
    </row>
    <row r="262">
      <c r="U262" s="65"/>
    </row>
    <row r="263">
      <c r="U263" s="65"/>
    </row>
    <row r="264">
      <c r="U264" s="65"/>
    </row>
    <row r="265">
      <c r="U265" s="65"/>
    </row>
    <row r="266">
      <c r="U266" s="65"/>
    </row>
    <row r="267">
      <c r="U267" s="65"/>
    </row>
    <row r="268">
      <c r="U268" s="65"/>
    </row>
    <row r="269">
      <c r="U269" s="65"/>
    </row>
    <row r="270">
      <c r="U270" s="65"/>
    </row>
    <row r="271">
      <c r="U271" s="65"/>
    </row>
    <row r="272">
      <c r="U272" s="65"/>
    </row>
    <row r="273">
      <c r="U273" s="65"/>
    </row>
    <row r="274">
      <c r="U274" s="65"/>
    </row>
    <row r="275">
      <c r="U275" s="65"/>
    </row>
    <row r="276">
      <c r="U276" s="65"/>
    </row>
    <row r="277">
      <c r="U277" s="65"/>
    </row>
    <row r="278">
      <c r="U278" s="65"/>
    </row>
    <row r="279">
      <c r="U279" s="65"/>
    </row>
    <row r="280">
      <c r="U280" s="65"/>
    </row>
    <row r="281">
      <c r="U281" s="65"/>
    </row>
    <row r="282">
      <c r="U282" s="65"/>
    </row>
    <row r="283">
      <c r="U283" s="65"/>
    </row>
    <row r="284">
      <c r="U284" s="65"/>
    </row>
    <row r="285">
      <c r="U285" s="65"/>
    </row>
    <row r="286">
      <c r="U286" s="65"/>
    </row>
    <row r="287">
      <c r="U287" s="65"/>
    </row>
    <row r="288">
      <c r="U288" s="65"/>
    </row>
    <row r="289">
      <c r="U289" s="65"/>
    </row>
    <row r="290">
      <c r="U290" s="65"/>
    </row>
    <row r="291">
      <c r="U291" s="65"/>
    </row>
    <row r="292">
      <c r="U292" s="65"/>
    </row>
    <row r="293">
      <c r="U293" s="65"/>
    </row>
    <row r="294">
      <c r="U294" s="65"/>
    </row>
    <row r="295">
      <c r="U295" s="65"/>
    </row>
    <row r="296">
      <c r="U296" s="65"/>
    </row>
    <row r="297">
      <c r="U297" s="65"/>
    </row>
    <row r="298">
      <c r="U298" s="65"/>
    </row>
    <row r="299">
      <c r="U299" s="65"/>
    </row>
    <row r="300">
      <c r="U300" s="65"/>
    </row>
    <row r="301">
      <c r="U301" s="65"/>
    </row>
    <row r="302">
      <c r="U302" s="65"/>
    </row>
    <row r="303">
      <c r="U303" s="65"/>
    </row>
    <row r="304">
      <c r="U304" s="65"/>
    </row>
    <row r="305">
      <c r="U305" s="65"/>
    </row>
    <row r="306">
      <c r="U306" s="65"/>
    </row>
    <row r="307">
      <c r="U307" s="65"/>
    </row>
    <row r="308">
      <c r="U308" s="65"/>
    </row>
    <row r="309">
      <c r="U309" s="65"/>
    </row>
    <row r="310">
      <c r="U310" s="65"/>
    </row>
    <row r="311">
      <c r="U311" s="65"/>
    </row>
    <row r="312">
      <c r="U312" s="65"/>
    </row>
    <row r="313">
      <c r="U313" s="65"/>
    </row>
    <row r="314">
      <c r="U314" s="65"/>
    </row>
    <row r="315">
      <c r="U315" s="65"/>
    </row>
    <row r="316">
      <c r="U316" s="65"/>
    </row>
    <row r="317">
      <c r="U317" s="65"/>
    </row>
    <row r="318">
      <c r="U318" s="65"/>
    </row>
    <row r="319">
      <c r="U319" s="65"/>
    </row>
    <row r="320">
      <c r="U320" s="65"/>
    </row>
    <row r="321">
      <c r="U321" s="65"/>
    </row>
    <row r="322">
      <c r="U322" s="65"/>
    </row>
    <row r="323">
      <c r="U323" s="65"/>
    </row>
    <row r="324">
      <c r="U324" s="65"/>
    </row>
    <row r="325">
      <c r="U325" s="65"/>
    </row>
    <row r="326">
      <c r="U326" s="65"/>
    </row>
    <row r="327">
      <c r="U327" s="65"/>
    </row>
    <row r="328">
      <c r="U328" s="65"/>
    </row>
    <row r="329">
      <c r="U329" s="65"/>
    </row>
    <row r="330">
      <c r="U330" s="65"/>
    </row>
    <row r="331">
      <c r="U331" s="65"/>
    </row>
    <row r="332">
      <c r="U332" s="65"/>
    </row>
    <row r="333">
      <c r="U333" s="65"/>
    </row>
    <row r="334">
      <c r="U334" s="65"/>
    </row>
    <row r="335">
      <c r="U335" s="65"/>
    </row>
    <row r="336">
      <c r="U336" s="65"/>
    </row>
    <row r="337">
      <c r="U337" s="65"/>
    </row>
    <row r="338">
      <c r="U338" s="65"/>
    </row>
    <row r="339">
      <c r="U339" s="65"/>
    </row>
    <row r="340">
      <c r="U340" s="65"/>
    </row>
    <row r="341">
      <c r="U341" s="65"/>
    </row>
    <row r="342">
      <c r="U342" s="65"/>
    </row>
    <row r="343">
      <c r="U343" s="65"/>
    </row>
    <row r="344">
      <c r="U344" s="65"/>
    </row>
    <row r="345">
      <c r="U345" s="65"/>
    </row>
    <row r="346">
      <c r="U346" s="65"/>
    </row>
    <row r="347">
      <c r="U347" s="65"/>
    </row>
    <row r="348">
      <c r="U348" s="65"/>
    </row>
    <row r="349">
      <c r="U349" s="65"/>
    </row>
    <row r="350">
      <c r="U350" s="65"/>
    </row>
    <row r="351">
      <c r="U351" s="65"/>
    </row>
    <row r="352">
      <c r="U352" s="65"/>
    </row>
    <row r="353">
      <c r="U353" s="65"/>
    </row>
    <row r="354">
      <c r="U354" s="65"/>
    </row>
    <row r="355">
      <c r="U355" s="65"/>
    </row>
    <row r="356">
      <c r="U356" s="65"/>
    </row>
    <row r="357">
      <c r="U357" s="65"/>
    </row>
    <row r="358">
      <c r="U358" s="65"/>
    </row>
    <row r="359">
      <c r="U359" s="65"/>
    </row>
    <row r="360">
      <c r="U360" s="65"/>
    </row>
    <row r="361">
      <c r="U361" s="65"/>
    </row>
    <row r="362">
      <c r="U362" s="65"/>
    </row>
    <row r="363">
      <c r="U363" s="65"/>
    </row>
    <row r="364">
      <c r="U364" s="65"/>
    </row>
    <row r="365">
      <c r="U365" s="65"/>
    </row>
    <row r="366">
      <c r="U366" s="65"/>
    </row>
    <row r="367">
      <c r="U367" s="65"/>
    </row>
    <row r="368">
      <c r="U368" s="65"/>
    </row>
    <row r="369">
      <c r="U369" s="65"/>
    </row>
    <row r="370">
      <c r="U370" s="65"/>
    </row>
    <row r="371">
      <c r="U371" s="65"/>
    </row>
    <row r="372">
      <c r="U372" s="65"/>
    </row>
    <row r="373">
      <c r="U373" s="65"/>
    </row>
    <row r="374">
      <c r="U374" s="65"/>
    </row>
    <row r="375">
      <c r="U375" s="65"/>
    </row>
    <row r="376">
      <c r="U376" s="65"/>
    </row>
    <row r="377">
      <c r="U377" s="65"/>
    </row>
    <row r="378">
      <c r="U378" s="65"/>
    </row>
    <row r="379">
      <c r="U379" s="65"/>
    </row>
    <row r="380">
      <c r="U380" s="65"/>
    </row>
    <row r="381">
      <c r="U381" s="65"/>
    </row>
    <row r="382">
      <c r="U382" s="65"/>
    </row>
    <row r="383">
      <c r="U383" s="65"/>
    </row>
    <row r="384">
      <c r="U384" s="65"/>
    </row>
    <row r="385">
      <c r="U385" s="65"/>
    </row>
    <row r="386">
      <c r="U386" s="65"/>
    </row>
    <row r="387">
      <c r="U387" s="65"/>
    </row>
    <row r="388">
      <c r="U388" s="65"/>
    </row>
    <row r="389">
      <c r="U389" s="65"/>
    </row>
    <row r="390">
      <c r="U390" s="65"/>
    </row>
    <row r="391">
      <c r="U391" s="65"/>
    </row>
    <row r="392">
      <c r="U392" s="65"/>
    </row>
    <row r="393">
      <c r="U393" s="65"/>
    </row>
    <row r="394">
      <c r="U394" s="65"/>
    </row>
    <row r="395">
      <c r="U395" s="65"/>
    </row>
    <row r="396">
      <c r="U396" s="65"/>
    </row>
    <row r="397">
      <c r="U397" s="65"/>
    </row>
    <row r="398">
      <c r="U398" s="65"/>
    </row>
    <row r="399">
      <c r="U399" s="65"/>
    </row>
    <row r="400">
      <c r="U400" s="65"/>
    </row>
    <row r="401">
      <c r="U401" s="65"/>
    </row>
    <row r="402">
      <c r="U402" s="65"/>
    </row>
    <row r="403">
      <c r="U403" s="65"/>
    </row>
    <row r="404">
      <c r="U404" s="65"/>
    </row>
    <row r="405">
      <c r="U405" s="65"/>
    </row>
    <row r="406">
      <c r="U406" s="65"/>
    </row>
    <row r="407">
      <c r="U407" s="65"/>
    </row>
    <row r="408">
      <c r="U408" s="65"/>
    </row>
    <row r="409">
      <c r="U409" s="65"/>
    </row>
    <row r="410">
      <c r="U410" s="65"/>
    </row>
    <row r="411">
      <c r="U411" s="65"/>
    </row>
    <row r="412">
      <c r="U412" s="65"/>
    </row>
    <row r="413">
      <c r="U413" s="65"/>
    </row>
    <row r="414">
      <c r="U414" s="65"/>
    </row>
    <row r="415">
      <c r="U415" s="65"/>
    </row>
    <row r="416">
      <c r="U416" s="65"/>
    </row>
    <row r="417">
      <c r="U417" s="65"/>
    </row>
    <row r="418">
      <c r="U418" s="65"/>
    </row>
    <row r="419">
      <c r="U419" s="65"/>
    </row>
    <row r="420">
      <c r="U420" s="65"/>
    </row>
    <row r="421">
      <c r="U421" s="65"/>
    </row>
    <row r="422">
      <c r="U422" s="65"/>
    </row>
    <row r="423">
      <c r="U423" s="65"/>
    </row>
    <row r="424">
      <c r="U424" s="65"/>
    </row>
    <row r="425">
      <c r="U425" s="65"/>
    </row>
    <row r="426">
      <c r="U426" s="65"/>
    </row>
    <row r="427">
      <c r="U427" s="65"/>
    </row>
    <row r="428">
      <c r="U428" s="65"/>
    </row>
    <row r="429">
      <c r="U429" s="65"/>
    </row>
    <row r="430">
      <c r="U430" s="65"/>
    </row>
    <row r="431">
      <c r="U431" s="65"/>
    </row>
    <row r="432">
      <c r="U432" s="65"/>
    </row>
    <row r="433">
      <c r="U433" s="65"/>
    </row>
    <row r="434">
      <c r="U434" s="65"/>
    </row>
    <row r="435">
      <c r="U435" s="65"/>
    </row>
    <row r="436">
      <c r="U436" s="65"/>
    </row>
    <row r="437">
      <c r="U437" s="65"/>
    </row>
    <row r="438">
      <c r="U438" s="65"/>
    </row>
    <row r="439">
      <c r="U439" s="65"/>
    </row>
    <row r="440">
      <c r="U440" s="65"/>
    </row>
    <row r="441">
      <c r="U441" s="65"/>
    </row>
    <row r="442">
      <c r="U442" s="65"/>
    </row>
    <row r="443">
      <c r="U443" s="65"/>
    </row>
    <row r="444">
      <c r="U444" s="65"/>
    </row>
    <row r="445">
      <c r="U445" s="65"/>
    </row>
    <row r="446">
      <c r="U446" s="65"/>
    </row>
    <row r="447">
      <c r="U447" s="65"/>
    </row>
    <row r="448">
      <c r="U448" s="65"/>
    </row>
    <row r="449">
      <c r="U449" s="65"/>
    </row>
    <row r="450">
      <c r="U450" s="65"/>
    </row>
    <row r="451">
      <c r="U451" s="65"/>
    </row>
    <row r="452">
      <c r="U452" s="65"/>
    </row>
    <row r="453">
      <c r="U453" s="65"/>
    </row>
    <row r="454">
      <c r="U454" s="65"/>
    </row>
    <row r="455">
      <c r="U455" s="65"/>
    </row>
    <row r="456">
      <c r="U456" s="65"/>
    </row>
    <row r="457">
      <c r="U457" s="65"/>
    </row>
    <row r="458">
      <c r="U458" s="65"/>
    </row>
    <row r="459">
      <c r="U459" s="65"/>
    </row>
    <row r="460">
      <c r="U460" s="65"/>
    </row>
    <row r="461">
      <c r="U461" s="65"/>
    </row>
    <row r="462">
      <c r="U462" s="65"/>
    </row>
    <row r="463">
      <c r="U463" s="65"/>
    </row>
    <row r="464">
      <c r="U464" s="65"/>
    </row>
    <row r="465">
      <c r="U465" s="65"/>
    </row>
    <row r="466">
      <c r="U466" s="65"/>
    </row>
    <row r="467">
      <c r="U467" s="65"/>
    </row>
    <row r="468">
      <c r="U468" s="65"/>
    </row>
    <row r="469">
      <c r="U469" s="65"/>
    </row>
    <row r="470">
      <c r="U470" s="65"/>
    </row>
    <row r="471">
      <c r="U471" s="65"/>
    </row>
    <row r="472">
      <c r="U472" s="65"/>
    </row>
    <row r="473">
      <c r="U473" s="65"/>
    </row>
    <row r="474">
      <c r="U474" s="65"/>
    </row>
    <row r="475">
      <c r="U475" s="65"/>
    </row>
    <row r="476">
      <c r="U476" s="65"/>
    </row>
    <row r="477">
      <c r="U477" s="65"/>
    </row>
    <row r="478">
      <c r="U478" s="65"/>
    </row>
    <row r="479">
      <c r="U479" s="65"/>
    </row>
    <row r="480">
      <c r="U480" s="65"/>
    </row>
    <row r="481">
      <c r="U481" s="65"/>
    </row>
    <row r="482">
      <c r="U482" s="65"/>
    </row>
    <row r="483">
      <c r="U483" s="65"/>
    </row>
    <row r="484">
      <c r="U484" s="65"/>
    </row>
    <row r="485">
      <c r="U485" s="65"/>
    </row>
    <row r="486">
      <c r="U486" s="65"/>
    </row>
    <row r="487">
      <c r="U487" s="65"/>
    </row>
    <row r="488">
      <c r="U488" s="65"/>
    </row>
    <row r="489">
      <c r="U489" s="65"/>
    </row>
    <row r="490">
      <c r="U490" s="65"/>
    </row>
    <row r="491">
      <c r="U491" s="65"/>
    </row>
    <row r="492">
      <c r="U492" s="65"/>
    </row>
    <row r="493">
      <c r="U493" s="65"/>
    </row>
    <row r="494">
      <c r="U494" s="65"/>
    </row>
    <row r="495">
      <c r="U495" s="65"/>
    </row>
    <row r="496">
      <c r="U496" s="65"/>
    </row>
    <row r="497">
      <c r="U497" s="65"/>
    </row>
    <row r="498">
      <c r="U498" s="65"/>
    </row>
    <row r="499">
      <c r="U499" s="65"/>
    </row>
    <row r="500">
      <c r="U500" s="65"/>
    </row>
    <row r="501">
      <c r="U501" s="65"/>
    </row>
    <row r="502">
      <c r="U502" s="65"/>
    </row>
    <row r="503">
      <c r="U503" s="65"/>
    </row>
    <row r="504">
      <c r="U504" s="65"/>
    </row>
    <row r="505">
      <c r="U505" s="65"/>
    </row>
    <row r="506">
      <c r="U506" s="65"/>
    </row>
    <row r="507">
      <c r="U507" s="65"/>
    </row>
    <row r="508">
      <c r="U508" s="65"/>
    </row>
    <row r="509">
      <c r="U509" s="65"/>
    </row>
    <row r="510">
      <c r="U510" s="65"/>
    </row>
    <row r="511">
      <c r="U511" s="65"/>
    </row>
    <row r="512">
      <c r="U512" s="65"/>
    </row>
    <row r="513">
      <c r="U513" s="65"/>
    </row>
    <row r="514">
      <c r="U514" s="65"/>
    </row>
    <row r="515">
      <c r="U515" s="65"/>
    </row>
    <row r="516">
      <c r="U516" s="65"/>
    </row>
    <row r="517">
      <c r="U517" s="65"/>
    </row>
    <row r="518">
      <c r="U518" s="65"/>
    </row>
    <row r="519">
      <c r="U519" s="65"/>
    </row>
    <row r="520">
      <c r="U520" s="65"/>
    </row>
    <row r="521">
      <c r="U521" s="65"/>
    </row>
    <row r="522">
      <c r="U522" s="65"/>
    </row>
    <row r="523">
      <c r="U523" s="65"/>
    </row>
    <row r="524">
      <c r="U524" s="65"/>
    </row>
    <row r="525">
      <c r="U525" s="65"/>
    </row>
    <row r="526">
      <c r="U526" s="65"/>
    </row>
    <row r="527">
      <c r="U527" s="65"/>
    </row>
    <row r="528">
      <c r="U528" s="65"/>
    </row>
    <row r="529">
      <c r="U529" s="65"/>
    </row>
    <row r="530">
      <c r="U530" s="65"/>
    </row>
    <row r="531">
      <c r="U531" s="65"/>
    </row>
    <row r="532">
      <c r="U532" s="65"/>
    </row>
    <row r="533">
      <c r="U533" s="65"/>
    </row>
    <row r="534">
      <c r="U534" s="65"/>
    </row>
    <row r="535">
      <c r="U535" s="65"/>
    </row>
    <row r="536">
      <c r="U536" s="65"/>
    </row>
    <row r="537">
      <c r="U537" s="65"/>
    </row>
    <row r="538">
      <c r="U538" s="65"/>
    </row>
    <row r="539">
      <c r="U539" s="65"/>
    </row>
    <row r="540">
      <c r="U540" s="65"/>
    </row>
    <row r="541">
      <c r="U541" s="65"/>
    </row>
    <row r="542">
      <c r="U542" s="65"/>
    </row>
    <row r="543">
      <c r="U543" s="65"/>
    </row>
    <row r="544">
      <c r="U544" s="65"/>
    </row>
    <row r="545">
      <c r="U545" s="65"/>
    </row>
    <row r="546">
      <c r="U546" s="65"/>
    </row>
    <row r="547">
      <c r="U547" s="65"/>
    </row>
    <row r="548">
      <c r="U548" s="65"/>
    </row>
    <row r="549">
      <c r="U549" s="65"/>
    </row>
    <row r="550">
      <c r="U550" s="65"/>
    </row>
    <row r="551">
      <c r="U551" s="65"/>
    </row>
    <row r="552">
      <c r="U552" s="65"/>
    </row>
    <row r="553">
      <c r="U553" s="65"/>
    </row>
    <row r="554">
      <c r="U554" s="65"/>
    </row>
    <row r="555">
      <c r="U555" s="65"/>
    </row>
    <row r="556">
      <c r="U556" s="65"/>
    </row>
    <row r="557">
      <c r="U557" s="65"/>
    </row>
    <row r="558">
      <c r="U558" s="65"/>
    </row>
    <row r="559">
      <c r="U559" s="65"/>
    </row>
    <row r="560">
      <c r="U560" s="65"/>
    </row>
    <row r="561">
      <c r="U561" s="65"/>
    </row>
    <row r="562">
      <c r="U562" s="65"/>
    </row>
    <row r="563">
      <c r="U563" s="65"/>
    </row>
    <row r="564">
      <c r="U564" s="65"/>
    </row>
    <row r="565">
      <c r="U565" s="65"/>
    </row>
    <row r="566">
      <c r="U566" s="65"/>
    </row>
    <row r="567">
      <c r="U567" s="65"/>
    </row>
    <row r="568">
      <c r="U568" s="65"/>
    </row>
    <row r="569">
      <c r="U569" s="65"/>
    </row>
    <row r="570">
      <c r="U570" s="65"/>
    </row>
    <row r="571">
      <c r="U571" s="65"/>
    </row>
    <row r="572">
      <c r="U572" s="65"/>
    </row>
    <row r="573">
      <c r="U573" s="65"/>
    </row>
    <row r="574">
      <c r="U574" s="65"/>
    </row>
    <row r="575">
      <c r="U575" s="65"/>
    </row>
    <row r="576">
      <c r="U576" s="65"/>
    </row>
    <row r="577">
      <c r="U577" s="65"/>
    </row>
    <row r="578">
      <c r="U578" s="65"/>
    </row>
    <row r="579">
      <c r="U579" s="65"/>
    </row>
    <row r="580">
      <c r="U580" s="65"/>
    </row>
    <row r="581">
      <c r="U581" s="65"/>
    </row>
    <row r="582">
      <c r="U582" s="65"/>
    </row>
    <row r="583">
      <c r="U583" s="65"/>
    </row>
    <row r="584">
      <c r="U584" s="65"/>
    </row>
    <row r="585">
      <c r="U585" s="65"/>
    </row>
    <row r="586">
      <c r="U586" s="65"/>
    </row>
    <row r="587">
      <c r="U587" s="65"/>
    </row>
    <row r="588">
      <c r="U588" s="65"/>
    </row>
    <row r="589">
      <c r="U589" s="65"/>
    </row>
    <row r="590">
      <c r="U590" s="65"/>
    </row>
    <row r="591">
      <c r="U591" s="65"/>
    </row>
    <row r="592">
      <c r="U592" s="65"/>
    </row>
    <row r="593">
      <c r="U593" s="65"/>
    </row>
    <row r="594">
      <c r="U594" s="65"/>
    </row>
    <row r="595">
      <c r="U595" s="65"/>
    </row>
    <row r="596">
      <c r="U596" s="65"/>
    </row>
    <row r="597">
      <c r="U597" s="65"/>
    </row>
    <row r="598">
      <c r="U598" s="65"/>
    </row>
    <row r="599">
      <c r="U599" s="65"/>
    </row>
    <row r="600">
      <c r="U600" s="65"/>
    </row>
    <row r="601">
      <c r="U601" s="65"/>
    </row>
    <row r="602">
      <c r="U602" s="65"/>
    </row>
    <row r="603">
      <c r="U603" s="65"/>
    </row>
    <row r="604">
      <c r="U604" s="65"/>
    </row>
    <row r="605">
      <c r="U605" s="65"/>
    </row>
    <row r="606">
      <c r="U606" s="65"/>
    </row>
    <row r="607">
      <c r="U607" s="65"/>
    </row>
    <row r="608">
      <c r="U608" s="65"/>
    </row>
    <row r="609">
      <c r="U609" s="65"/>
    </row>
    <row r="610">
      <c r="U610" s="65"/>
    </row>
    <row r="611">
      <c r="U611" s="65"/>
    </row>
    <row r="612">
      <c r="U612" s="65"/>
    </row>
    <row r="613">
      <c r="U613" s="65"/>
    </row>
    <row r="614">
      <c r="U614" s="65"/>
    </row>
    <row r="615">
      <c r="U615" s="65"/>
    </row>
    <row r="616">
      <c r="U616" s="65"/>
    </row>
    <row r="617">
      <c r="U617" s="65"/>
    </row>
    <row r="618">
      <c r="U618" s="65"/>
    </row>
    <row r="619">
      <c r="U619" s="65"/>
    </row>
    <row r="620">
      <c r="U620" s="65"/>
    </row>
    <row r="621">
      <c r="U621" s="65"/>
    </row>
    <row r="622">
      <c r="U622" s="65"/>
    </row>
    <row r="623">
      <c r="U623" s="65"/>
    </row>
    <row r="624">
      <c r="U624" s="65"/>
    </row>
    <row r="625">
      <c r="U625" s="65"/>
    </row>
    <row r="626">
      <c r="U626" s="65"/>
    </row>
    <row r="627">
      <c r="U627" s="65"/>
    </row>
    <row r="628">
      <c r="U628" s="65"/>
    </row>
    <row r="629">
      <c r="U629" s="65"/>
    </row>
    <row r="630">
      <c r="U630" s="65"/>
    </row>
    <row r="631">
      <c r="U631" s="65"/>
    </row>
    <row r="632">
      <c r="U632" s="65"/>
    </row>
    <row r="633">
      <c r="U633" s="65"/>
    </row>
    <row r="634">
      <c r="U634" s="65"/>
    </row>
    <row r="635">
      <c r="U635" s="65"/>
    </row>
    <row r="636">
      <c r="U636" s="65"/>
    </row>
    <row r="637">
      <c r="U637" s="65"/>
    </row>
    <row r="638">
      <c r="U638" s="65"/>
    </row>
    <row r="639">
      <c r="U639" s="65"/>
    </row>
    <row r="640">
      <c r="U640" s="65"/>
    </row>
    <row r="641">
      <c r="U641" s="65"/>
    </row>
    <row r="642">
      <c r="U642" s="65"/>
    </row>
    <row r="643">
      <c r="U643" s="65"/>
    </row>
    <row r="644">
      <c r="U644" s="65"/>
    </row>
    <row r="645">
      <c r="U645" s="65"/>
    </row>
    <row r="646">
      <c r="U646" s="65"/>
    </row>
    <row r="647">
      <c r="U647" s="65"/>
    </row>
    <row r="648">
      <c r="U648" s="65"/>
    </row>
    <row r="649">
      <c r="U649" s="65"/>
    </row>
    <row r="650">
      <c r="U650" s="65"/>
    </row>
    <row r="651">
      <c r="U651" s="65"/>
    </row>
    <row r="652">
      <c r="U652" s="65"/>
    </row>
    <row r="653">
      <c r="U653" s="65"/>
    </row>
    <row r="654">
      <c r="U654" s="65"/>
    </row>
    <row r="655">
      <c r="U655" s="65"/>
    </row>
    <row r="656">
      <c r="U656" s="65"/>
    </row>
    <row r="657">
      <c r="U657" s="65"/>
    </row>
    <row r="658">
      <c r="U658" s="65"/>
    </row>
    <row r="659">
      <c r="U659" s="65"/>
    </row>
    <row r="660">
      <c r="U660" s="65"/>
    </row>
    <row r="661">
      <c r="U661" s="65"/>
    </row>
    <row r="662">
      <c r="U662" s="65"/>
    </row>
    <row r="663">
      <c r="U663" s="65"/>
    </row>
    <row r="664">
      <c r="U664" s="65"/>
    </row>
    <row r="665">
      <c r="U665" s="65"/>
    </row>
    <row r="666">
      <c r="U666" s="65"/>
    </row>
    <row r="667">
      <c r="U667" s="65"/>
    </row>
    <row r="668">
      <c r="U668" s="65"/>
    </row>
    <row r="669">
      <c r="U669" s="65"/>
    </row>
    <row r="670">
      <c r="U670" s="65"/>
    </row>
    <row r="671">
      <c r="U671" s="65"/>
    </row>
    <row r="672">
      <c r="U672" s="65"/>
    </row>
    <row r="673">
      <c r="U673" s="65"/>
    </row>
    <row r="674">
      <c r="U674" s="65"/>
    </row>
    <row r="675">
      <c r="U675" s="65"/>
    </row>
    <row r="676">
      <c r="U676" s="65"/>
    </row>
    <row r="677">
      <c r="U677" s="65"/>
    </row>
    <row r="678">
      <c r="U678" s="65"/>
    </row>
    <row r="679">
      <c r="U679" s="65"/>
    </row>
    <row r="680">
      <c r="U680" s="65"/>
    </row>
    <row r="681">
      <c r="U681" s="65"/>
    </row>
    <row r="682">
      <c r="U682" s="65"/>
    </row>
    <row r="683">
      <c r="U683" s="65"/>
    </row>
    <row r="684">
      <c r="U684" s="65"/>
    </row>
    <row r="685">
      <c r="U685" s="65"/>
    </row>
    <row r="686">
      <c r="U686" s="65"/>
    </row>
    <row r="687">
      <c r="U687" s="65"/>
    </row>
    <row r="688">
      <c r="U688" s="65"/>
    </row>
    <row r="689">
      <c r="U689" s="65"/>
    </row>
    <row r="690">
      <c r="U690" s="65"/>
    </row>
    <row r="691">
      <c r="U691" s="65"/>
    </row>
    <row r="692">
      <c r="U692" s="65"/>
    </row>
    <row r="693">
      <c r="U693" s="65"/>
    </row>
    <row r="694">
      <c r="U694" s="65"/>
    </row>
    <row r="695">
      <c r="U695" s="65"/>
    </row>
    <row r="696">
      <c r="U696" s="65"/>
    </row>
    <row r="697">
      <c r="U697" s="65"/>
    </row>
    <row r="698">
      <c r="U698" s="65"/>
    </row>
    <row r="699">
      <c r="U699" s="65"/>
    </row>
    <row r="700">
      <c r="U700" s="65"/>
    </row>
    <row r="701">
      <c r="U701" s="65"/>
    </row>
    <row r="702">
      <c r="U702" s="65"/>
    </row>
    <row r="703">
      <c r="U703" s="65"/>
    </row>
    <row r="704">
      <c r="U704" s="65"/>
    </row>
    <row r="705">
      <c r="U705" s="65"/>
    </row>
    <row r="706">
      <c r="U706" s="65"/>
    </row>
    <row r="707">
      <c r="U707" s="65"/>
    </row>
    <row r="708">
      <c r="U708" s="65"/>
    </row>
    <row r="709">
      <c r="U709" s="65"/>
    </row>
    <row r="710">
      <c r="U710" s="65"/>
    </row>
    <row r="711">
      <c r="U711" s="65"/>
    </row>
    <row r="712">
      <c r="U712" s="65"/>
    </row>
    <row r="713">
      <c r="U713" s="65"/>
    </row>
    <row r="714">
      <c r="U714" s="65"/>
    </row>
    <row r="715">
      <c r="U715" s="65"/>
    </row>
    <row r="716">
      <c r="U716" s="65"/>
    </row>
    <row r="717">
      <c r="U717" s="65"/>
    </row>
    <row r="718">
      <c r="U718" s="65"/>
    </row>
    <row r="719">
      <c r="U719" s="65"/>
    </row>
    <row r="720">
      <c r="U720" s="65"/>
    </row>
    <row r="721">
      <c r="U721" s="65"/>
    </row>
    <row r="722">
      <c r="U722" s="65"/>
    </row>
    <row r="723">
      <c r="U723" s="65"/>
    </row>
    <row r="724">
      <c r="U724" s="65"/>
    </row>
    <row r="725">
      <c r="U725" s="65"/>
    </row>
    <row r="726">
      <c r="U726" s="65"/>
    </row>
    <row r="727">
      <c r="U727" s="65"/>
    </row>
    <row r="728">
      <c r="U728" s="65"/>
    </row>
    <row r="729">
      <c r="U729" s="65"/>
    </row>
    <row r="730">
      <c r="U730" s="65"/>
    </row>
    <row r="731">
      <c r="U731" s="65"/>
    </row>
    <row r="732">
      <c r="U732" s="65"/>
    </row>
    <row r="733">
      <c r="U733" s="65"/>
    </row>
    <row r="734">
      <c r="U734" s="65"/>
    </row>
    <row r="735">
      <c r="U735" s="65"/>
    </row>
    <row r="736">
      <c r="U736" s="65"/>
    </row>
    <row r="737">
      <c r="U737" s="65"/>
    </row>
    <row r="738">
      <c r="U738" s="65"/>
    </row>
    <row r="739">
      <c r="U739" s="65"/>
    </row>
    <row r="740">
      <c r="U740" s="65"/>
    </row>
    <row r="741">
      <c r="U741" s="65"/>
    </row>
    <row r="742">
      <c r="U742" s="65"/>
    </row>
    <row r="743">
      <c r="U743" s="65"/>
    </row>
    <row r="744">
      <c r="U744" s="65"/>
    </row>
    <row r="745">
      <c r="U745" s="65"/>
    </row>
    <row r="746">
      <c r="U746" s="65"/>
    </row>
    <row r="747">
      <c r="U747" s="65"/>
    </row>
    <row r="748">
      <c r="U748" s="65"/>
    </row>
    <row r="749">
      <c r="U749" s="65"/>
    </row>
    <row r="750">
      <c r="U750" s="65"/>
    </row>
    <row r="751">
      <c r="U751" s="65"/>
    </row>
    <row r="752">
      <c r="U752" s="65"/>
    </row>
    <row r="753">
      <c r="U753" s="65"/>
    </row>
    <row r="754">
      <c r="U754" s="65"/>
    </row>
    <row r="755">
      <c r="U755" s="65"/>
    </row>
    <row r="756">
      <c r="U756" s="65"/>
    </row>
    <row r="757">
      <c r="U757" s="65"/>
    </row>
    <row r="758">
      <c r="U758" s="65"/>
    </row>
    <row r="759">
      <c r="U759" s="65"/>
    </row>
    <row r="760">
      <c r="U760" s="65"/>
    </row>
    <row r="761">
      <c r="U761" s="65"/>
    </row>
    <row r="762">
      <c r="U762" s="65"/>
    </row>
    <row r="763">
      <c r="U763" s="65"/>
    </row>
    <row r="764">
      <c r="U764" s="65"/>
    </row>
    <row r="765">
      <c r="U765" s="65"/>
    </row>
    <row r="766">
      <c r="U766" s="65"/>
    </row>
    <row r="767">
      <c r="U767" s="65"/>
    </row>
    <row r="768">
      <c r="U768" s="65"/>
    </row>
    <row r="769">
      <c r="U769" s="65"/>
    </row>
    <row r="770">
      <c r="U770" s="65"/>
    </row>
    <row r="771">
      <c r="U771" s="65"/>
    </row>
    <row r="772">
      <c r="U772" s="65"/>
    </row>
    <row r="773">
      <c r="U773" s="65"/>
    </row>
    <row r="774">
      <c r="U774" s="65"/>
    </row>
    <row r="775">
      <c r="U775" s="65"/>
    </row>
    <row r="776">
      <c r="U776" s="65"/>
    </row>
    <row r="777">
      <c r="U777" s="65"/>
    </row>
    <row r="778">
      <c r="U778" s="65"/>
    </row>
    <row r="779">
      <c r="U779" s="65"/>
    </row>
    <row r="780">
      <c r="U780" s="65"/>
    </row>
    <row r="781">
      <c r="U781" s="65"/>
    </row>
    <row r="782">
      <c r="U782" s="65"/>
    </row>
    <row r="783">
      <c r="U783" s="65"/>
    </row>
    <row r="784">
      <c r="U784" s="65"/>
    </row>
    <row r="785">
      <c r="U785" s="65"/>
    </row>
    <row r="786">
      <c r="U786" s="65"/>
    </row>
    <row r="787">
      <c r="U787" s="65"/>
    </row>
    <row r="788">
      <c r="U788" s="65"/>
    </row>
    <row r="789">
      <c r="U789" s="65"/>
    </row>
    <row r="790">
      <c r="U790" s="65"/>
    </row>
    <row r="791">
      <c r="U791" s="65"/>
    </row>
    <row r="792">
      <c r="U792" s="65"/>
    </row>
    <row r="793">
      <c r="U793" s="65"/>
    </row>
    <row r="794">
      <c r="U794" s="65"/>
    </row>
    <row r="795">
      <c r="U795" s="65"/>
    </row>
    <row r="796">
      <c r="U796" s="65"/>
    </row>
    <row r="797">
      <c r="U797" s="65"/>
    </row>
    <row r="798">
      <c r="U798" s="65"/>
    </row>
    <row r="799">
      <c r="U799" s="65"/>
    </row>
    <row r="800">
      <c r="U800" s="65"/>
    </row>
    <row r="801">
      <c r="U801" s="65"/>
    </row>
    <row r="802">
      <c r="U802" s="65"/>
    </row>
    <row r="803">
      <c r="U803" s="65"/>
    </row>
    <row r="804">
      <c r="U804" s="65"/>
    </row>
    <row r="805">
      <c r="U805" s="65"/>
    </row>
    <row r="806">
      <c r="U806" s="65"/>
    </row>
    <row r="807">
      <c r="U807" s="65"/>
    </row>
    <row r="808">
      <c r="U808" s="65"/>
    </row>
    <row r="809">
      <c r="U809" s="65"/>
    </row>
    <row r="810">
      <c r="U810" s="65"/>
    </row>
    <row r="811">
      <c r="U811" s="65"/>
    </row>
    <row r="812">
      <c r="U812" s="65"/>
    </row>
    <row r="813">
      <c r="U813" s="65"/>
    </row>
    <row r="814">
      <c r="U814" s="65"/>
    </row>
    <row r="815">
      <c r="U815" s="65"/>
    </row>
    <row r="816">
      <c r="U816" s="65"/>
    </row>
    <row r="817">
      <c r="U817" s="65"/>
    </row>
    <row r="818">
      <c r="U818" s="65"/>
    </row>
    <row r="819">
      <c r="U819" s="65"/>
    </row>
    <row r="820">
      <c r="U820" s="65"/>
    </row>
    <row r="821">
      <c r="U821" s="65"/>
    </row>
    <row r="822">
      <c r="U822" s="65"/>
    </row>
    <row r="823">
      <c r="U823" s="65"/>
    </row>
    <row r="824">
      <c r="U824" s="65"/>
    </row>
    <row r="825">
      <c r="U825" s="65"/>
    </row>
    <row r="826">
      <c r="U826" s="65"/>
    </row>
    <row r="827">
      <c r="U827" s="65"/>
    </row>
    <row r="828">
      <c r="U828" s="65"/>
    </row>
    <row r="829">
      <c r="U829" s="65"/>
    </row>
    <row r="830">
      <c r="U830" s="65"/>
    </row>
    <row r="831">
      <c r="U831" s="65"/>
    </row>
    <row r="832">
      <c r="U832" s="65"/>
    </row>
    <row r="833">
      <c r="U833" s="65"/>
    </row>
    <row r="834">
      <c r="U834" s="65"/>
    </row>
    <row r="835">
      <c r="U835" s="65"/>
    </row>
    <row r="836">
      <c r="U836" s="65"/>
    </row>
    <row r="837">
      <c r="U837" s="65"/>
    </row>
    <row r="838">
      <c r="U838" s="65"/>
    </row>
    <row r="839">
      <c r="U839" s="65"/>
    </row>
    <row r="840">
      <c r="U840" s="65"/>
    </row>
    <row r="841">
      <c r="U841" s="65"/>
    </row>
    <row r="842">
      <c r="U842" s="65"/>
    </row>
    <row r="843">
      <c r="U843" s="65"/>
    </row>
    <row r="844">
      <c r="U844" s="65"/>
    </row>
    <row r="845">
      <c r="U845" s="65"/>
    </row>
    <row r="846">
      <c r="U846" s="65"/>
    </row>
    <row r="847">
      <c r="U847" s="65"/>
    </row>
    <row r="848">
      <c r="U848" s="65"/>
    </row>
    <row r="849">
      <c r="U849" s="65"/>
    </row>
    <row r="850">
      <c r="U850" s="65"/>
    </row>
    <row r="851">
      <c r="U851" s="65"/>
    </row>
    <row r="852">
      <c r="U852" s="65"/>
    </row>
    <row r="853">
      <c r="U853" s="65"/>
    </row>
    <row r="854">
      <c r="U854" s="65"/>
    </row>
    <row r="855">
      <c r="U855" s="65"/>
    </row>
    <row r="856">
      <c r="U856" s="65"/>
    </row>
    <row r="857">
      <c r="U857" s="65"/>
    </row>
    <row r="858">
      <c r="U858" s="65"/>
    </row>
    <row r="859">
      <c r="U859" s="65"/>
    </row>
    <row r="860">
      <c r="U860" s="65"/>
    </row>
    <row r="861">
      <c r="U861" s="65"/>
    </row>
    <row r="862">
      <c r="U862" s="65"/>
    </row>
    <row r="863">
      <c r="U863" s="65"/>
    </row>
    <row r="864">
      <c r="U864" s="65"/>
    </row>
    <row r="865">
      <c r="U865" s="65"/>
    </row>
    <row r="866">
      <c r="U866" s="65"/>
    </row>
    <row r="867">
      <c r="U867" s="65"/>
    </row>
    <row r="868">
      <c r="U868" s="65"/>
    </row>
    <row r="869">
      <c r="U869" s="65"/>
    </row>
    <row r="870">
      <c r="U870" s="65"/>
    </row>
    <row r="871">
      <c r="U871" s="65"/>
    </row>
    <row r="872">
      <c r="U872" s="65"/>
    </row>
    <row r="873">
      <c r="U873" s="65"/>
    </row>
    <row r="874">
      <c r="U874" s="65"/>
    </row>
    <row r="875">
      <c r="U875" s="65"/>
    </row>
    <row r="876">
      <c r="U876" s="65"/>
    </row>
    <row r="877">
      <c r="U877" s="65"/>
    </row>
    <row r="878">
      <c r="U878" s="65"/>
    </row>
    <row r="879">
      <c r="U879" s="65"/>
    </row>
    <row r="880">
      <c r="U880" s="65"/>
    </row>
    <row r="881">
      <c r="U881" s="65"/>
    </row>
    <row r="882">
      <c r="U882" s="65"/>
    </row>
    <row r="883">
      <c r="U883" s="65"/>
    </row>
    <row r="884">
      <c r="U884" s="65"/>
    </row>
    <row r="885">
      <c r="U885" s="65"/>
    </row>
    <row r="886">
      <c r="U886" s="65"/>
    </row>
    <row r="887">
      <c r="U887" s="65"/>
    </row>
    <row r="888">
      <c r="U888" s="65"/>
    </row>
    <row r="889">
      <c r="U889" s="65"/>
    </row>
    <row r="890">
      <c r="U890" s="65"/>
    </row>
    <row r="891">
      <c r="U891" s="65"/>
    </row>
    <row r="892">
      <c r="U892" s="65"/>
    </row>
    <row r="893">
      <c r="U893" s="65"/>
    </row>
    <row r="894">
      <c r="U894" s="65"/>
    </row>
    <row r="895">
      <c r="U895" s="65"/>
    </row>
    <row r="896">
      <c r="U896" s="65"/>
    </row>
    <row r="897">
      <c r="U897" s="65"/>
    </row>
    <row r="898">
      <c r="U898" s="65"/>
    </row>
    <row r="899">
      <c r="U899" s="65"/>
    </row>
    <row r="900">
      <c r="U900" s="65"/>
    </row>
    <row r="901">
      <c r="U901" s="65"/>
    </row>
    <row r="902">
      <c r="U902" s="65"/>
    </row>
    <row r="903">
      <c r="U903" s="65"/>
    </row>
    <row r="904">
      <c r="U904" s="65"/>
    </row>
    <row r="905">
      <c r="U905" s="65"/>
    </row>
    <row r="906">
      <c r="U906" s="65"/>
    </row>
    <row r="907">
      <c r="U907" s="65"/>
    </row>
    <row r="908">
      <c r="U908" s="65"/>
    </row>
    <row r="909">
      <c r="U909" s="65"/>
    </row>
    <row r="910">
      <c r="U910" s="65"/>
    </row>
    <row r="911">
      <c r="U911" s="65"/>
    </row>
    <row r="912">
      <c r="U912" s="65"/>
    </row>
    <row r="913">
      <c r="U913" s="65"/>
    </row>
    <row r="914">
      <c r="U914" s="65"/>
    </row>
    <row r="915">
      <c r="U915" s="65"/>
    </row>
    <row r="916">
      <c r="U916" s="65"/>
    </row>
    <row r="917">
      <c r="U917" s="65"/>
    </row>
    <row r="918">
      <c r="U918" s="65"/>
    </row>
    <row r="919">
      <c r="U919" s="65"/>
    </row>
    <row r="920">
      <c r="U920" s="65"/>
    </row>
    <row r="921">
      <c r="U921" s="65"/>
    </row>
    <row r="922">
      <c r="U922" s="65"/>
    </row>
    <row r="923">
      <c r="U923" s="65"/>
    </row>
    <row r="924">
      <c r="U924" s="65"/>
    </row>
    <row r="925">
      <c r="U925" s="65"/>
    </row>
    <row r="926">
      <c r="U926" s="65"/>
    </row>
    <row r="927">
      <c r="U927" s="65"/>
    </row>
    <row r="928">
      <c r="U928" s="65"/>
    </row>
    <row r="929">
      <c r="U929" s="65"/>
    </row>
    <row r="930">
      <c r="U930" s="65"/>
    </row>
    <row r="931">
      <c r="U931" s="65"/>
    </row>
    <row r="932">
      <c r="U932" s="65"/>
    </row>
    <row r="933">
      <c r="U933" s="65"/>
    </row>
    <row r="934">
      <c r="U934" s="65"/>
    </row>
    <row r="935">
      <c r="U935" s="65"/>
    </row>
    <row r="936">
      <c r="U936" s="65"/>
    </row>
    <row r="937">
      <c r="U937" s="65"/>
    </row>
    <row r="938">
      <c r="U938" s="65"/>
    </row>
    <row r="939">
      <c r="U939" s="65"/>
    </row>
    <row r="940">
      <c r="U940" s="65"/>
    </row>
    <row r="941">
      <c r="U941" s="65"/>
    </row>
    <row r="942">
      <c r="U942" s="65"/>
    </row>
    <row r="943">
      <c r="U943" s="65"/>
    </row>
    <row r="944">
      <c r="U944" s="65"/>
    </row>
    <row r="945">
      <c r="U945" s="65"/>
    </row>
    <row r="946">
      <c r="U946" s="65"/>
    </row>
    <row r="947">
      <c r="U947" s="65"/>
    </row>
    <row r="948">
      <c r="U948" s="65"/>
    </row>
    <row r="949">
      <c r="U949" s="65"/>
    </row>
    <row r="950">
      <c r="U950" s="65"/>
    </row>
    <row r="951">
      <c r="U951" s="65"/>
    </row>
    <row r="952">
      <c r="U952" s="65"/>
    </row>
    <row r="953">
      <c r="U953" s="65"/>
    </row>
    <row r="954">
      <c r="U954" s="65"/>
    </row>
    <row r="955">
      <c r="U955" s="65"/>
    </row>
    <row r="956">
      <c r="U956" s="65"/>
    </row>
    <row r="957">
      <c r="U957" s="65"/>
    </row>
    <row r="958">
      <c r="U958" s="65"/>
    </row>
    <row r="959">
      <c r="U959" s="65"/>
    </row>
    <row r="960">
      <c r="U960" s="65"/>
    </row>
    <row r="961">
      <c r="U961" s="65"/>
    </row>
    <row r="962">
      <c r="U962" s="65"/>
    </row>
    <row r="963">
      <c r="U963" s="65"/>
    </row>
    <row r="964">
      <c r="U964" s="65"/>
    </row>
    <row r="965">
      <c r="U965" s="65"/>
    </row>
    <row r="966">
      <c r="U966" s="65"/>
    </row>
    <row r="967">
      <c r="U967" s="65"/>
    </row>
    <row r="968">
      <c r="U968" s="65"/>
    </row>
    <row r="969">
      <c r="U969" s="65"/>
    </row>
    <row r="970">
      <c r="U970" s="65"/>
    </row>
    <row r="971">
      <c r="U971" s="65"/>
    </row>
    <row r="972">
      <c r="U972" s="65"/>
    </row>
    <row r="973">
      <c r="U973" s="65"/>
    </row>
    <row r="974">
      <c r="U974" s="65"/>
    </row>
    <row r="975">
      <c r="U975" s="65"/>
    </row>
    <row r="976">
      <c r="U976" s="65"/>
    </row>
    <row r="977">
      <c r="U977" s="65"/>
    </row>
    <row r="978">
      <c r="U978" s="65"/>
    </row>
    <row r="979">
      <c r="U979" s="65"/>
    </row>
    <row r="980">
      <c r="U980" s="65"/>
    </row>
    <row r="981">
      <c r="U981" s="65"/>
    </row>
    <row r="982">
      <c r="U982" s="65"/>
    </row>
    <row r="983">
      <c r="U983" s="65"/>
    </row>
    <row r="984">
      <c r="U984" s="65"/>
    </row>
    <row r="985">
      <c r="U985" s="65"/>
    </row>
    <row r="986">
      <c r="U986" s="65"/>
    </row>
    <row r="987">
      <c r="U987" s="65"/>
    </row>
    <row r="988">
      <c r="U988" s="65"/>
    </row>
    <row r="989">
      <c r="U989" s="65"/>
    </row>
    <row r="990">
      <c r="U990" s="65"/>
    </row>
    <row r="991">
      <c r="U991" s="65"/>
    </row>
    <row r="992">
      <c r="U992" s="65"/>
    </row>
    <row r="993">
      <c r="U993" s="65"/>
    </row>
    <row r="994">
      <c r="U994" s="65"/>
    </row>
    <row r="995">
      <c r="U995" s="65"/>
    </row>
    <row r="996">
      <c r="U996" s="65"/>
    </row>
    <row r="997">
      <c r="U997" s="65"/>
    </row>
    <row r="998">
      <c r="U998" s="65"/>
    </row>
    <row r="999">
      <c r="U999" s="65"/>
    </row>
    <row r="1000">
      <c r="U1000" s="65"/>
    </row>
    <row r="1001">
      <c r="U1001" s="65"/>
    </row>
    <row r="1002">
      <c r="U1002" s="65"/>
    </row>
    <row r="1003">
      <c r="U1003" s="65"/>
    </row>
  </sheetData>
  <mergeCells count="11">
    <mergeCell ref="B43:B65"/>
    <mergeCell ref="B66:B67"/>
    <mergeCell ref="B68:B69"/>
    <mergeCell ref="B71:B90"/>
    <mergeCell ref="A1:A2"/>
    <mergeCell ref="B1:B2"/>
    <mergeCell ref="C1:C2"/>
    <mergeCell ref="D1:D2"/>
    <mergeCell ref="B3:B4"/>
    <mergeCell ref="B5:B26"/>
    <mergeCell ref="B27:B42"/>
  </mergeCells>
  <conditionalFormatting sqref="D3:D90 E3:O3">
    <cfRule type="cellIs" dxfId="4" priority="1" operator="between">
      <formula>"08:00:00"</formula>
      <formula>"07:00:00"</formula>
    </cfRule>
  </conditionalFormatting>
  <conditionalFormatting sqref="D3:D90 E3:O3">
    <cfRule type="cellIs" dxfId="5" priority="2" operator="between">
      <formula>"07:00:00"</formula>
      <formula>"00:00:01"</formula>
    </cfRule>
  </conditionalFormatting>
  <conditionalFormatting sqref="D3:D90 E3:O3">
    <cfRule type="containsText" dxfId="6" priority="3" operator="containsText" text="Leave">
      <formula>NOT(ISERROR(SEARCH(("Leave"),(D3))))</formula>
    </cfRule>
  </conditionalFormatting>
  <conditionalFormatting sqref="E3:AH90">
    <cfRule type="notContainsText" dxfId="8" priority="4" operator="notContains" text="0">
      <formula>ISERROR(SEARCH(("0"),(E3)))</formula>
    </cfRule>
  </conditionalFormatting>
  <conditionalFormatting sqref="D3:AH90">
    <cfRule type="cellIs" dxfId="2" priority="5" operator="greaterThanOrEqual">
      <formula>"08:45:00"</formula>
    </cfRule>
  </conditionalFormatting>
  <conditionalFormatting sqref="D3:AH90">
    <cfRule type="cellIs" dxfId="3" priority="6" operator="between">
      <formula>"08:44:00"</formula>
      <formula>"08:00:00"</formula>
    </cfRule>
  </conditionalFormatting>
  <conditionalFormatting sqref="E3:AH90">
    <cfRule type="cellIs" dxfId="9" priority="7" operator="between">
      <formula>"07:59:00"</formula>
      <formula>"07:00:00"</formula>
    </cfRule>
  </conditionalFormatting>
  <conditionalFormatting sqref="E3:AH90">
    <cfRule type="cellIs" dxfId="5" priority="8" operator="between">
      <formula>"06:59:00"</formula>
      <formula>"00:00:01"</formula>
    </cfRule>
  </conditionalFormatting>
  <conditionalFormatting sqref="E3:AH90">
    <cfRule type="notContainsBlanks" dxfId="10" priority="9">
      <formula>LEN(TRIM(E3))&gt;0</formula>
    </cfRule>
  </conditionalFormatting>
  <conditionalFormatting sqref="E3:AH90">
    <cfRule type="containsText" dxfId="11" priority="10" operator="containsText" text="Leave">
      <formula>NOT(ISERROR(SEARCH(("Leave"),(E3))))</formula>
    </cfRule>
  </conditionalFormatting>
  <conditionalFormatting sqref="D3:AH90">
    <cfRule type="notContainsBlanks" dxfId="7" priority="11">
      <formula>LEN(TRIM(D3))&gt;0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5"/>
    <col customWidth="1" min="2" max="2" width="23.13"/>
    <col customWidth="1" min="3" max="3" width="17.88"/>
    <col customWidth="1" min="4" max="4" width="12.25"/>
    <col customWidth="1" min="5" max="5" width="11.63"/>
    <col customWidth="1" min="6" max="6" width="11.75"/>
    <col customWidth="1" min="7" max="7" width="9.25"/>
    <col customWidth="1" min="8" max="8" width="9.88"/>
    <col customWidth="1" min="9" max="9" width="12.75"/>
    <col customWidth="1" min="10" max="10" width="12.0"/>
    <col customWidth="1" min="12" max="12" width="11.38"/>
    <col customWidth="1" min="13" max="13" width="12.5"/>
    <col customWidth="1" min="14" max="14" width="14.13"/>
    <col customWidth="1" min="15" max="15" width="12.25"/>
    <col customWidth="1" min="16" max="16" width="11.63"/>
    <col customWidth="1" min="17" max="17" width="11.5"/>
    <col customWidth="1" min="18" max="18" width="9.25"/>
    <col customWidth="1" min="19" max="19" width="9.88"/>
    <col customWidth="1" min="20" max="20" width="12.75"/>
    <col customWidth="1" min="21" max="21" width="12.0"/>
  </cols>
  <sheetData>
    <row r="1">
      <c r="A1" s="67"/>
      <c r="B1" s="68"/>
      <c r="C1" s="69" t="s">
        <v>441</v>
      </c>
      <c r="D1" s="68"/>
      <c r="E1" s="68"/>
      <c r="F1" s="68"/>
      <c r="G1" s="68"/>
      <c r="H1" s="68"/>
      <c r="I1" s="68"/>
      <c r="J1" s="70"/>
    </row>
    <row r="2">
      <c r="A2" s="269" t="s">
        <v>290</v>
      </c>
      <c r="B2" s="269" t="s">
        <v>2</v>
      </c>
      <c r="C2" s="269" t="s">
        <v>291</v>
      </c>
      <c r="D2" s="269" t="s">
        <v>292</v>
      </c>
      <c r="E2" s="270" t="s">
        <v>293</v>
      </c>
      <c r="F2" s="270" t="s">
        <v>442</v>
      </c>
      <c r="G2" s="270" t="s">
        <v>296</v>
      </c>
      <c r="H2" s="270" t="s">
        <v>297</v>
      </c>
      <c r="I2" s="269" t="s">
        <v>298</v>
      </c>
      <c r="J2" s="270" t="s">
        <v>430</v>
      </c>
    </row>
    <row r="3">
      <c r="A3" s="114">
        <v>1.0</v>
      </c>
      <c r="B3" s="271" t="s">
        <v>222</v>
      </c>
      <c r="C3" s="80" t="s">
        <v>301</v>
      </c>
      <c r="D3" s="80">
        <v>20.0</v>
      </c>
      <c r="E3" s="246">
        <f t="shared" ref="E3:E89" si="1">D3-J3</f>
        <v>19</v>
      </c>
      <c r="F3" s="180">
        <v>5.0</v>
      </c>
      <c r="G3" s="272">
        <v>6.75</v>
      </c>
      <c r="H3" s="95">
        <v>6.625000000000001</v>
      </c>
      <c r="I3" s="88">
        <f t="shared" ref="I3:I89" si="2">H3-G3</f>
        <v>-0.125</v>
      </c>
      <c r="J3" s="246">
        <v>1.0</v>
      </c>
    </row>
    <row r="4">
      <c r="A4" s="114">
        <v>2.0</v>
      </c>
      <c r="B4" s="271" t="s">
        <v>41</v>
      </c>
      <c r="C4" s="80" t="s">
        <v>301</v>
      </c>
      <c r="D4" s="80">
        <v>20.0</v>
      </c>
      <c r="E4" s="246">
        <f t="shared" si="1"/>
        <v>12</v>
      </c>
      <c r="F4" s="114">
        <v>4.0</v>
      </c>
      <c r="G4" s="272">
        <v>4.5</v>
      </c>
      <c r="H4" s="238">
        <v>4.592361111111111</v>
      </c>
      <c r="I4" s="88">
        <f t="shared" si="2"/>
        <v>0.09236111111</v>
      </c>
      <c r="J4" s="246">
        <v>8.0</v>
      </c>
    </row>
    <row r="5">
      <c r="A5" s="114">
        <v>3.0</v>
      </c>
      <c r="B5" s="273" t="s">
        <v>201</v>
      </c>
      <c r="C5" s="80" t="s">
        <v>300</v>
      </c>
      <c r="D5" s="80">
        <v>20.0</v>
      </c>
      <c r="E5" s="246">
        <f t="shared" si="1"/>
        <v>19.5</v>
      </c>
      <c r="F5" s="114">
        <v>0.0</v>
      </c>
      <c r="G5" s="94">
        <v>7.3125</v>
      </c>
      <c r="H5" s="238">
        <v>5.8791666666666655</v>
      </c>
      <c r="I5" s="88">
        <f t="shared" si="2"/>
        <v>-1.433333333</v>
      </c>
      <c r="J5" s="246">
        <v>0.5</v>
      </c>
    </row>
    <row r="6">
      <c r="A6" s="114">
        <v>4.0</v>
      </c>
      <c r="B6" s="273" t="s">
        <v>246</v>
      </c>
      <c r="C6" s="80" t="s">
        <v>300</v>
      </c>
      <c r="D6" s="80">
        <v>20.0</v>
      </c>
      <c r="E6" s="246">
        <f t="shared" si="1"/>
        <v>19</v>
      </c>
      <c r="F6" s="114">
        <v>12.0</v>
      </c>
      <c r="G6" s="272">
        <v>7.125</v>
      </c>
      <c r="H6" s="238">
        <v>7.482638888888889</v>
      </c>
      <c r="I6" s="88">
        <f t="shared" si="2"/>
        <v>0.3576388889</v>
      </c>
      <c r="J6" s="246">
        <v>1.0</v>
      </c>
    </row>
    <row r="7">
      <c r="A7" s="114">
        <v>5.0</v>
      </c>
      <c r="B7" s="274" t="s">
        <v>421</v>
      </c>
      <c r="C7" s="80" t="s">
        <v>303</v>
      </c>
      <c r="D7" s="80">
        <v>20.0</v>
      </c>
      <c r="E7" s="246">
        <f t="shared" si="1"/>
        <v>12</v>
      </c>
      <c r="F7" s="114">
        <v>7.0</v>
      </c>
      <c r="G7" s="272">
        <v>4.5</v>
      </c>
      <c r="H7" s="238">
        <v>4.384722222222222</v>
      </c>
      <c r="I7" s="88">
        <f t="shared" si="2"/>
        <v>-0.1152777778</v>
      </c>
      <c r="J7" s="246">
        <v>8.0</v>
      </c>
    </row>
    <row r="8">
      <c r="A8" s="114">
        <v>6.0</v>
      </c>
      <c r="B8" s="275" t="s">
        <v>147</v>
      </c>
      <c r="C8" s="80" t="s">
        <v>303</v>
      </c>
      <c r="D8" s="80">
        <v>20.0</v>
      </c>
      <c r="E8" s="246">
        <f t="shared" si="1"/>
        <v>19</v>
      </c>
      <c r="F8" s="114"/>
      <c r="G8" s="272">
        <v>7.125</v>
      </c>
      <c r="H8" s="238">
        <v>7.053472222222223</v>
      </c>
      <c r="I8" s="88">
        <f t="shared" si="2"/>
        <v>-0.07152777778</v>
      </c>
      <c r="J8" s="246">
        <v>1.0</v>
      </c>
    </row>
    <row r="9">
      <c r="A9" s="114">
        <v>7.0</v>
      </c>
      <c r="B9" s="273" t="s">
        <v>177</v>
      </c>
      <c r="C9" s="80" t="s">
        <v>304</v>
      </c>
      <c r="D9" s="80">
        <v>20.0</v>
      </c>
      <c r="E9" s="246">
        <f t="shared" si="1"/>
        <v>16</v>
      </c>
      <c r="F9" s="114">
        <v>4.0</v>
      </c>
      <c r="G9" s="272">
        <v>6.0</v>
      </c>
      <c r="H9" s="238">
        <v>5.688888888888889</v>
      </c>
      <c r="I9" s="88">
        <f t="shared" si="2"/>
        <v>-0.3111111111</v>
      </c>
      <c r="J9" s="246">
        <v>4.0</v>
      </c>
    </row>
    <row r="10">
      <c r="A10" s="114">
        <v>8.0</v>
      </c>
      <c r="B10" s="275" t="s">
        <v>216</v>
      </c>
      <c r="C10" s="80" t="s">
        <v>300</v>
      </c>
      <c r="D10" s="80">
        <v>20.0</v>
      </c>
      <c r="E10" s="246">
        <f t="shared" si="1"/>
        <v>19</v>
      </c>
      <c r="F10" s="114">
        <v>19.0</v>
      </c>
      <c r="G10" s="272">
        <v>7.125</v>
      </c>
      <c r="H10" s="272">
        <v>7.125</v>
      </c>
      <c r="I10" s="88">
        <f t="shared" si="2"/>
        <v>0</v>
      </c>
      <c r="J10" s="246">
        <v>1.0</v>
      </c>
    </row>
    <row r="11">
      <c r="A11" s="114">
        <v>9.0</v>
      </c>
      <c r="B11" s="273" t="s">
        <v>386</v>
      </c>
      <c r="C11" s="80" t="s">
        <v>303</v>
      </c>
      <c r="D11" s="80">
        <v>20.0</v>
      </c>
      <c r="E11" s="246">
        <f t="shared" si="1"/>
        <v>19</v>
      </c>
      <c r="F11" s="114">
        <v>3.0</v>
      </c>
      <c r="G11" s="272">
        <v>7.125</v>
      </c>
      <c r="H11" s="276">
        <v>6.529166666666668</v>
      </c>
      <c r="I11" s="88">
        <f t="shared" si="2"/>
        <v>-0.5958333333</v>
      </c>
      <c r="J11" s="246">
        <v>1.0</v>
      </c>
    </row>
    <row r="12">
      <c r="A12" s="114">
        <v>10.0</v>
      </c>
      <c r="B12" s="273" t="s">
        <v>387</v>
      </c>
      <c r="C12" s="80" t="s">
        <v>304</v>
      </c>
      <c r="D12" s="80">
        <v>20.0</v>
      </c>
      <c r="E12" s="246">
        <f t="shared" si="1"/>
        <v>19.5</v>
      </c>
      <c r="F12" s="114">
        <v>4.0</v>
      </c>
      <c r="G12" s="94">
        <v>7.3125</v>
      </c>
      <c r="H12" s="248">
        <v>7.059722222222222</v>
      </c>
      <c r="I12" s="88">
        <f t="shared" si="2"/>
        <v>-0.2527777778</v>
      </c>
      <c r="J12" s="246">
        <v>0.5</v>
      </c>
    </row>
    <row r="13">
      <c r="A13" s="114">
        <v>11.0</v>
      </c>
      <c r="B13" s="273" t="s">
        <v>389</v>
      </c>
      <c r="C13" s="80" t="s">
        <v>305</v>
      </c>
      <c r="D13" s="80">
        <v>20.0</v>
      </c>
      <c r="E13" s="246">
        <f t="shared" si="1"/>
        <v>20</v>
      </c>
      <c r="F13" s="114">
        <v>4.0</v>
      </c>
      <c r="G13" s="272">
        <v>7.5</v>
      </c>
      <c r="H13" s="238">
        <v>7.505555555555555</v>
      </c>
      <c r="I13" s="88">
        <f t="shared" si="2"/>
        <v>0.005555555556</v>
      </c>
      <c r="J13" s="246"/>
    </row>
    <row r="14">
      <c r="A14" s="114">
        <v>12.0</v>
      </c>
      <c r="B14" s="273" t="s">
        <v>391</v>
      </c>
      <c r="C14" s="80" t="s">
        <v>303</v>
      </c>
      <c r="D14" s="80">
        <v>20.0</v>
      </c>
      <c r="E14" s="246">
        <f t="shared" si="1"/>
        <v>20</v>
      </c>
      <c r="F14" s="114"/>
      <c r="G14" s="272">
        <v>7.5</v>
      </c>
      <c r="H14" s="238">
        <v>7.916666666666665</v>
      </c>
      <c r="I14" s="88">
        <f t="shared" si="2"/>
        <v>0.4166666667</v>
      </c>
      <c r="J14" s="246"/>
    </row>
    <row r="15">
      <c r="A15" s="114">
        <v>13.0</v>
      </c>
      <c r="B15" s="273" t="s">
        <v>392</v>
      </c>
      <c r="C15" s="80" t="s">
        <v>303</v>
      </c>
      <c r="D15" s="80">
        <v>20.0</v>
      </c>
      <c r="E15" s="246">
        <f t="shared" si="1"/>
        <v>16</v>
      </c>
      <c r="F15" s="114"/>
      <c r="G15" s="272">
        <v>6.0</v>
      </c>
      <c r="H15" s="238">
        <v>6.0687500000000005</v>
      </c>
      <c r="I15" s="88">
        <f t="shared" si="2"/>
        <v>0.06875</v>
      </c>
      <c r="J15" s="246">
        <v>4.0</v>
      </c>
    </row>
    <row r="16">
      <c r="A16" s="114">
        <v>14.0</v>
      </c>
      <c r="B16" s="274" t="s">
        <v>403</v>
      </c>
      <c r="C16" s="80" t="s">
        <v>303</v>
      </c>
      <c r="D16" s="80">
        <v>20.0</v>
      </c>
      <c r="E16" s="246">
        <f t="shared" si="1"/>
        <v>18.5</v>
      </c>
      <c r="F16" s="114">
        <v>3.0</v>
      </c>
      <c r="G16" s="94">
        <v>6.9375</v>
      </c>
      <c r="H16" s="238">
        <v>7.096527777777777</v>
      </c>
      <c r="I16" s="88">
        <f t="shared" si="2"/>
        <v>0.1590277778</v>
      </c>
      <c r="J16" s="246">
        <v>1.5</v>
      </c>
    </row>
    <row r="17">
      <c r="A17" s="114">
        <v>15.0</v>
      </c>
      <c r="B17" s="274" t="s">
        <v>404</v>
      </c>
      <c r="C17" s="80" t="s">
        <v>301</v>
      </c>
      <c r="D17" s="80">
        <v>20.0</v>
      </c>
      <c r="E17" s="246">
        <f t="shared" si="1"/>
        <v>20</v>
      </c>
      <c r="F17" s="114"/>
      <c r="G17" s="272">
        <v>7.5</v>
      </c>
      <c r="H17" s="238">
        <v>7.340972222222222</v>
      </c>
      <c r="I17" s="88">
        <f t="shared" si="2"/>
        <v>-0.1590277778</v>
      </c>
      <c r="J17" s="246"/>
    </row>
    <row r="18">
      <c r="A18" s="114">
        <v>16.0</v>
      </c>
      <c r="B18" s="274" t="s">
        <v>405</v>
      </c>
      <c r="C18" s="80" t="s">
        <v>303</v>
      </c>
      <c r="D18" s="80">
        <v>20.0</v>
      </c>
      <c r="E18" s="246">
        <f t="shared" si="1"/>
        <v>14.5</v>
      </c>
      <c r="F18" s="114"/>
      <c r="G18" s="94">
        <v>5.4375</v>
      </c>
      <c r="H18" s="238">
        <v>4.772222222222222</v>
      </c>
      <c r="I18" s="88">
        <f t="shared" si="2"/>
        <v>-0.6652777778</v>
      </c>
      <c r="J18" s="246">
        <v>5.5</v>
      </c>
    </row>
    <row r="19">
      <c r="A19" s="114">
        <v>17.0</v>
      </c>
      <c r="B19" s="274" t="s">
        <v>406</v>
      </c>
      <c r="C19" s="80" t="s">
        <v>304</v>
      </c>
      <c r="D19" s="80">
        <v>20.0</v>
      </c>
      <c r="E19" s="246">
        <f t="shared" si="1"/>
        <v>20</v>
      </c>
      <c r="F19" s="114">
        <v>6.0</v>
      </c>
      <c r="G19" s="272">
        <v>7.5</v>
      </c>
      <c r="H19" s="238">
        <v>7.670138888888888</v>
      </c>
      <c r="I19" s="88">
        <f t="shared" si="2"/>
        <v>0.1701388889</v>
      </c>
      <c r="J19" s="246"/>
    </row>
    <row r="20">
      <c r="A20" s="114">
        <v>18.0</v>
      </c>
      <c r="B20" s="274" t="s">
        <v>407</v>
      </c>
      <c r="C20" s="80" t="s">
        <v>303</v>
      </c>
      <c r="D20" s="80">
        <v>20.0</v>
      </c>
      <c r="E20" s="246">
        <f t="shared" si="1"/>
        <v>19.5</v>
      </c>
      <c r="F20" s="114"/>
      <c r="G20" s="94">
        <v>7.3125</v>
      </c>
      <c r="H20" s="238">
        <v>7.374305555555556</v>
      </c>
      <c r="I20" s="88">
        <f t="shared" si="2"/>
        <v>0.06180555556</v>
      </c>
      <c r="J20" s="246">
        <v>0.5</v>
      </c>
    </row>
    <row r="21">
      <c r="A21" s="114">
        <v>19.0</v>
      </c>
      <c r="B21" s="274" t="s">
        <v>408</v>
      </c>
      <c r="C21" s="80" t="s">
        <v>300</v>
      </c>
      <c r="D21" s="80">
        <v>20.0</v>
      </c>
      <c r="E21" s="246">
        <f t="shared" si="1"/>
        <v>20</v>
      </c>
      <c r="F21" s="114"/>
      <c r="G21" s="272">
        <v>7.5</v>
      </c>
      <c r="H21" s="238">
        <v>7.724305555555554</v>
      </c>
      <c r="I21" s="88">
        <f t="shared" si="2"/>
        <v>0.2243055556</v>
      </c>
      <c r="J21" s="246"/>
    </row>
    <row r="22">
      <c r="A22" s="114">
        <v>20.0</v>
      </c>
      <c r="B22" s="274" t="s">
        <v>423</v>
      </c>
      <c r="C22" s="80" t="s">
        <v>303</v>
      </c>
      <c r="D22" s="80">
        <v>20.0</v>
      </c>
      <c r="E22" s="246">
        <f t="shared" si="1"/>
        <v>19.5</v>
      </c>
      <c r="F22" s="114"/>
      <c r="G22" s="94">
        <v>7.3125</v>
      </c>
      <c r="H22" s="238">
        <v>6.882638888888888</v>
      </c>
      <c r="I22" s="88">
        <f t="shared" si="2"/>
        <v>-0.4298611111</v>
      </c>
      <c r="J22" s="246">
        <v>0.5</v>
      </c>
    </row>
    <row r="23">
      <c r="A23" s="114">
        <v>21.0</v>
      </c>
      <c r="B23" s="274" t="s">
        <v>424</v>
      </c>
      <c r="C23" s="80" t="s">
        <v>301</v>
      </c>
      <c r="D23" s="80">
        <v>20.0</v>
      </c>
      <c r="E23" s="246">
        <f t="shared" si="1"/>
        <v>20</v>
      </c>
      <c r="F23" s="114">
        <v>5.0</v>
      </c>
      <c r="G23" s="272">
        <v>7.5</v>
      </c>
      <c r="H23" s="238">
        <v>7.483333333333333</v>
      </c>
      <c r="I23" s="88">
        <f t="shared" si="2"/>
        <v>-0.01666666667</v>
      </c>
      <c r="J23" s="246"/>
    </row>
    <row r="24">
      <c r="A24" s="114">
        <v>22.0</v>
      </c>
      <c r="B24" s="274" t="s">
        <v>426</v>
      </c>
      <c r="C24" s="80" t="s">
        <v>303</v>
      </c>
      <c r="D24" s="80">
        <v>20.0</v>
      </c>
      <c r="E24" s="246">
        <f t="shared" si="1"/>
        <v>20</v>
      </c>
      <c r="F24" s="114"/>
      <c r="G24" s="272">
        <v>7.5</v>
      </c>
      <c r="H24" s="238">
        <v>7.438888888888889</v>
      </c>
      <c r="I24" s="88">
        <f t="shared" si="2"/>
        <v>-0.06111111111</v>
      </c>
      <c r="J24" s="246"/>
    </row>
    <row r="25">
      <c r="A25" s="114">
        <v>23.0</v>
      </c>
      <c r="B25" s="274" t="s">
        <v>427</v>
      </c>
      <c r="C25" s="80" t="s">
        <v>303</v>
      </c>
      <c r="D25" s="80">
        <v>20.0</v>
      </c>
      <c r="E25" s="246">
        <f t="shared" si="1"/>
        <v>20</v>
      </c>
      <c r="F25" s="114"/>
      <c r="G25" s="272">
        <v>7.5</v>
      </c>
      <c r="H25" s="238">
        <v>7.304166666666667</v>
      </c>
      <c r="I25" s="88">
        <f t="shared" si="2"/>
        <v>-0.1958333333</v>
      </c>
      <c r="J25" s="246"/>
    </row>
    <row r="26">
      <c r="A26" s="114">
        <v>24.0</v>
      </c>
      <c r="B26" s="274" t="s">
        <v>409</v>
      </c>
      <c r="C26" s="80" t="s">
        <v>303</v>
      </c>
      <c r="D26" s="80">
        <v>20.0</v>
      </c>
      <c r="E26" s="246">
        <f t="shared" si="1"/>
        <v>20</v>
      </c>
      <c r="F26" s="114"/>
      <c r="G26" s="272">
        <v>7.5</v>
      </c>
      <c r="H26" s="238">
        <v>7.136805555555557</v>
      </c>
      <c r="I26" s="88">
        <f t="shared" si="2"/>
        <v>-0.3631944444</v>
      </c>
      <c r="J26" s="246"/>
    </row>
    <row r="27">
      <c r="A27" s="114">
        <v>25.0</v>
      </c>
      <c r="B27" s="274" t="s">
        <v>434</v>
      </c>
      <c r="C27" s="80" t="s">
        <v>303</v>
      </c>
      <c r="D27" s="80">
        <v>10.0</v>
      </c>
      <c r="E27" s="246">
        <f t="shared" si="1"/>
        <v>10</v>
      </c>
      <c r="F27" s="114"/>
      <c r="G27" s="272">
        <v>3.75</v>
      </c>
      <c r="H27" s="238">
        <v>3.6791666666666667</v>
      </c>
      <c r="I27" s="88">
        <f t="shared" si="2"/>
        <v>-0.07083333333</v>
      </c>
      <c r="J27" s="246"/>
    </row>
    <row r="28">
      <c r="A28" s="114">
        <v>26.0</v>
      </c>
      <c r="B28" s="273" t="s">
        <v>234</v>
      </c>
      <c r="C28" s="80" t="s">
        <v>301</v>
      </c>
      <c r="D28" s="80">
        <v>20.0</v>
      </c>
      <c r="E28" s="246">
        <f t="shared" si="1"/>
        <v>15</v>
      </c>
      <c r="F28" s="114">
        <v>3.0</v>
      </c>
      <c r="G28" s="272">
        <v>5.625</v>
      </c>
      <c r="H28" s="238">
        <v>5.569444444444445</v>
      </c>
      <c r="I28" s="88">
        <f t="shared" si="2"/>
        <v>-0.05555555556</v>
      </c>
      <c r="J28" s="246">
        <v>5.0</v>
      </c>
    </row>
    <row r="29">
      <c r="A29" s="114">
        <v>27.0</v>
      </c>
      <c r="B29" s="273" t="s">
        <v>393</v>
      </c>
      <c r="C29" s="80" t="s">
        <v>303</v>
      </c>
      <c r="D29" s="80">
        <v>20.0</v>
      </c>
      <c r="E29" s="246">
        <f t="shared" si="1"/>
        <v>19</v>
      </c>
      <c r="F29" s="114">
        <v>3.0</v>
      </c>
      <c r="G29" s="272">
        <v>7.125</v>
      </c>
      <c r="H29" s="238">
        <v>7.103483796296297</v>
      </c>
      <c r="I29" s="88">
        <f t="shared" si="2"/>
        <v>-0.0215162037</v>
      </c>
      <c r="J29" s="246">
        <v>1.0</v>
      </c>
    </row>
    <row r="30">
      <c r="A30" s="114">
        <v>28.0</v>
      </c>
      <c r="B30" s="273" t="s">
        <v>213</v>
      </c>
      <c r="C30" s="80" t="s">
        <v>302</v>
      </c>
      <c r="D30" s="80">
        <v>20.0</v>
      </c>
      <c r="E30" s="246">
        <f t="shared" si="1"/>
        <v>13</v>
      </c>
      <c r="F30" s="114">
        <v>9.0</v>
      </c>
      <c r="G30" s="272">
        <v>4.875</v>
      </c>
      <c r="H30" s="238">
        <v>4.930555555555555</v>
      </c>
      <c r="I30" s="88">
        <f t="shared" si="2"/>
        <v>0.05555555556</v>
      </c>
      <c r="J30" s="246">
        <v>7.0</v>
      </c>
    </row>
    <row r="31">
      <c r="A31" s="114">
        <v>29.0</v>
      </c>
      <c r="B31" s="273" t="s">
        <v>54</v>
      </c>
      <c r="C31" s="80" t="s">
        <v>302</v>
      </c>
      <c r="D31" s="80">
        <v>20.0</v>
      </c>
      <c r="E31" s="246">
        <f t="shared" si="1"/>
        <v>18.5</v>
      </c>
      <c r="F31" s="114">
        <v>13.0</v>
      </c>
      <c r="G31" s="94">
        <v>6.9375</v>
      </c>
      <c r="H31" s="238">
        <v>7.102083333333333</v>
      </c>
      <c r="I31" s="88">
        <f t="shared" si="2"/>
        <v>0.1645833333</v>
      </c>
      <c r="J31" s="246">
        <v>1.5</v>
      </c>
    </row>
    <row r="32">
      <c r="A32" s="114">
        <v>30.0</v>
      </c>
      <c r="B32" s="273" t="s">
        <v>159</v>
      </c>
      <c r="C32" s="80" t="s">
        <v>302</v>
      </c>
      <c r="D32" s="80">
        <v>20.0</v>
      </c>
      <c r="E32" s="246">
        <f t="shared" si="1"/>
        <v>13</v>
      </c>
      <c r="F32" s="114">
        <v>7.0</v>
      </c>
      <c r="G32" s="272">
        <v>4.875</v>
      </c>
      <c r="H32" s="277">
        <v>7.5</v>
      </c>
      <c r="I32" s="88">
        <f t="shared" si="2"/>
        <v>2.625</v>
      </c>
      <c r="J32" s="246">
        <v>7.0</v>
      </c>
    </row>
    <row r="33">
      <c r="A33" s="114">
        <v>31.0</v>
      </c>
      <c r="B33" s="273" t="s">
        <v>156</v>
      </c>
      <c r="C33" s="80" t="s">
        <v>302</v>
      </c>
      <c r="D33" s="80">
        <v>20.0</v>
      </c>
      <c r="E33" s="246">
        <f t="shared" si="1"/>
        <v>20</v>
      </c>
      <c r="F33" s="114">
        <v>12.0</v>
      </c>
      <c r="G33" s="272">
        <v>7.5</v>
      </c>
      <c r="H33" s="238">
        <v>7.813194444444444</v>
      </c>
      <c r="I33" s="88">
        <f t="shared" si="2"/>
        <v>0.3131944444</v>
      </c>
      <c r="J33" s="246"/>
    </row>
    <row r="34">
      <c r="A34" s="114">
        <v>32.0</v>
      </c>
      <c r="B34" s="273" t="s">
        <v>57</v>
      </c>
      <c r="C34" s="80" t="s">
        <v>302</v>
      </c>
      <c r="D34" s="80">
        <v>20.0</v>
      </c>
      <c r="E34" s="246">
        <f t="shared" si="1"/>
        <v>6</v>
      </c>
      <c r="F34" s="114">
        <v>6.0</v>
      </c>
      <c r="G34" s="272">
        <v>3.375</v>
      </c>
      <c r="H34" s="238">
        <v>3.207638888888889</v>
      </c>
      <c r="I34" s="88">
        <f t="shared" si="2"/>
        <v>-0.1673611111</v>
      </c>
      <c r="J34" s="246">
        <v>14.0</v>
      </c>
    </row>
    <row r="35">
      <c r="A35" s="114">
        <v>33.0</v>
      </c>
      <c r="B35" s="273" t="s">
        <v>263</v>
      </c>
      <c r="C35" s="80" t="s">
        <v>303</v>
      </c>
      <c r="D35" s="80">
        <v>20.0</v>
      </c>
      <c r="E35" s="246">
        <f t="shared" si="1"/>
        <v>18</v>
      </c>
      <c r="F35" s="114">
        <v>5.0</v>
      </c>
      <c r="G35" s="272">
        <v>6.75</v>
      </c>
      <c r="H35" s="238">
        <v>6.564583333333334</v>
      </c>
      <c r="I35" s="88">
        <f t="shared" si="2"/>
        <v>-0.1854166667</v>
      </c>
      <c r="J35" s="246">
        <v>2.0</v>
      </c>
    </row>
    <row r="36">
      <c r="A36" s="114">
        <v>34.0</v>
      </c>
      <c r="B36" s="274" t="s">
        <v>339</v>
      </c>
      <c r="C36" s="80" t="s">
        <v>303</v>
      </c>
      <c r="D36" s="80">
        <v>20.0</v>
      </c>
      <c r="E36" s="246">
        <f t="shared" si="1"/>
        <v>19</v>
      </c>
      <c r="F36" s="114">
        <v>7.0</v>
      </c>
      <c r="G36" s="272">
        <v>7.125</v>
      </c>
      <c r="H36" s="238">
        <v>6.59375</v>
      </c>
      <c r="I36" s="88">
        <f t="shared" si="2"/>
        <v>-0.53125</v>
      </c>
      <c r="J36" s="246">
        <v>1.0</v>
      </c>
    </row>
    <row r="37">
      <c r="A37" s="114">
        <v>35.0</v>
      </c>
      <c r="B37" s="273" t="s">
        <v>257</v>
      </c>
      <c r="C37" s="80" t="s">
        <v>300</v>
      </c>
      <c r="D37" s="80">
        <v>20.0</v>
      </c>
      <c r="E37" s="246">
        <f t="shared" si="1"/>
        <v>18</v>
      </c>
      <c r="F37" s="114">
        <v>11.0</v>
      </c>
      <c r="G37" s="272">
        <v>6.75</v>
      </c>
      <c r="H37" s="238">
        <v>6.458333333333333</v>
      </c>
      <c r="I37" s="88">
        <f t="shared" si="2"/>
        <v>-0.2916666667</v>
      </c>
      <c r="J37" s="246">
        <v>2.0</v>
      </c>
    </row>
    <row r="38">
      <c r="A38" s="114">
        <v>36.0</v>
      </c>
      <c r="B38" s="273" t="s">
        <v>132</v>
      </c>
      <c r="C38" s="80" t="s">
        <v>303</v>
      </c>
      <c r="D38" s="80">
        <v>20.0</v>
      </c>
      <c r="E38" s="246">
        <f t="shared" si="1"/>
        <v>19</v>
      </c>
      <c r="F38" s="114">
        <v>6.0</v>
      </c>
      <c r="G38" s="272">
        <v>7.125</v>
      </c>
      <c r="H38" s="238">
        <v>7.61875</v>
      </c>
      <c r="I38" s="88">
        <f t="shared" si="2"/>
        <v>0.49375</v>
      </c>
      <c r="J38" s="246">
        <v>1.0</v>
      </c>
    </row>
    <row r="39">
      <c r="A39" s="114">
        <v>37.0</v>
      </c>
      <c r="B39" s="273" t="s">
        <v>99</v>
      </c>
      <c r="C39" s="80" t="s">
        <v>305</v>
      </c>
      <c r="D39" s="80">
        <v>20.0</v>
      </c>
      <c r="E39" s="246">
        <f t="shared" si="1"/>
        <v>15</v>
      </c>
      <c r="F39" s="114">
        <v>6.0</v>
      </c>
      <c r="G39" s="272">
        <v>5.625</v>
      </c>
      <c r="H39" s="238">
        <v>5.986111111111111</v>
      </c>
      <c r="I39" s="88">
        <f t="shared" si="2"/>
        <v>0.3611111111</v>
      </c>
      <c r="J39" s="246">
        <v>5.0</v>
      </c>
    </row>
    <row r="40">
      <c r="A40" s="114">
        <v>38.0</v>
      </c>
      <c r="B40" s="273" t="s">
        <v>93</v>
      </c>
      <c r="C40" s="80" t="s">
        <v>303</v>
      </c>
      <c r="D40" s="80">
        <v>20.0</v>
      </c>
      <c r="E40" s="246">
        <f t="shared" si="1"/>
        <v>18.5</v>
      </c>
      <c r="F40" s="114">
        <v>2.0</v>
      </c>
      <c r="G40" s="94">
        <v>6.9375</v>
      </c>
      <c r="H40" s="238">
        <v>7.707638888888889</v>
      </c>
      <c r="I40" s="88">
        <f t="shared" si="2"/>
        <v>0.7701388889</v>
      </c>
      <c r="J40" s="278">
        <v>1.5</v>
      </c>
    </row>
    <row r="41">
      <c r="A41" s="114">
        <v>39.0</v>
      </c>
      <c r="B41" s="273" t="s">
        <v>135</v>
      </c>
      <c r="C41" s="80" t="s">
        <v>303</v>
      </c>
      <c r="D41" s="80">
        <v>20.0</v>
      </c>
      <c r="E41" s="246">
        <f t="shared" si="1"/>
        <v>18</v>
      </c>
      <c r="F41" s="114">
        <v>3.0</v>
      </c>
      <c r="G41" s="272">
        <v>6.75</v>
      </c>
      <c r="H41" s="238">
        <v>7.553472222222221</v>
      </c>
      <c r="I41" s="88">
        <f t="shared" si="2"/>
        <v>0.8034722222</v>
      </c>
      <c r="J41" s="278">
        <v>2.0</v>
      </c>
      <c r="L41" s="279"/>
      <c r="M41" s="280"/>
    </row>
    <row r="42">
      <c r="A42" s="114">
        <v>40.0</v>
      </c>
      <c r="B42" s="273" t="s">
        <v>183</v>
      </c>
      <c r="C42" s="80" t="s">
        <v>303</v>
      </c>
      <c r="D42" s="80">
        <v>20.0</v>
      </c>
      <c r="E42" s="246">
        <f t="shared" si="1"/>
        <v>18</v>
      </c>
      <c r="F42" s="114">
        <v>3.0</v>
      </c>
      <c r="G42" s="272">
        <v>6.75</v>
      </c>
      <c r="H42" s="238">
        <v>7.370138888888889</v>
      </c>
      <c r="I42" s="88">
        <f t="shared" si="2"/>
        <v>0.6201388889</v>
      </c>
      <c r="J42" s="278">
        <v>2.0</v>
      </c>
      <c r="L42" s="279"/>
      <c r="M42" s="280"/>
    </row>
    <row r="43">
      <c r="A43" s="114">
        <v>41.0</v>
      </c>
      <c r="B43" s="273" t="s">
        <v>186</v>
      </c>
      <c r="C43" s="80" t="s">
        <v>303</v>
      </c>
      <c r="D43" s="80">
        <v>20.0</v>
      </c>
      <c r="E43" s="246">
        <f t="shared" si="1"/>
        <v>17.5</v>
      </c>
      <c r="F43" s="114">
        <v>8.0</v>
      </c>
      <c r="G43" s="94">
        <v>6.5625</v>
      </c>
      <c r="H43" s="243">
        <v>7.166666666666667</v>
      </c>
      <c r="I43" s="88">
        <f t="shared" si="2"/>
        <v>0.6041666667</v>
      </c>
      <c r="J43" s="278">
        <v>2.5</v>
      </c>
      <c r="L43" s="279"/>
      <c r="M43" s="280"/>
    </row>
    <row r="44">
      <c r="A44" s="114">
        <v>42.0</v>
      </c>
      <c r="B44" s="273" t="s">
        <v>141</v>
      </c>
      <c r="C44" s="80" t="s">
        <v>300</v>
      </c>
      <c r="D44" s="80">
        <v>20.0</v>
      </c>
      <c r="E44" s="246">
        <f t="shared" si="1"/>
        <v>18</v>
      </c>
      <c r="F44" s="114">
        <v>6.0</v>
      </c>
      <c r="G44" s="272">
        <v>6.75</v>
      </c>
      <c r="H44" s="238">
        <v>6.563888888888889</v>
      </c>
      <c r="I44" s="88">
        <f t="shared" si="2"/>
        <v>-0.1861111111</v>
      </c>
      <c r="J44" s="278">
        <v>2.0</v>
      </c>
      <c r="L44" s="279"/>
      <c r="M44" s="280"/>
    </row>
    <row r="45">
      <c r="A45" s="114">
        <v>43.0</v>
      </c>
      <c r="B45" s="273" t="s">
        <v>207</v>
      </c>
      <c r="C45" s="80" t="s">
        <v>303</v>
      </c>
      <c r="D45" s="80">
        <v>20.0</v>
      </c>
      <c r="E45" s="246">
        <f t="shared" si="1"/>
        <v>17.5</v>
      </c>
      <c r="F45" s="114">
        <v>6.0</v>
      </c>
      <c r="G45" s="94">
        <v>6.5625</v>
      </c>
      <c r="H45" s="238">
        <v>6.301388888888888</v>
      </c>
      <c r="I45" s="88">
        <f t="shared" si="2"/>
        <v>-0.2611111111</v>
      </c>
      <c r="J45" s="278">
        <v>2.5</v>
      </c>
      <c r="L45" s="279"/>
      <c r="M45" s="280"/>
    </row>
    <row r="46">
      <c r="A46" s="114">
        <v>44.0</v>
      </c>
      <c r="B46" s="273" t="s">
        <v>78</v>
      </c>
      <c r="C46" s="80" t="s">
        <v>303</v>
      </c>
      <c r="D46" s="80">
        <v>20.0</v>
      </c>
      <c r="E46" s="246">
        <f t="shared" si="1"/>
        <v>19</v>
      </c>
      <c r="F46" s="114">
        <v>1.0</v>
      </c>
      <c r="G46" s="272">
        <v>7.125</v>
      </c>
      <c r="H46" s="238">
        <v>7.1187499999999995</v>
      </c>
      <c r="I46" s="88">
        <f t="shared" si="2"/>
        <v>-0.00625</v>
      </c>
      <c r="J46" s="278">
        <v>1.0</v>
      </c>
      <c r="L46" s="279"/>
      <c r="M46" s="280"/>
    </row>
    <row r="47">
      <c r="A47" s="114">
        <v>45.0</v>
      </c>
      <c r="B47" s="273" t="s">
        <v>14</v>
      </c>
      <c r="C47" s="80" t="s">
        <v>300</v>
      </c>
      <c r="D47" s="80">
        <v>20.0</v>
      </c>
      <c r="E47" s="246">
        <f t="shared" si="1"/>
        <v>15</v>
      </c>
      <c r="F47" s="114">
        <v>3.0</v>
      </c>
      <c r="G47" s="272">
        <v>5.625</v>
      </c>
      <c r="H47" s="238">
        <v>6.200694444444445</v>
      </c>
      <c r="I47" s="88">
        <f t="shared" si="2"/>
        <v>0.5756944444</v>
      </c>
      <c r="J47" s="278">
        <v>5.0</v>
      </c>
      <c r="L47" s="279"/>
      <c r="M47" s="280"/>
    </row>
    <row r="48">
      <c r="A48" s="114">
        <v>46.0</v>
      </c>
      <c r="B48" s="273" t="s">
        <v>105</v>
      </c>
      <c r="C48" s="80" t="s">
        <v>300</v>
      </c>
      <c r="D48" s="80">
        <v>20.0</v>
      </c>
      <c r="E48" s="246">
        <f t="shared" si="1"/>
        <v>20</v>
      </c>
      <c r="F48" s="114">
        <v>20.0</v>
      </c>
      <c r="G48" s="272">
        <v>7.5</v>
      </c>
      <c r="H48" s="272">
        <v>7.5</v>
      </c>
      <c r="I48" s="88">
        <f t="shared" si="2"/>
        <v>0</v>
      </c>
      <c r="J48" s="278"/>
      <c r="L48" s="279"/>
      <c r="M48" s="280"/>
    </row>
    <row r="49">
      <c r="A49" s="114">
        <v>47.0</v>
      </c>
      <c r="B49" s="273" t="s">
        <v>29</v>
      </c>
      <c r="C49" s="80" t="s">
        <v>300</v>
      </c>
      <c r="D49" s="80">
        <v>20.0</v>
      </c>
      <c r="E49" s="246">
        <f t="shared" si="1"/>
        <v>18</v>
      </c>
      <c r="F49" s="114">
        <v>18.0</v>
      </c>
      <c r="G49" s="272">
        <v>6.75</v>
      </c>
      <c r="H49" s="94">
        <v>6.75</v>
      </c>
      <c r="I49" s="88">
        <f t="shared" si="2"/>
        <v>0</v>
      </c>
      <c r="J49" s="278">
        <v>2.0</v>
      </c>
      <c r="L49" s="279"/>
      <c r="M49" s="280"/>
    </row>
    <row r="50">
      <c r="A50" s="114">
        <v>48.0</v>
      </c>
      <c r="B50" s="273" t="s">
        <v>17</v>
      </c>
      <c r="C50" s="80" t="s">
        <v>300</v>
      </c>
      <c r="D50" s="80">
        <v>20.0</v>
      </c>
      <c r="E50" s="246">
        <f t="shared" si="1"/>
        <v>17</v>
      </c>
      <c r="F50" s="114">
        <v>1.0</v>
      </c>
      <c r="G50" s="272">
        <v>6.375</v>
      </c>
      <c r="H50" s="238">
        <v>6.636805555555554</v>
      </c>
      <c r="I50" s="88">
        <f t="shared" si="2"/>
        <v>0.2618055556</v>
      </c>
      <c r="J50" s="278">
        <v>3.0</v>
      </c>
      <c r="L50" s="279"/>
      <c r="M50" s="280"/>
    </row>
    <row r="51">
      <c r="A51" s="114">
        <v>49.0</v>
      </c>
      <c r="B51" s="273" t="s">
        <v>150</v>
      </c>
      <c r="C51" s="80" t="s">
        <v>300</v>
      </c>
      <c r="D51" s="80">
        <v>20.0</v>
      </c>
      <c r="E51" s="246">
        <f t="shared" si="1"/>
        <v>17.5</v>
      </c>
      <c r="F51" s="114">
        <v>8.0</v>
      </c>
      <c r="G51" s="94">
        <v>6.5625</v>
      </c>
      <c r="H51" s="276">
        <v>7.386111111111111</v>
      </c>
      <c r="I51" s="88">
        <f t="shared" si="2"/>
        <v>0.8236111111</v>
      </c>
      <c r="J51" s="278">
        <v>2.5</v>
      </c>
      <c r="L51" s="279"/>
      <c r="M51" s="280"/>
    </row>
    <row r="52">
      <c r="A52" s="114">
        <v>50.0</v>
      </c>
      <c r="B52" s="273" t="s">
        <v>249</v>
      </c>
      <c r="C52" s="80" t="s">
        <v>304</v>
      </c>
      <c r="D52" s="80">
        <v>20.0</v>
      </c>
      <c r="E52" s="246">
        <f t="shared" si="1"/>
        <v>18.5</v>
      </c>
      <c r="F52" s="114">
        <v>6.0</v>
      </c>
      <c r="G52" s="94">
        <v>6.9375</v>
      </c>
      <c r="H52" s="238">
        <v>6.741666666666667</v>
      </c>
      <c r="I52" s="88">
        <f t="shared" si="2"/>
        <v>-0.1958333333</v>
      </c>
      <c r="J52" s="278">
        <v>1.5</v>
      </c>
      <c r="L52" s="279"/>
      <c r="M52" s="280"/>
    </row>
    <row r="53">
      <c r="A53" s="114">
        <v>51.0</v>
      </c>
      <c r="B53" s="273" t="s">
        <v>394</v>
      </c>
      <c r="C53" s="80" t="s">
        <v>305</v>
      </c>
      <c r="D53" s="80">
        <v>20.0</v>
      </c>
      <c r="E53" s="246">
        <f t="shared" si="1"/>
        <v>19</v>
      </c>
      <c r="F53" s="114">
        <v>4.0</v>
      </c>
      <c r="G53" s="272">
        <v>7.125</v>
      </c>
      <c r="H53" s="238">
        <v>6.894444444444445</v>
      </c>
      <c r="I53" s="88">
        <f t="shared" si="2"/>
        <v>-0.2305555556</v>
      </c>
      <c r="J53" s="278">
        <v>1.0</v>
      </c>
      <c r="L53" s="279"/>
      <c r="M53" s="280"/>
    </row>
    <row r="54">
      <c r="A54" s="114">
        <v>52.0</v>
      </c>
      <c r="B54" s="273" t="s">
        <v>72</v>
      </c>
      <c r="C54" s="80" t="s">
        <v>300</v>
      </c>
      <c r="D54" s="80">
        <v>20.0</v>
      </c>
      <c r="E54" s="246">
        <f t="shared" si="1"/>
        <v>15</v>
      </c>
      <c r="F54" s="114">
        <v>3.0</v>
      </c>
      <c r="G54" s="272">
        <v>5.625</v>
      </c>
      <c r="H54" s="238">
        <v>6.204166666666667</v>
      </c>
      <c r="I54" s="88">
        <f t="shared" si="2"/>
        <v>0.5791666667</v>
      </c>
      <c r="J54" s="278">
        <v>5.0</v>
      </c>
      <c r="L54" s="279"/>
      <c r="M54" s="280"/>
    </row>
    <row r="55">
      <c r="A55" s="114">
        <v>53.0</v>
      </c>
      <c r="B55" s="273" t="s">
        <v>204</v>
      </c>
      <c r="C55" s="80" t="s">
        <v>300</v>
      </c>
      <c r="D55" s="80">
        <v>20.0</v>
      </c>
      <c r="E55" s="246">
        <f t="shared" si="1"/>
        <v>20</v>
      </c>
      <c r="F55" s="114">
        <v>20.0</v>
      </c>
      <c r="G55" s="272">
        <v>7.5</v>
      </c>
      <c r="H55" s="272">
        <v>7.5</v>
      </c>
      <c r="I55" s="88">
        <f t="shared" si="2"/>
        <v>0</v>
      </c>
      <c r="J55" s="278"/>
      <c r="L55" s="279"/>
      <c r="M55" s="280"/>
    </row>
    <row r="56">
      <c r="A56" s="114">
        <v>54.0</v>
      </c>
      <c r="B56" s="274" t="s">
        <v>410</v>
      </c>
      <c r="C56" s="80" t="s">
        <v>303</v>
      </c>
      <c r="D56" s="80">
        <v>20.0</v>
      </c>
      <c r="E56" s="246">
        <f t="shared" si="1"/>
        <v>18.5</v>
      </c>
      <c r="F56" s="114"/>
      <c r="G56" s="94">
        <v>6.9375</v>
      </c>
      <c r="H56" s="238">
        <v>6.6083333333333325</v>
      </c>
      <c r="I56" s="88">
        <f t="shared" si="2"/>
        <v>-0.3291666667</v>
      </c>
      <c r="J56" s="278">
        <v>1.5</v>
      </c>
      <c r="L56" s="279"/>
      <c r="M56" s="280"/>
      <c r="N56" s="279"/>
      <c r="O56" s="280"/>
    </row>
    <row r="57">
      <c r="A57" s="114">
        <v>55.0</v>
      </c>
      <c r="B57" s="273" t="s">
        <v>81</v>
      </c>
      <c r="C57" s="80" t="s">
        <v>303</v>
      </c>
      <c r="D57" s="80">
        <v>20.0</v>
      </c>
      <c r="E57" s="246">
        <f t="shared" si="1"/>
        <v>17.5</v>
      </c>
      <c r="F57" s="114">
        <v>3.0</v>
      </c>
      <c r="G57" s="94">
        <v>6.5625</v>
      </c>
      <c r="H57" s="238">
        <v>7.339583333333334</v>
      </c>
      <c r="I57" s="88">
        <f t="shared" si="2"/>
        <v>0.7770833333</v>
      </c>
      <c r="J57" s="278">
        <v>2.5</v>
      </c>
      <c r="L57" s="279"/>
      <c r="M57" s="280"/>
      <c r="N57" s="279"/>
      <c r="O57" s="280"/>
    </row>
    <row r="58">
      <c r="A58" s="114">
        <v>56.0</v>
      </c>
      <c r="B58" s="273" t="s">
        <v>153</v>
      </c>
      <c r="C58" s="80" t="s">
        <v>300</v>
      </c>
      <c r="D58" s="80">
        <v>20.0</v>
      </c>
      <c r="E58" s="246">
        <f t="shared" si="1"/>
        <v>19.5</v>
      </c>
      <c r="F58" s="114">
        <v>6.0</v>
      </c>
      <c r="G58" s="94">
        <v>7.3125</v>
      </c>
      <c r="H58" s="238">
        <v>7.595833333333334</v>
      </c>
      <c r="I58" s="88">
        <f t="shared" si="2"/>
        <v>0.2833333333</v>
      </c>
      <c r="J58" s="278">
        <v>0.5</v>
      </c>
      <c r="L58" s="279"/>
      <c r="M58" s="280"/>
      <c r="N58" s="279"/>
      <c r="O58" s="280"/>
    </row>
    <row r="59">
      <c r="A59" s="114">
        <v>57.0</v>
      </c>
      <c r="B59" s="273" t="s">
        <v>198</v>
      </c>
      <c r="C59" s="80" t="s">
        <v>303</v>
      </c>
      <c r="D59" s="80">
        <v>20.0</v>
      </c>
      <c r="E59" s="246">
        <f t="shared" si="1"/>
        <v>15</v>
      </c>
      <c r="F59" s="114">
        <v>6.0</v>
      </c>
      <c r="G59" s="272">
        <v>5.625</v>
      </c>
      <c r="H59" s="238">
        <v>5.4125</v>
      </c>
      <c r="I59" s="88">
        <f t="shared" si="2"/>
        <v>-0.2125</v>
      </c>
      <c r="J59" s="278">
        <v>5.0</v>
      </c>
      <c r="L59" s="279"/>
      <c r="M59" s="280"/>
      <c r="N59" s="279"/>
      <c r="O59" s="280"/>
    </row>
    <row r="60">
      <c r="A60" s="114">
        <v>58.0</v>
      </c>
      <c r="B60" s="274" t="s">
        <v>411</v>
      </c>
      <c r="C60" s="80" t="s">
        <v>302</v>
      </c>
      <c r="D60" s="80">
        <v>20.0</v>
      </c>
      <c r="E60" s="246">
        <f t="shared" si="1"/>
        <v>18</v>
      </c>
      <c r="F60" s="114">
        <v>8.0</v>
      </c>
      <c r="G60" s="272">
        <v>6.75</v>
      </c>
      <c r="H60" s="238">
        <v>7.243055555555555</v>
      </c>
      <c r="I60" s="88">
        <f t="shared" si="2"/>
        <v>0.4930555556</v>
      </c>
      <c r="J60" s="278">
        <v>2.0</v>
      </c>
      <c r="L60" s="279"/>
      <c r="M60" s="280"/>
      <c r="N60" s="279"/>
      <c r="O60" s="280"/>
    </row>
    <row r="61">
      <c r="A61" s="114">
        <v>59.0</v>
      </c>
      <c r="B61" s="274" t="s">
        <v>412</v>
      </c>
      <c r="C61" s="80" t="s">
        <v>300</v>
      </c>
      <c r="D61" s="80">
        <v>20.0</v>
      </c>
      <c r="E61" s="246">
        <f t="shared" si="1"/>
        <v>18</v>
      </c>
      <c r="F61" s="114">
        <v>4.0</v>
      </c>
      <c r="G61" s="272">
        <v>6.75</v>
      </c>
      <c r="H61" s="238">
        <v>6.39861111111111</v>
      </c>
      <c r="I61" s="88">
        <f t="shared" si="2"/>
        <v>-0.3513888889</v>
      </c>
      <c r="J61" s="278">
        <v>2.0</v>
      </c>
      <c r="L61" s="279"/>
      <c r="M61" s="280"/>
      <c r="N61" s="279"/>
      <c r="O61" s="280"/>
    </row>
    <row r="62">
      <c r="A62" s="114">
        <v>60.0</v>
      </c>
      <c r="B62" s="273" t="s">
        <v>26</v>
      </c>
      <c r="C62" s="80" t="s">
        <v>305</v>
      </c>
      <c r="D62" s="80">
        <v>20.0</v>
      </c>
      <c r="E62" s="246">
        <f t="shared" si="1"/>
        <v>18.5</v>
      </c>
      <c r="F62" s="114">
        <v>5.0</v>
      </c>
      <c r="G62" s="94">
        <v>6.9375</v>
      </c>
      <c r="H62" s="238">
        <v>7.799305555555555</v>
      </c>
      <c r="I62" s="88">
        <f t="shared" si="2"/>
        <v>0.8618055556</v>
      </c>
      <c r="J62" s="278">
        <v>1.5</v>
      </c>
      <c r="L62" s="279"/>
      <c r="M62" s="280"/>
      <c r="N62" s="279"/>
      <c r="O62" s="280"/>
    </row>
    <row r="63">
      <c r="A63" s="114">
        <v>61.0</v>
      </c>
      <c r="B63" s="273" t="s">
        <v>51</v>
      </c>
      <c r="C63" s="80" t="s">
        <v>303</v>
      </c>
      <c r="D63" s="80">
        <v>20.0</v>
      </c>
      <c r="E63" s="246">
        <f t="shared" si="1"/>
        <v>9</v>
      </c>
      <c r="F63" s="114">
        <v>7.0</v>
      </c>
      <c r="G63" s="272">
        <v>3.375</v>
      </c>
      <c r="H63" s="238">
        <v>3.2423611111111112</v>
      </c>
      <c r="I63" s="88">
        <f t="shared" si="2"/>
        <v>-0.1326388889</v>
      </c>
      <c r="J63" s="278">
        <v>11.0</v>
      </c>
      <c r="L63" s="279"/>
      <c r="M63" s="280"/>
      <c r="N63" s="279"/>
      <c r="O63" s="280"/>
    </row>
    <row r="64">
      <c r="A64" s="114">
        <v>62.0</v>
      </c>
      <c r="B64" s="274" t="s">
        <v>413</v>
      </c>
      <c r="C64" s="80" t="s">
        <v>305</v>
      </c>
      <c r="D64" s="80">
        <v>20.0</v>
      </c>
      <c r="E64" s="246">
        <f t="shared" si="1"/>
        <v>16.5</v>
      </c>
      <c r="F64" s="114">
        <v>5.0</v>
      </c>
      <c r="G64" s="94">
        <v>6.1875</v>
      </c>
      <c r="H64" s="238">
        <v>5.934722222222222</v>
      </c>
      <c r="I64" s="88">
        <f t="shared" si="2"/>
        <v>-0.2527777778</v>
      </c>
      <c r="J64" s="278">
        <v>3.5</v>
      </c>
      <c r="L64" s="279"/>
      <c r="M64" s="281"/>
      <c r="N64" s="279"/>
      <c r="O64" s="280"/>
    </row>
    <row r="65">
      <c r="A65" s="114">
        <v>63.0</v>
      </c>
      <c r="B65" s="273" t="s">
        <v>397</v>
      </c>
      <c r="C65" s="80" t="s">
        <v>305</v>
      </c>
      <c r="D65" s="80">
        <v>20.0</v>
      </c>
      <c r="E65" s="246">
        <f t="shared" si="1"/>
        <v>19</v>
      </c>
      <c r="F65" s="114">
        <v>5.0</v>
      </c>
      <c r="G65" s="272">
        <v>7.125</v>
      </c>
      <c r="H65" s="238">
        <v>7.845833333333334</v>
      </c>
      <c r="I65" s="88">
        <f t="shared" si="2"/>
        <v>0.7208333333</v>
      </c>
      <c r="J65" s="278">
        <v>1.0</v>
      </c>
      <c r="L65" s="279"/>
      <c r="M65" s="281"/>
      <c r="N65" s="279"/>
      <c r="O65" s="280"/>
    </row>
    <row r="66">
      <c r="A66" s="114">
        <v>64.0</v>
      </c>
      <c r="B66" s="273" t="s">
        <v>385</v>
      </c>
      <c r="C66" s="80" t="s">
        <v>303</v>
      </c>
      <c r="D66" s="80">
        <v>20.0</v>
      </c>
      <c r="E66" s="246">
        <f t="shared" si="1"/>
        <v>19</v>
      </c>
      <c r="F66" s="114">
        <v>8.0</v>
      </c>
      <c r="G66" s="272">
        <v>7.125</v>
      </c>
      <c r="H66" s="238">
        <v>7.007638888888888</v>
      </c>
      <c r="I66" s="88">
        <f t="shared" si="2"/>
        <v>-0.1173611111</v>
      </c>
      <c r="J66" s="278">
        <v>1.0</v>
      </c>
      <c r="L66" s="279"/>
      <c r="M66" s="281"/>
      <c r="N66" s="279"/>
      <c r="O66" s="280"/>
    </row>
    <row r="67">
      <c r="A67" s="114">
        <v>65.0</v>
      </c>
      <c r="B67" s="273" t="s">
        <v>260</v>
      </c>
      <c r="C67" s="80" t="s">
        <v>303</v>
      </c>
      <c r="D67" s="80">
        <v>20.0</v>
      </c>
      <c r="E67" s="246">
        <f t="shared" si="1"/>
        <v>19</v>
      </c>
      <c r="F67" s="114">
        <v>7.0</v>
      </c>
      <c r="G67" s="272">
        <v>7.125</v>
      </c>
      <c r="H67" s="238">
        <v>6.441666666666666</v>
      </c>
      <c r="I67" s="88">
        <f t="shared" si="2"/>
        <v>-0.6833333333</v>
      </c>
      <c r="J67" s="278">
        <v>1.0</v>
      </c>
      <c r="L67" s="279"/>
      <c r="M67" s="280"/>
      <c r="N67" s="279"/>
      <c r="O67" s="280"/>
    </row>
    <row r="68">
      <c r="A68" s="114">
        <v>66.0</v>
      </c>
      <c r="B68" s="274" t="s">
        <v>400</v>
      </c>
      <c r="C68" s="80" t="s">
        <v>303</v>
      </c>
      <c r="D68" s="80">
        <v>20.0</v>
      </c>
      <c r="E68" s="246">
        <f t="shared" si="1"/>
        <v>19</v>
      </c>
      <c r="F68" s="114">
        <v>6.0</v>
      </c>
      <c r="G68" s="272">
        <v>7.125</v>
      </c>
      <c r="H68" s="238">
        <v>7.334722222222221</v>
      </c>
      <c r="I68" s="88">
        <f t="shared" si="2"/>
        <v>0.2097222222</v>
      </c>
      <c r="J68" s="278">
        <v>1.0</v>
      </c>
      <c r="N68" s="279"/>
      <c r="O68" s="280"/>
    </row>
    <row r="69">
      <c r="A69" s="114">
        <v>67.0</v>
      </c>
      <c r="B69" s="273" t="s">
        <v>32</v>
      </c>
      <c r="C69" s="80" t="s">
        <v>302</v>
      </c>
      <c r="D69" s="80">
        <v>20.0</v>
      </c>
      <c r="E69" s="246">
        <f t="shared" si="1"/>
        <v>14</v>
      </c>
      <c r="F69" s="114">
        <v>8.0</v>
      </c>
      <c r="G69" s="272">
        <v>5.25</v>
      </c>
      <c r="H69" s="238">
        <v>5.395138888888889</v>
      </c>
      <c r="I69" s="88">
        <f t="shared" si="2"/>
        <v>0.1451388889</v>
      </c>
      <c r="J69" s="278">
        <v>6.0</v>
      </c>
      <c r="N69" s="279"/>
      <c r="O69" s="280"/>
    </row>
    <row r="70">
      <c r="A70" s="114">
        <v>68.0</v>
      </c>
      <c r="B70" s="273" t="s">
        <v>390</v>
      </c>
      <c r="C70" s="80" t="s">
        <v>303</v>
      </c>
      <c r="D70" s="80">
        <v>20.0</v>
      </c>
      <c r="E70" s="246">
        <f t="shared" si="1"/>
        <v>20</v>
      </c>
      <c r="F70" s="114">
        <v>3.0</v>
      </c>
      <c r="G70" s="272">
        <v>7.5</v>
      </c>
      <c r="H70" s="238">
        <v>8.102083333333333</v>
      </c>
      <c r="I70" s="88">
        <f t="shared" si="2"/>
        <v>0.6020833333</v>
      </c>
      <c r="J70" s="278"/>
      <c r="N70" s="279"/>
      <c r="O70" s="280"/>
    </row>
    <row r="71">
      <c r="A71" s="114">
        <v>69.0</v>
      </c>
      <c r="B71" s="274" t="s">
        <v>437</v>
      </c>
      <c r="C71" s="80" t="s">
        <v>303</v>
      </c>
      <c r="D71" s="80">
        <v>8.0</v>
      </c>
      <c r="E71" s="246">
        <f t="shared" si="1"/>
        <v>8</v>
      </c>
      <c r="F71" s="114"/>
      <c r="G71" s="272">
        <v>3.0</v>
      </c>
      <c r="H71" s="238">
        <v>3.051388888888889</v>
      </c>
      <c r="I71" s="88">
        <f t="shared" si="2"/>
        <v>0.05138888889</v>
      </c>
      <c r="J71" s="278"/>
      <c r="N71" s="279"/>
      <c r="O71" s="280"/>
    </row>
    <row r="72">
      <c r="A72" s="114">
        <v>70.0</v>
      </c>
      <c r="B72" s="273" t="s">
        <v>23</v>
      </c>
      <c r="C72" s="80" t="s">
        <v>300</v>
      </c>
      <c r="D72" s="80">
        <v>20.0</v>
      </c>
      <c r="E72" s="246">
        <f t="shared" si="1"/>
        <v>16</v>
      </c>
      <c r="F72" s="114">
        <v>4.0</v>
      </c>
      <c r="G72" s="272">
        <v>6.0</v>
      </c>
      <c r="H72" s="238">
        <v>6.352083333333334</v>
      </c>
      <c r="I72" s="88">
        <f t="shared" si="2"/>
        <v>0.3520833333</v>
      </c>
      <c r="J72" s="278">
        <v>4.0</v>
      </c>
      <c r="N72" s="279"/>
      <c r="O72" s="280"/>
    </row>
    <row r="73">
      <c r="A73" s="114">
        <v>71.0</v>
      </c>
      <c r="B73" s="273" t="s">
        <v>138</v>
      </c>
      <c r="C73" s="80" t="s">
        <v>303</v>
      </c>
      <c r="D73" s="80">
        <v>20.0</v>
      </c>
      <c r="E73" s="246">
        <f t="shared" si="1"/>
        <v>18</v>
      </c>
      <c r="F73" s="114">
        <v>5.0</v>
      </c>
      <c r="G73" s="272">
        <v>6.75</v>
      </c>
      <c r="H73" s="238">
        <v>6.4736111111111105</v>
      </c>
      <c r="I73" s="88">
        <f t="shared" si="2"/>
        <v>-0.2763888889</v>
      </c>
      <c r="J73" s="278">
        <v>2.0</v>
      </c>
      <c r="N73" s="279"/>
      <c r="O73" s="280"/>
    </row>
    <row r="74">
      <c r="A74" s="114">
        <v>72.0</v>
      </c>
      <c r="B74" s="273" t="s">
        <v>228</v>
      </c>
      <c r="C74" s="80" t="s">
        <v>303</v>
      </c>
      <c r="D74" s="80">
        <v>9.0</v>
      </c>
      <c r="E74" s="246">
        <f t="shared" si="1"/>
        <v>8</v>
      </c>
      <c r="F74" s="114"/>
      <c r="G74" s="272">
        <v>3.0</v>
      </c>
      <c r="H74" s="238">
        <v>2.4541666666666666</v>
      </c>
      <c r="I74" s="88">
        <f t="shared" si="2"/>
        <v>-0.5458333333</v>
      </c>
      <c r="J74" s="278">
        <v>1.0</v>
      </c>
      <c r="N74" s="279"/>
      <c r="O74" s="280"/>
    </row>
    <row r="75">
      <c r="A75" s="114">
        <v>73.0</v>
      </c>
      <c r="B75" s="273" t="s">
        <v>273</v>
      </c>
      <c r="C75" s="80" t="s">
        <v>303</v>
      </c>
      <c r="D75" s="80">
        <v>20.0</v>
      </c>
      <c r="E75" s="246">
        <f t="shared" si="1"/>
        <v>13</v>
      </c>
      <c r="F75" s="114">
        <v>5.0</v>
      </c>
      <c r="G75" s="272">
        <v>4.875</v>
      </c>
      <c r="H75" s="238">
        <v>4.502083333333333</v>
      </c>
      <c r="I75" s="88">
        <f t="shared" si="2"/>
        <v>-0.3729166667</v>
      </c>
      <c r="J75" s="278">
        <v>7.0</v>
      </c>
      <c r="N75" s="279"/>
      <c r="O75" s="280"/>
    </row>
    <row r="76">
      <c r="A76" s="114">
        <v>74.0</v>
      </c>
      <c r="B76" s="273" t="s">
        <v>10</v>
      </c>
      <c r="C76" s="80" t="s">
        <v>303</v>
      </c>
      <c r="D76" s="80">
        <v>20.0</v>
      </c>
      <c r="E76" s="246">
        <f t="shared" si="1"/>
        <v>20</v>
      </c>
      <c r="F76" s="114">
        <v>5.0</v>
      </c>
      <c r="G76" s="272">
        <v>7.5</v>
      </c>
      <c r="H76" s="238">
        <v>8.125</v>
      </c>
      <c r="I76" s="88">
        <f t="shared" si="2"/>
        <v>0.625</v>
      </c>
      <c r="J76" s="278"/>
      <c r="N76" s="279"/>
      <c r="O76" s="280"/>
    </row>
    <row r="77">
      <c r="A77" s="114">
        <v>75.0</v>
      </c>
      <c r="B77" s="273" t="s">
        <v>6</v>
      </c>
      <c r="C77" s="80" t="s">
        <v>301</v>
      </c>
      <c r="D77" s="80">
        <v>20.0</v>
      </c>
      <c r="E77" s="246">
        <f t="shared" si="1"/>
        <v>20</v>
      </c>
      <c r="F77" s="114"/>
      <c r="G77" s="272">
        <v>7.5</v>
      </c>
      <c r="H77" s="238">
        <v>9.723611111111111</v>
      </c>
      <c r="I77" s="88">
        <f t="shared" si="2"/>
        <v>2.223611111</v>
      </c>
      <c r="J77" s="278"/>
      <c r="N77" s="279"/>
      <c r="O77" s="280"/>
    </row>
    <row r="78">
      <c r="A78" s="114">
        <v>76.0</v>
      </c>
      <c r="B78" s="273" t="s">
        <v>75</v>
      </c>
      <c r="C78" s="80" t="s">
        <v>303</v>
      </c>
      <c r="D78" s="80">
        <v>20.0</v>
      </c>
      <c r="E78" s="246">
        <f t="shared" si="1"/>
        <v>20</v>
      </c>
      <c r="F78" s="114">
        <v>7.0</v>
      </c>
      <c r="G78" s="272">
        <v>7.5</v>
      </c>
      <c r="H78" s="238">
        <v>6.064583333333333</v>
      </c>
      <c r="I78" s="88">
        <f t="shared" si="2"/>
        <v>-1.435416667</v>
      </c>
      <c r="J78" s="278"/>
      <c r="N78" s="279"/>
      <c r="O78" s="280"/>
    </row>
    <row r="79">
      <c r="A79" s="114">
        <v>77.0</v>
      </c>
      <c r="B79" s="273" t="s">
        <v>120</v>
      </c>
      <c r="C79" s="80" t="s">
        <v>303</v>
      </c>
      <c r="D79" s="80">
        <v>25.0</v>
      </c>
      <c r="E79" s="246">
        <f t="shared" si="1"/>
        <v>25</v>
      </c>
      <c r="F79" s="114"/>
      <c r="G79" s="94">
        <v>9.375</v>
      </c>
      <c r="H79" s="238">
        <v>6.601388888888889</v>
      </c>
      <c r="I79" s="88">
        <f t="shared" si="2"/>
        <v>-2.773611111</v>
      </c>
      <c r="J79" s="278"/>
      <c r="N79" s="279"/>
      <c r="O79" s="281"/>
    </row>
    <row r="80">
      <c r="A80" s="114">
        <v>78.0</v>
      </c>
      <c r="B80" s="282" t="s">
        <v>123</v>
      </c>
      <c r="C80" s="80" t="s">
        <v>303</v>
      </c>
      <c r="D80" s="80">
        <v>25.0</v>
      </c>
      <c r="E80" s="246">
        <f t="shared" si="1"/>
        <v>20</v>
      </c>
      <c r="F80" s="114"/>
      <c r="G80" s="272">
        <v>7.125</v>
      </c>
      <c r="H80" s="243">
        <v>5.29375</v>
      </c>
      <c r="I80" s="88">
        <f t="shared" si="2"/>
        <v>-1.83125</v>
      </c>
      <c r="J80" s="246">
        <v>5.0</v>
      </c>
      <c r="N80" s="279"/>
      <c r="O80" s="281"/>
    </row>
    <row r="81">
      <c r="A81" s="114">
        <v>79.0</v>
      </c>
      <c r="B81" s="273" t="s">
        <v>111</v>
      </c>
      <c r="C81" s="80" t="s">
        <v>303</v>
      </c>
      <c r="D81" s="80">
        <v>25.0</v>
      </c>
      <c r="E81" s="246">
        <f t="shared" si="1"/>
        <v>25</v>
      </c>
      <c r="F81" s="114"/>
      <c r="G81" s="94">
        <v>9.375</v>
      </c>
      <c r="H81" s="238">
        <v>8.57986111111111</v>
      </c>
      <c r="I81" s="88">
        <f t="shared" si="2"/>
        <v>-0.7951388889</v>
      </c>
      <c r="J81" s="246"/>
      <c r="N81" s="279"/>
      <c r="O81" s="281"/>
    </row>
    <row r="82">
      <c r="A82" s="114">
        <v>80.0</v>
      </c>
      <c r="B82" s="282" t="s">
        <v>114</v>
      </c>
      <c r="C82" s="80" t="s">
        <v>303</v>
      </c>
      <c r="D82" s="80">
        <v>25.0</v>
      </c>
      <c r="E82" s="246">
        <f t="shared" si="1"/>
        <v>18</v>
      </c>
      <c r="F82" s="114"/>
      <c r="G82" s="272">
        <v>6.75</v>
      </c>
      <c r="H82" s="238">
        <v>8.174305555555556</v>
      </c>
      <c r="I82" s="88">
        <f t="shared" si="2"/>
        <v>1.424305556</v>
      </c>
      <c r="J82" s="246">
        <v>7.0</v>
      </c>
      <c r="N82" s="279"/>
      <c r="O82" s="280"/>
    </row>
    <row r="83">
      <c r="A83" s="114">
        <v>81.0</v>
      </c>
      <c r="B83" s="282" t="s">
        <v>129</v>
      </c>
      <c r="C83" s="80" t="s">
        <v>303</v>
      </c>
      <c r="D83" s="80">
        <v>25.0</v>
      </c>
      <c r="E83" s="246">
        <f t="shared" si="1"/>
        <v>25</v>
      </c>
      <c r="F83" s="114"/>
      <c r="G83" s="94">
        <v>9.375</v>
      </c>
      <c r="H83" s="238">
        <v>8.536111111111111</v>
      </c>
      <c r="I83" s="88">
        <f t="shared" si="2"/>
        <v>-0.8388888889</v>
      </c>
      <c r="J83" s="246"/>
    </row>
    <row r="84">
      <c r="A84" s="114">
        <v>82.0</v>
      </c>
      <c r="B84" s="273" t="s">
        <v>126</v>
      </c>
      <c r="C84" s="80" t="s">
        <v>303</v>
      </c>
      <c r="D84" s="80">
        <v>25.0</v>
      </c>
      <c r="E84" s="246">
        <f t="shared" si="1"/>
        <v>25</v>
      </c>
      <c r="F84" s="114"/>
      <c r="G84" s="94">
        <v>9.375</v>
      </c>
      <c r="H84" s="238">
        <v>14.75972222222222</v>
      </c>
      <c r="I84" s="88">
        <f t="shared" si="2"/>
        <v>5.384722222</v>
      </c>
      <c r="J84" s="246"/>
    </row>
    <row r="85">
      <c r="A85" s="114">
        <v>83.0</v>
      </c>
      <c r="B85" s="273" t="s">
        <v>287</v>
      </c>
      <c r="C85" s="80" t="s">
        <v>303</v>
      </c>
      <c r="D85" s="80">
        <v>25.0</v>
      </c>
      <c r="E85" s="246">
        <f t="shared" si="1"/>
        <v>25</v>
      </c>
      <c r="F85" s="114"/>
      <c r="G85" s="94">
        <v>9.375</v>
      </c>
      <c r="H85" s="238">
        <v>9.247916666666665</v>
      </c>
      <c r="I85" s="88">
        <f t="shared" si="2"/>
        <v>-0.1270833333</v>
      </c>
      <c r="J85" s="246"/>
    </row>
    <row r="86">
      <c r="A86" s="114">
        <v>84.0</v>
      </c>
      <c r="B86" s="275" t="s">
        <v>162</v>
      </c>
      <c r="C86" s="80" t="s">
        <v>303</v>
      </c>
      <c r="D86" s="80">
        <v>25.0</v>
      </c>
      <c r="E86" s="246">
        <f t="shared" si="1"/>
        <v>25</v>
      </c>
      <c r="F86" s="114"/>
      <c r="G86" s="94">
        <v>9.375</v>
      </c>
      <c r="H86" s="238">
        <v>11.495138888888889</v>
      </c>
      <c r="I86" s="88">
        <f t="shared" si="2"/>
        <v>2.120138889</v>
      </c>
      <c r="J86" s="246"/>
    </row>
    <row r="87">
      <c r="A87" s="114">
        <v>85.0</v>
      </c>
      <c r="B87" s="273" t="s">
        <v>117</v>
      </c>
      <c r="C87" s="80" t="s">
        <v>303</v>
      </c>
      <c r="D87" s="80">
        <v>25.0</v>
      </c>
      <c r="E87" s="246">
        <f t="shared" si="1"/>
        <v>25</v>
      </c>
      <c r="F87" s="114"/>
      <c r="G87" s="94">
        <v>9.375</v>
      </c>
      <c r="H87" s="238">
        <v>8.785416666666665</v>
      </c>
      <c r="I87" s="88">
        <f t="shared" si="2"/>
        <v>-0.5895833333</v>
      </c>
      <c r="J87" s="246"/>
    </row>
    <row r="88">
      <c r="A88" s="114">
        <v>86.0</v>
      </c>
      <c r="B88" s="273" t="s">
        <v>237</v>
      </c>
      <c r="C88" s="80" t="s">
        <v>303</v>
      </c>
      <c r="D88" s="80">
        <v>25.0</v>
      </c>
      <c r="E88" s="246">
        <f t="shared" si="1"/>
        <v>25</v>
      </c>
      <c r="F88" s="114"/>
      <c r="G88" s="94">
        <v>9.375</v>
      </c>
      <c r="H88" s="238">
        <v>9.129861111111108</v>
      </c>
      <c r="I88" s="88">
        <f t="shared" si="2"/>
        <v>-0.2451388889</v>
      </c>
      <c r="J88" s="246"/>
    </row>
    <row r="89">
      <c r="A89" s="114">
        <v>87.0</v>
      </c>
      <c r="B89" s="273" t="s">
        <v>288</v>
      </c>
      <c r="C89" s="80" t="s">
        <v>303</v>
      </c>
      <c r="D89" s="283">
        <v>25.0</v>
      </c>
      <c r="E89" s="246">
        <f t="shared" si="1"/>
        <v>25</v>
      </c>
      <c r="F89" s="115"/>
      <c r="G89" s="94">
        <v>9.375</v>
      </c>
      <c r="H89" s="238">
        <v>9.50625</v>
      </c>
      <c r="I89" s="88">
        <f t="shared" si="2"/>
        <v>0.13125</v>
      </c>
      <c r="J89" s="246"/>
    </row>
    <row r="90">
      <c r="D90" s="284"/>
    </row>
  </sheetData>
  <autoFilter ref="$A$1:$J$89"/>
  <mergeCells count="2">
    <mergeCell ref="A1:B1"/>
    <mergeCell ref="C1:J1"/>
  </mergeCells>
  <conditionalFormatting sqref="I3:I89">
    <cfRule type="cellIs" dxfId="12" priority="1" operator="lessThan">
      <formula>"00:00:00"</formula>
    </cfRule>
  </conditionalFormatting>
  <conditionalFormatting sqref="I3:I89">
    <cfRule type="cellIs" dxfId="7" priority="2" operator="greaterThan">
      <formula>"00:00:00"</formula>
    </cfRule>
  </conditionalFormatting>
  <dataValidations>
    <dataValidation type="list" allowBlank="1" showErrorMessage="1" sqref="C3:C89">
      <formula1>"JetClass,FAMS,DevOps,Voltro,SS,Special Projects"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21.63"/>
  </cols>
  <sheetData>
    <row r="1">
      <c r="A1" s="1" t="s">
        <v>443</v>
      </c>
      <c r="B1" s="1" t="s">
        <v>444</v>
      </c>
      <c r="C1" s="1" t="s">
        <v>1</v>
      </c>
      <c r="D1" s="1" t="s">
        <v>2</v>
      </c>
      <c r="E1" s="1" t="s">
        <v>445</v>
      </c>
      <c r="F1" s="1" t="s">
        <v>446</v>
      </c>
      <c r="G1" s="1" t="s">
        <v>447</v>
      </c>
      <c r="H1" s="1" t="s">
        <v>448</v>
      </c>
      <c r="I1" s="285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</row>
    <row r="2">
      <c r="A2" s="2">
        <v>81.0</v>
      </c>
      <c r="B2" s="2">
        <v>1.0</v>
      </c>
      <c r="C2" s="2" t="s">
        <v>5</v>
      </c>
      <c r="D2" s="2" t="s">
        <v>6</v>
      </c>
      <c r="E2" s="286">
        <v>45973.0</v>
      </c>
      <c r="F2" s="287">
        <v>0.43472222222222223</v>
      </c>
      <c r="G2" s="287">
        <v>0.9770833333333333</v>
      </c>
      <c r="H2" s="287"/>
      <c r="I2" s="287"/>
      <c r="J2" s="2"/>
      <c r="K2" s="2"/>
      <c r="L2" s="287"/>
      <c r="M2" s="2"/>
      <c r="N2" s="2"/>
      <c r="O2" s="287"/>
      <c r="P2" s="287">
        <v>0.5423611111111111</v>
      </c>
      <c r="R2" s="288"/>
    </row>
    <row r="3">
      <c r="A3" s="2">
        <v>2.0</v>
      </c>
      <c r="B3" s="2">
        <v>9.0</v>
      </c>
      <c r="C3" s="2" t="s">
        <v>9</v>
      </c>
      <c r="D3" s="2" t="s">
        <v>10</v>
      </c>
      <c r="E3" s="286">
        <v>45973.0</v>
      </c>
      <c r="F3" s="287">
        <v>0.6208333333333333</v>
      </c>
      <c r="G3" s="287">
        <v>0.9722222222222222</v>
      </c>
      <c r="H3" s="287"/>
      <c r="I3" s="287"/>
      <c r="J3" s="289"/>
      <c r="K3" s="289"/>
      <c r="L3" s="287"/>
      <c r="M3" s="289"/>
      <c r="N3" s="289"/>
      <c r="O3" s="287"/>
      <c r="P3" s="287">
        <v>0.35138888888888886</v>
      </c>
    </row>
    <row r="4">
      <c r="A4" s="2">
        <v>4.0</v>
      </c>
      <c r="B4" s="2">
        <v>39.0</v>
      </c>
      <c r="C4" s="2" t="s">
        <v>16</v>
      </c>
      <c r="D4" s="2" t="s">
        <v>17</v>
      </c>
      <c r="E4" s="286">
        <v>45973.0</v>
      </c>
      <c r="F4" s="287"/>
      <c r="G4" s="287"/>
      <c r="H4" s="287"/>
      <c r="I4" s="287"/>
      <c r="J4" s="289"/>
      <c r="K4" s="289"/>
      <c r="L4" s="287"/>
      <c r="M4" s="289"/>
      <c r="N4" s="289"/>
      <c r="O4" s="287"/>
      <c r="P4" s="287"/>
      <c r="R4" s="288"/>
    </row>
    <row r="5">
      <c r="A5" s="2">
        <v>6.0</v>
      </c>
      <c r="B5" s="2">
        <v>53.0</v>
      </c>
      <c r="C5" s="2" t="s">
        <v>22</v>
      </c>
      <c r="D5" s="2" t="s">
        <v>23</v>
      </c>
      <c r="E5" s="286">
        <v>45973.0</v>
      </c>
      <c r="F5" s="287">
        <v>0.6131944444444445</v>
      </c>
      <c r="G5" s="287">
        <v>0.9847222222222223</v>
      </c>
      <c r="H5" s="287"/>
      <c r="I5" s="287"/>
      <c r="J5" s="289"/>
      <c r="K5" s="289"/>
      <c r="L5" s="287"/>
      <c r="M5" s="289"/>
      <c r="N5" s="289"/>
      <c r="O5" s="287"/>
      <c r="P5" s="287">
        <v>0.3715277777777778</v>
      </c>
      <c r="R5" s="288"/>
    </row>
    <row r="6">
      <c r="A6" s="2">
        <v>7.0</v>
      </c>
      <c r="B6" s="2">
        <v>63.0</v>
      </c>
      <c r="C6" s="2" t="s">
        <v>25</v>
      </c>
      <c r="D6" s="2" t="s">
        <v>26</v>
      </c>
      <c r="E6" s="286">
        <v>45973.0</v>
      </c>
      <c r="F6" s="287">
        <v>0.5388888888888889</v>
      </c>
      <c r="G6" s="287"/>
      <c r="H6" s="287"/>
      <c r="I6" s="287"/>
      <c r="J6" s="289"/>
      <c r="K6" s="289"/>
      <c r="L6" s="287"/>
      <c r="M6" s="289"/>
      <c r="N6" s="289"/>
      <c r="O6" s="287"/>
      <c r="P6" s="287"/>
    </row>
    <row r="7">
      <c r="A7" s="2">
        <v>13.0</v>
      </c>
      <c r="B7" s="2">
        <v>95.0</v>
      </c>
      <c r="C7" s="2" t="s">
        <v>40</v>
      </c>
      <c r="D7" s="2" t="s">
        <v>41</v>
      </c>
      <c r="E7" s="286">
        <v>45973.0</v>
      </c>
      <c r="F7" s="287">
        <v>0.3715277777777778</v>
      </c>
      <c r="G7" s="287">
        <v>0.7680555555555556</v>
      </c>
      <c r="H7" s="287"/>
      <c r="I7" s="287"/>
      <c r="J7" s="289"/>
      <c r="K7" s="289"/>
      <c r="L7" s="287"/>
      <c r="M7" s="289"/>
      <c r="N7" s="289"/>
      <c r="O7" s="287"/>
      <c r="P7" s="287">
        <v>0.39652777777777776</v>
      </c>
      <c r="R7" s="288"/>
    </row>
    <row r="8">
      <c r="A8" s="2">
        <v>16.0</v>
      </c>
      <c r="B8" s="2">
        <v>100.0</v>
      </c>
      <c r="C8" s="2" t="s">
        <v>50</v>
      </c>
      <c r="D8" s="2" t="s">
        <v>51</v>
      </c>
      <c r="E8" s="286">
        <v>45973.0</v>
      </c>
      <c r="F8" s="287">
        <v>0.5472222222222223</v>
      </c>
      <c r="G8" s="287">
        <v>0.8090277777777778</v>
      </c>
      <c r="H8" s="287"/>
      <c r="I8" s="287"/>
      <c r="J8" s="289"/>
      <c r="K8" s="289"/>
      <c r="L8" s="287"/>
      <c r="M8" s="289"/>
      <c r="N8" s="289"/>
      <c r="O8" s="287"/>
      <c r="P8" s="287">
        <v>0.26180555555555557</v>
      </c>
    </row>
    <row r="9">
      <c r="A9" s="2">
        <v>25.0</v>
      </c>
      <c r="B9" s="2">
        <v>115.0</v>
      </c>
      <c r="C9" s="2" t="s">
        <v>71</v>
      </c>
      <c r="D9" s="2" t="s">
        <v>72</v>
      </c>
      <c r="E9" s="286">
        <v>45973.0</v>
      </c>
      <c r="F9" s="287">
        <v>0.5076388888888889</v>
      </c>
      <c r="G9" s="287"/>
      <c r="H9" s="287"/>
      <c r="I9" s="287"/>
      <c r="J9" s="289"/>
      <c r="K9" s="289"/>
      <c r="L9" s="287"/>
      <c r="M9" s="289"/>
      <c r="N9" s="289"/>
      <c r="O9" s="287"/>
      <c r="P9" s="287"/>
    </row>
    <row r="10">
      <c r="A10" s="2">
        <v>26.0</v>
      </c>
      <c r="B10" s="2">
        <v>119.0</v>
      </c>
      <c r="C10" s="2" t="s">
        <v>74</v>
      </c>
      <c r="D10" s="2" t="s">
        <v>75</v>
      </c>
      <c r="E10" s="286">
        <v>45973.0</v>
      </c>
      <c r="F10" s="287">
        <v>0.5680555555555555</v>
      </c>
      <c r="G10" s="287">
        <v>0.84375</v>
      </c>
      <c r="H10" s="287"/>
      <c r="I10" s="287"/>
      <c r="J10" s="289"/>
      <c r="K10" s="289"/>
      <c r="L10" s="287"/>
      <c r="M10" s="289"/>
      <c r="N10" s="289"/>
      <c r="O10" s="287"/>
      <c r="P10" s="287">
        <v>0.27569444444444446</v>
      </c>
    </row>
    <row r="11">
      <c r="A11" s="2">
        <v>27.0</v>
      </c>
      <c r="B11" s="2">
        <v>120.0</v>
      </c>
      <c r="C11" s="2" t="s">
        <v>77</v>
      </c>
      <c r="D11" s="2" t="s">
        <v>78</v>
      </c>
      <c r="E11" s="286">
        <v>45973.0</v>
      </c>
      <c r="F11" s="287">
        <v>0.5020833333333333</v>
      </c>
      <c r="G11" s="287">
        <v>0.8729166666666667</v>
      </c>
      <c r="H11" s="287"/>
      <c r="I11" s="287"/>
      <c r="J11" s="289"/>
      <c r="K11" s="289"/>
      <c r="L11" s="287"/>
      <c r="M11" s="289"/>
      <c r="N11" s="289"/>
      <c r="O11" s="287"/>
      <c r="P11" s="287">
        <v>0.37083333333333335</v>
      </c>
    </row>
    <row r="12">
      <c r="A12" s="2">
        <v>29.0</v>
      </c>
      <c r="B12" s="2">
        <v>122.0</v>
      </c>
      <c r="C12" s="2" t="s">
        <v>80</v>
      </c>
      <c r="D12" s="2" t="s">
        <v>81</v>
      </c>
      <c r="E12" s="286">
        <v>45973.0</v>
      </c>
      <c r="F12" s="287">
        <v>0.49722222222222223</v>
      </c>
      <c r="G12" s="287">
        <v>0.9069444444444444</v>
      </c>
      <c r="H12" s="287"/>
      <c r="I12" s="287"/>
      <c r="J12" s="289"/>
      <c r="K12" s="289"/>
      <c r="L12" s="287"/>
      <c r="M12" s="289"/>
      <c r="N12" s="289"/>
      <c r="O12" s="287"/>
      <c r="P12" s="287">
        <v>0.4097222222222222</v>
      </c>
    </row>
    <row r="13">
      <c r="A13" s="2">
        <v>33.0</v>
      </c>
      <c r="B13" s="2">
        <v>129.0</v>
      </c>
      <c r="C13" s="2" t="s">
        <v>92</v>
      </c>
      <c r="D13" s="2" t="s">
        <v>93</v>
      </c>
      <c r="E13" s="286">
        <v>45973.0</v>
      </c>
      <c r="F13" s="287">
        <v>0.50625</v>
      </c>
      <c r="G13" s="287">
        <v>0.8513888888888889</v>
      </c>
      <c r="H13" s="287"/>
      <c r="I13" s="287"/>
      <c r="J13" s="289"/>
      <c r="K13" s="289"/>
      <c r="L13" s="287"/>
      <c r="M13" s="289"/>
      <c r="N13" s="289"/>
      <c r="O13" s="287"/>
      <c r="P13" s="287">
        <v>0.3451388888888889</v>
      </c>
    </row>
    <row r="14">
      <c r="A14" s="2">
        <v>41.0</v>
      </c>
      <c r="B14" s="2">
        <v>145.0</v>
      </c>
      <c r="C14" s="2" t="s">
        <v>110</v>
      </c>
      <c r="D14" s="2" t="s">
        <v>111</v>
      </c>
      <c r="E14" s="286">
        <v>45973.0</v>
      </c>
      <c r="F14" s="287">
        <v>0.3763888888888889</v>
      </c>
      <c r="G14" s="287">
        <v>0.7618055555555555</v>
      </c>
      <c r="H14" s="287"/>
      <c r="I14" s="287"/>
      <c r="J14" s="289"/>
      <c r="K14" s="289"/>
      <c r="L14" s="287"/>
      <c r="M14" s="289"/>
      <c r="N14" s="289"/>
      <c r="O14" s="287"/>
      <c r="P14" s="287">
        <v>0.3854166666666667</v>
      </c>
    </row>
    <row r="15">
      <c r="A15" s="2">
        <v>42.0</v>
      </c>
      <c r="B15" s="2">
        <v>146.0</v>
      </c>
      <c r="C15" s="2" t="s">
        <v>113</v>
      </c>
      <c r="D15" s="2" t="s">
        <v>114</v>
      </c>
      <c r="E15" s="286">
        <v>45973.0</v>
      </c>
      <c r="F15" s="287"/>
      <c r="G15" s="287"/>
      <c r="H15" s="287"/>
      <c r="I15" s="287"/>
      <c r="J15" s="289"/>
      <c r="K15" s="289"/>
      <c r="L15" s="287"/>
      <c r="M15" s="289"/>
      <c r="N15" s="289"/>
      <c r="O15" s="287"/>
      <c r="P15" s="287"/>
    </row>
    <row r="16">
      <c r="A16" s="2">
        <v>43.0</v>
      </c>
      <c r="B16" s="2">
        <v>147.0</v>
      </c>
      <c r="C16" s="2" t="s">
        <v>116</v>
      </c>
      <c r="D16" s="2" t="s">
        <v>117</v>
      </c>
      <c r="E16" s="286">
        <v>45973.0</v>
      </c>
      <c r="F16" s="287">
        <v>0.5152777777777777</v>
      </c>
      <c r="G16" s="287">
        <v>0.9333333333333333</v>
      </c>
      <c r="H16" s="287"/>
      <c r="I16" s="287"/>
      <c r="J16" s="289"/>
      <c r="K16" s="289"/>
      <c r="L16" s="287"/>
      <c r="M16" s="289"/>
      <c r="N16" s="289"/>
      <c r="O16" s="287"/>
      <c r="P16" s="287">
        <v>0.41805555555555557</v>
      </c>
    </row>
    <row r="17">
      <c r="A17" s="2">
        <v>44.0</v>
      </c>
      <c r="B17" s="2">
        <v>148.0</v>
      </c>
      <c r="C17" s="2" t="s">
        <v>119</v>
      </c>
      <c r="D17" s="2" t="s">
        <v>120</v>
      </c>
      <c r="E17" s="286">
        <v>45973.0</v>
      </c>
      <c r="F17" s="287"/>
      <c r="G17" s="287"/>
      <c r="H17" s="287"/>
      <c r="I17" s="287"/>
      <c r="J17" s="289"/>
      <c r="K17" s="289"/>
      <c r="L17" s="287"/>
      <c r="M17" s="289"/>
      <c r="N17" s="289"/>
      <c r="O17" s="287"/>
      <c r="P17" s="287"/>
    </row>
    <row r="18">
      <c r="A18" s="2">
        <v>45.0</v>
      </c>
      <c r="B18" s="2">
        <v>149.0</v>
      </c>
      <c r="C18" s="2" t="s">
        <v>122</v>
      </c>
      <c r="D18" s="2" t="s">
        <v>123</v>
      </c>
      <c r="E18" s="286">
        <v>45973.0</v>
      </c>
      <c r="F18" s="287">
        <v>0.4826388888888889</v>
      </c>
      <c r="G18" s="287">
        <v>0.8791666666666667</v>
      </c>
      <c r="H18" s="287"/>
      <c r="I18" s="287"/>
      <c r="J18" s="289"/>
      <c r="K18" s="289"/>
      <c r="L18" s="287"/>
      <c r="M18" s="289"/>
      <c r="N18" s="289"/>
      <c r="O18" s="287"/>
      <c r="P18" s="287">
        <v>0.39652777777777776</v>
      </c>
    </row>
    <row r="19">
      <c r="A19" s="2">
        <v>46.0</v>
      </c>
      <c r="B19" s="2">
        <v>151.0</v>
      </c>
      <c r="C19" s="2" t="s">
        <v>125</v>
      </c>
      <c r="D19" s="2" t="s">
        <v>126</v>
      </c>
      <c r="E19" s="286">
        <v>45973.0</v>
      </c>
      <c r="F19" s="287">
        <v>0.30486111111111114</v>
      </c>
      <c r="G19" s="287">
        <v>0.6590277777777778</v>
      </c>
      <c r="H19" s="287"/>
      <c r="I19" s="287"/>
      <c r="J19" s="289"/>
      <c r="K19" s="289"/>
      <c r="L19" s="287"/>
      <c r="M19" s="289"/>
      <c r="N19" s="289"/>
      <c r="O19" s="287"/>
      <c r="P19" s="287">
        <v>0.3541666666666667</v>
      </c>
    </row>
    <row r="20">
      <c r="A20" s="2">
        <v>47.0</v>
      </c>
      <c r="B20" s="2">
        <v>152.0</v>
      </c>
      <c r="C20" s="2" t="s">
        <v>128</v>
      </c>
      <c r="D20" s="2" t="s">
        <v>129</v>
      </c>
      <c r="E20" s="286">
        <v>45973.0</v>
      </c>
      <c r="F20" s="287">
        <v>0.6277777777777778</v>
      </c>
      <c r="G20" s="287">
        <v>0.9631944444444445</v>
      </c>
      <c r="H20" s="287"/>
      <c r="I20" s="287"/>
      <c r="J20" s="289"/>
      <c r="K20" s="289"/>
      <c r="L20" s="287"/>
      <c r="M20" s="289"/>
      <c r="N20" s="289"/>
      <c r="O20" s="287"/>
      <c r="P20" s="287">
        <v>0.33541666666666664</v>
      </c>
    </row>
    <row r="21">
      <c r="A21" s="2">
        <v>48.0</v>
      </c>
      <c r="B21" s="2">
        <v>153.0</v>
      </c>
      <c r="C21" s="2" t="s">
        <v>131</v>
      </c>
      <c r="D21" s="2" t="s">
        <v>132</v>
      </c>
      <c r="E21" s="286">
        <v>45973.0</v>
      </c>
      <c r="F21" s="287">
        <v>0.5201388888888889</v>
      </c>
      <c r="G21" s="287"/>
      <c r="H21" s="287"/>
      <c r="I21" s="287"/>
      <c r="J21" s="289"/>
      <c r="K21" s="289"/>
      <c r="L21" s="287"/>
      <c r="M21" s="289"/>
      <c r="N21" s="289"/>
      <c r="O21" s="287"/>
      <c r="P21" s="287"/>
    </row>
    <row r="22">
      <c r="A22" s="2">
        <v>49.0</v>
      </c>
      <c r="B22" s="2">
        <v>154.0</v>
      </c>
      <c r="C22" s="2" t="s">
        <v>134</v>
      </c>
      <c r="D22" s="2" t="s">
        <v>135</v>
      </c>
      <c r="E22" s="286">
        <v>45973.0</v>
      </c>
      <c r="F22" s="287">
        <v>0.4756944444444444</v>
      </c>
      <c r="G22" s="287">
        <v>0.9381944444444444</v>
      </c>
      <c r="H22" s="287"/>
      <c r="I22" s="287"/>
      <c r="J22" s="289"/>
      <c r="K22" s="289"/>
      <c r="L22" s="287"/>
      <c r="M22" s="289"/>
      <c r="N22" s="289"/>
      <c r="O22" s="287"/>
      <c r="P22" s="287">
        <v>0.4625</v>
      </c>
    </row>
    <row r="23">
      <c r="A23" s="2">
        <v>52.0</v>
      </c>
      <c r="B23" s="2">
        <v>162.0</v>
      </c>
      <c r="C23" s="2" t="s">
        <v>140</v>
      </c>
      <c r="D23" s="2" t="s">
        <v>141</v>
      </c>
      <c r="E23" s="286">
        <v>45973.0</v>
      </c>
      <c r="F23" s="287">
        <v>0.47708333333333336</v>
      </c>
      <c r="G23" s="287">
        <v>0.8034722222222223</v>
      </c>
      <c r="H23" s="287"/>
      <c r="I23" s="287"/>
      <c r="J23" s="289"/>
      <c r="K23" s="289"/>
      <c r="L23" s="287"/>
      <c r="M23" s="289"/>
      <c r="N23" s="289"/>
      <c r="O23" s="287"/>
      <c r="P23" s="287">
        <v>0.3263888888888889</v>
      </c>
    </row>
    <row r="24">
      <c r="A24" s="2">
        <v>54.0</v>
      </c>
      <c r="B24" s="2">
        <v>164.0</v>
      </c>
      <c r="C24" s="2" t="s">
        <v>146</v>
      </c>
      <c r="D24" s="2" t="s">
        <v>147</v>
      </c>
      <c r="E24" s="286">
        <v>45973.0</v>
      </c>
      <c r="F24" s="287">
        <v>0.43819444444444444</v>
      </c>
      <c r="G24" s="287">
        <v>0.8145833333333333</v>
      </c>
      <c r="H24" s="287"/>
      <c r="I24" s="287"/>
      <c r="J24" s="289"/>
      <c r="K24" s="289"/>
      <c r="L24" s="287"/>
      <c r="M24" s="289"/>
      <c r="N24" s="289"/>
      <c r="O24" s="287"/>
      <c r="P24" s="287">
        <v>0.3763888888888889</v>
      </c>
    </row>
    <row r="25">
      <c r="A25" s="2">
        <v>55.0</v>
      </c>
      <c r="B25" s="2">
        <v>165.0</v>
      </c>
      <c r="C25" s="2" t="s">
        <v>149</v>
      </c>
      <c r="D25" s="2" t="s">
        <v>150</v>
      </c>
      <c r="E25" s="286">
        <v>45973.0</v>
      </c>
      <c r="F25" s="287">
        <v>0.5756944444444444</v>
      </c>
      <c r="G25" s="287"/>
      <c r="H25" s="287"/>
      <c r="I25" s="287"/>
      <c r="J25" s="289"/>
      <c r="K25" s="289"/>
      <c r="L25" s="287"/>
      <c r="M25" s="289"/>
      <c r="N25" s="289"/>
      <c r="O25" s="287"/>
      <c r="P25" s="287"/>
    </row>
    <row r="26">
      <c r="A26" s="2">
        <v>56.0</v>
      </c>
      <c r="B26" s="2">
        <v>166.0</v>
      </c>
      <c r="C26" s="2" t="s">
        <v>152</v>
      </c>
      <c r="D26" s="2" t="s">
        <v>153</v>
      </c>
      <c r="E26" s="286">
        <v>45973.0</v>
      </c>
      <c r="F26" s="287">
        <v>0.6020833333333333</v>
      </c>
      <c r="G26" s="287">
        <v>0.9972222222222222</v>
      </c>
      <c r="H26" s="287"/>
      <c r="I26" s="287"/>
      <c r="J26" s="289"/>
      <c r="K26" s="289"/>
      <c r="L26" s="287"/>
      <c r="M26" s="289"/>
      <c r="N26" s="289"/>
      <c r="O26" s="287"/>
      <c r="P26" s="287">
        <v>0.3951388888888889</v>
      </c>
    </row>
    <row r="27">
      <c r="A27" s="2">
        <v>59.0</v>
      </c>
      <c r="B27" s="2">
        <v>169.0</v>
      </c>
      <c r="C27" s="2" t="s">
        <v>161</v>
      </c>
      <c r="D27" s="2" t="s">
        <v>162</v>
      </c>
      <c r="E27" s="286">
        <v>45973.0</v>
      </c>
      <c r="F27" s="287">
        <v>0.5708333333333333</v>
      </c>
      <c r="G27" s="287">
        <v>0.9770833333333333</v>
      </c>
      <c r="H27" s="290"/>
      <c r="I27" s="287"/>
      <c r="J27" s="289"/>
      <c r="K27" s="289"/>
      <c r="L27" s="287"/>
      <c r="M27" s="289"/>
      <c r="N27" s="289"/>
      <c r="O27" s="287"/>
      <c r="P27" s="287">
        <v>0.40625</v>
      </c>
    </row>
    <row r="28">
      <c r="A28" s="2">
        <v>68.0</v>
      </c>
      <c r="B28" s="2">
        <v>178.0</v>
      </c>
      <c r="C28" s="2" t="s">
        <v>176</v>
      </c>
      <c r="D28" s="2" t="s">
        <v>177</v>
      </c>
      <c r="E28" s="286">
        <v>45973.0</v>
      </c>
      <c r="F28" s="287">
        <v>0.4638888888888889</v>
      </c>
      <c r="G28" s="287">
        <v>0.8152777777777778</v>
      </c>
      <c r="H28" s="290"/>
      <c r="I28" s="287"/>
      <c r="J28" s="289"/>
      <c r="K28" s="289"/>
      <c r="L28" s="287"/>
      <c r="M28" s="289"/>
      <c r="N28" s="289"/>
      <c r="O28" s="287"/>
      <c r="P28" s="287">
        <v>0.35138888888888886</v>
      </c>
    </row>
    <row r="29">
      <c r="A29" s="2">
        <v>70.0</v>
      </c>
      <c r="B29" s="2">
        <v>180.0</v>
      </c>
      <c r="C29" s="2" t="s">
        <v>182</v>
      </c>
      <c r="D29" s="2" t="s">
        <v>183</v>
      </c>
      <c r="E29" s="286">
        <v>45973.0</v>
      </c>
      <c r="F29" s="287">
        <v>0.4840277777777778</v>
      </c>
      <c r="G29" s="287"/>
      <c r="H29" s="290"/>
      <c r="I29" s="287"/>
      <c r="J29" s="289"/>
      <c r="K29" s="289"/>
      <c r="L29" s="287"/>
      <c r="M29" s="289"/>
      <c r="N29" s="289"/>
      <c r="O29" s="287"/>
      <c r="P29" s="287"/>
    </row>
    <row r="30">
      <c r="A30" s="2">
        <v>71.0</v>
      </c>
      <c r="B30" s="2">
        <v>181.0</v>
      </c>
      <c r="C30" s="2" t="s">
        <v>185</v>
      </c>
      <c r="D30" s="2" t="s">
        <v>186</v>
      </c>
      <c r="E30" s="286">
        <v>45973.0</v>
      </c>
      <c r="F30" s="287">
        <v>0.5173611111111112</v>
      </c>
      <c r="G30" s="287"/>
      <c r="H30" s="290"/>
      <c r="I30" s="287"/>
      <c r="J30" s="289"/>
      <c r="K30" s="289"/>
      <c r="L30" s="287"/>
      <c r="M30" s="289"/>
      <c r="N30" s="289"/>
      <c r="O30" s="287"/>
      <c r="P30" s="287"/>
    </row>
    <row r="31">
      <c r="A31" s="2">
        <v>75.0</v>
      </c>
      <c r="B31" s="2">
        <v>185.0</v>
      </c>
      <c r="C31" s="2" t="s">
        <v>197</v>
      </c>
      <c r="D31" s="2" t="s">
        <v>198</v>
      </c>
      <c r="E31" s="286">
        <v>45973.0</v>
      </c>
      <c r="F31" s="287">
        <v>0.4840277777777778</v>
      </c>
      <c r="G31" s="287">
        <v>0.8256944444444444</v>
      </c>
      <c r="H31" s="290"/>
      <c r="I31" s="287"/>
      <c r="J31" s="289"/>
      <c r="K31" s="289"/>
      <c r="L31" s="287"/>
      <c r="M31" s="289"/>
      <c r="N31" s="289"/>
      <c r="O31" s="287"/>
      <c r="P31" s="287">
        <v>0.3416666666666667</v>
      </c>
    </row>
    <row r="32">
      <c r="A32" s="2">
        <v>76.0</v>
      </c>
      <c r="B32" s="2">
        <v>186.0</v>
      </c>
      <c r="C32" s="2" t="s">
        <v>200</v>
      </c>
      <c r="D32" s="2" t="s">
        <v>201</v>
      </c>
      <c r="E32" s="286">
        <v>45973.0</v>
      </c>
      <c r="F32" s="287">
        <v>0.4409722222222222</v>
      </c>
      <c r="G32" s="287">
        <v>0.8270833333333333</v>
      </c>
      <c r="H32" s="290"/>
      <c r="I32" s="287"/>
      <c r="J32" s="289"/>
      <c r="K32" s="289"/>
      <c r="L32" s="287"/>
      <c r="M32" s="289"/>
      <c r="N32" s="289"/>
      <c r="O32" s="287"/>
      <c r="P32" s="287">
        <v>0.3861111111111111</v>
      </c>
    </row>
    <row r="33">
      <c r="A33" s="2">
        <v>84.0</v>
      </c>
      <c r="B33" s="2">
        <v>190.0</v>
      </c>
      <c r="C33" s="2" t="s">
        <v>212</v>
      </c>
      <c r="D33" s="2" t="s">
        <v>213</v>
      </c>
      <c r="E33" s="286">
        <v>45973.0</v>
      </c>
      <c r="F33" s="287">
        <v>0.38263888888888886</v>
      </c>
      <c r="G33" s="287">
        <v>0.7020833333333333</v>
      </c>
      <c r="H33" s="290"/>
      <c r="I33" s="287"/>
      <c r="J33" s="289"/>
      <c r="K33" s="289"/>
      <c r="L33" s="287"/>
      <c r="M33" s="289"/>
      <c r="N33" s="289"/>
      <c r="O33" s="287"/>
      <c r="P33" s="287">
        <v>0.3194444444444444</v>
      </c>
    </row>
    <row r="34">
      <c r="A34" s="2">
        <v>90.0</v>
      </c>
      <c r="B34" s="2">
        <v>196.0</v>
      </c>
      <c r="C34" s="2" t="s">
        <v>230</v>
      </c>
      <c r="D34" s="2" t="s">
        <v>231</v>
      </c>
      <c r="E34" s="286">
        <v>45973.0</v>
      </c>
      <c r="F34" s="287">
        <v>0.5201388888888889</v>
      </c>
      <c r="G34" s="287">
        <v>0.8208333333333333</v>
      </c>
      <c r="H34" s="290"/>
      <c r="I34" s="287"/>
      <c r="J34" s="289"/>
      <c r="K34" s="289"/>
      <c r="L34" s="287"/>
      <c r="M34" s="289"/>
      <c r="N34" s="289"/>
      <c r="O34" s="287"/>
      <c r="P34" s="287">
        <v>0.30069444444444443</v>
      </c>
    </row>
    <row r="35">
      <c r="A35" s="2">
        <v>96.0</v>
      </c>
      <c r="B35" s="2">
        <v>199.0</v>
      </c>
      <c r="C35" s="2" t="s">
        <v>239</v>
      </c>
      <c r="D35" s="2" t="s">
        <v>273</v>
      </c>
      <c r="E35" s="286">
        <v>45973.0</v>
      </c>
      <c r="F35" s="287">
        <v>0.5881944444444445</v>
      </c>
      <c r="G35" s="287">
        <v>0.8347222222222223</v>
      </c>
      <c r="H35" s="290"/>
      <c r="I35" s="287"/>
      <c r="J35" s="289"/>
      <c r="K35" s="289"/>
      <c r="L35" s="287"/>
      <c r="M35" s="289"/>
      <c r="N35" s="289"/>
      <c r="O35" s="287"/>
      <c r="P35" s="287">
        <v>0.2465277777777778</v>
      </c>
    </row>
    <row r="36">
      <c r="A36" s="2">
        <v>98.0</v>
      </c>
      <c r="B36" s="2">
        <v>201.0</v>
      </c>
      <c r="C36" s="2" t="s">
        <v>457</v>
      </c>
      <c r="D36" s="2" t="s">
        <v>287</v>
      </c>
      <c r="E36" s="286">
        <v>45973.0</v>
      </c>
      <c r="F36" s="287"/>
      <c r="G36" s="287"/>
      <c r="H36" s="290"/>
      <c r="I36" s="287"/>
      <c r="J36" s="289"/>
      <c r="K36" s="289"/>
      <c r="L36" s="287"/>
      <c r="M36" s="289"/>
      <c r="N36" s="289"/>
      <c r="O36" s="287"/>
      <c r="P36" s="287"/>
    </row>
    <row r="37">
      <c r="A37" s="2">
        <v>101.0</v>
      </c>
      <c r="B37" s="2">
        <v>204.0</v>
      </c>
      <c r="C37" s="2">
        <v>3.520259916655E12</v>
      </c>
      <c r="D37" s="2" t="s">
        <v>288</v>
      </c>
      <c r="E37" s="286">
        <v>45973.0</v>
      </c>
      <c r="F37" s="287">
        <v>0.6284722222222222</v>
      </c>
      <c r="G37" s="287">
        <v>0.9631944444444445</v>
      </c>
      <c r="H37" s="290"/>
      <c r="I37" s="287"/>
      <c r="J37" s="289"/>
      <c r="K37" s="289"/>
      <c r="L37" s="287"/>
      <c r="M37" s="289"/>
      <c r="N37" s="289"/>
      <c r="O37" s="287"/>
      <c r="P37" s="287">
        <v>0.3347222222222222</v>
      </c>
    </row>
    <row r="38">
      <c r="A38" s="2">
        <v>104.0</v>
      </c>
      <c r="B38" s="2">
        <v>207.0</v>
      </c>
      <c r="C38" s="2">
        <v>3.530235924539E12</v>
      </c>
      <c r="D38" s="2" t="s">
        <v>260</v>
      </c>
      <c r="E38" s="286">
        <v>45973.0</v>
      </c>
      <c r="F38" s="287">
        <v>0.5513888888888889</v>
      </c>
      <c r="G38" s="287"/>
      <c r="H38" s="290"/>
      <c r="I38" s="287"/>
      <c r="J38" s="289"/>
      <c r="K38" s="289"/>
      <c r="L38" s="287"/>
      <c r="M38" s="289"/>
      <c r="N38" s="289"/>
      <c r="O38" s="287"/>
      <c r="P38" s="287"/>
    </row>
    <row r="39">
      <c r="A39" s="2">
        <v>105.0</v>
      </c>
      <c r="B39" s="2">
        <v>208.0</v>
      </c>
      <c r="C39" s="2">
        <v>3.610395632919E12</v>
      </c>
      <c r="D39" s="2" t="s">
        <v>263</v>
      </c>
      <c r="E39" s="286">
        <v>45973.0</v>
      </c>
      <c r="F39" s="287">
        <v>0.4479166666666667</v>
      </c>
      <c r="G39" s="287">
        <v>0.8493055555555555</v>
      </c>
      <c r="H39" s="290"/>
      <c r="I39" s="287"/>
      <c r="J39" s="289"/>
      <c r="K39" s="289"/>
      <c r="L39" s="287"/>
      <c r="M39" s="289"/>
      <c r="N39" s="289"/>
      <c r="O39" s="287"/>
      <c r="P39" s="287">
        <v>0.4013888888888889</v>
      </c>
    </row>
    <row r="40">
      <c r="A40" s="2">
        <v>106.0</v>
      </c>
      <c r="B40" s="2">
        <v>209.0</v>
      </c>
      <c r="C40" s="2">
        <v>3.520291363215E12</v>
      </c>
      <c r="D40" s="2" t="s">
        <v>339</v>
      </c>
      <c r="E40" s="286">
        <v>45973.0</v>
      </c>
      <c r="F40" s="287">
        <v>0.48194444444444445</v>
      </c>
      <c r="G40" s="287">
        <v>0.8048611111111111</v>
      </c>
      <c r="H40" s="290"/>
      <c r="I40" s="287"/>
      <c r="J40" s="289"/>
      <c r="K40" s="289"/>
      <c r="L40" s="287"/>
      <c r="M40" s="289"/>
      <c r="N40" s="289"/>
      <c r="O40" s="287"/>
      <c r="P40" s="287">
        <v>0.3229166666666667</v>
      </c>
    </row>
    <row r="41">
      <c r="A41" s="2">
        <v>112.0</v>
      </c>
      <c r="B41" s="2">
        <v>213.0</v>
      </c>
      <c r="C41" s="2">
        <v>3.520241070273E12</v>
      </c>
      <c r="D41" s="2" t="s">
        <v>385</v>
      </c>
      <c r="E41" s="286">
        <v>45973.0</v>
      </c>
      <c r="F41" s="287">
        <v>0.49930555555555556</v>
      </c>
      <c r="G41" s="287">
        <v>0.8381944444444445</v>
      </c>
      <c r="H41" s="290"/>
      <c r="I41" s="287"/>
      <c r="J41" s="289"/>
      <c r="K41" s="289"/>
      <c r="L41" s="287"/>
      <c r="M41" s="289"/>
      <c r="N41" s="289"/>
      <c r="O41" s="287"/>
      <c r="P41" s="287">
        <v>0.3388888888888889</v>
      </c>
    </row>
    <row r="42">
      <c r="A42" s="2">
        <v>113.0</v>
      </c>
      <c r="B42" s="2">
        <v>214.0</v>
      </c>
      <c r="C42" s="2">
        <v>3.520156468587E12</v>
      </c>
      <c r="D42" s="2" t="s">
        <v>386</v>
      </c>
      <c r="E42" s="286">
        <v>45973.0</v>
      </c>
      <c r="F42" s="287">
        <v>0.4791666666666667</v>
      </c>
      <c r="G42" s="287">
        <v>0.83125</v>
      </c>
      <c r="H42" s="290"/>
      <c r="I42" s="287"/>
      <c r="J42" s="289"/>
      <c r="K42" s="289"/>
      <c r="L42" s="287"/>
      <c r="M42" s="289"/>
      <c r="N42" s="289"/>
      <c r="O42" s="287"/>
      <c r="P42" s="287">
        <v>0.35208333333333336</v>
      </c>
    </row>
    <row r="43">
      <c r="A43" s="2">
        <v>114.0</v>
      </c>
      <c r="B43" s="2">
        <v>215.0</v>
      </c>
      <c r="C43" s="2" t="s">
        <v>458</v>
      </c>
      <c r="D43" s="2" t="s">
        <v>387</v>
      </c>
      <c r="E43" s="286">
        <v>45973.0</v>
      </c>
      <c r="F43" s="287">
        <v>0.4618055555555556</v>
      </c>
      <c r="G43" s="287">
        <v>0.7902777777777777</v>
      </c>
      <c r="H43" s="290"/>
      <c r="I43" s="287"/>
      <c r="J43" s="289"/>
      <c r="K43" s="289"/>
      <c r="L43" s="287"/>
      <c r="M43" s="289"/>
      <c r="N43" s="289"/>
      <c r="O43" s="287"/>
      <c r="P43" s="287">
        <v>0.3284722222222222</v>
      </c>
    </row>
    <row r="44">
      <c r="A44" s="2">
        <v>115.0</v>
      </c>
      <c r="B44" s="2">
        <v>216.0</v>
      </c>
      <c r="C44" s="2" t="s">
        <v>459</v>
      </c>
      <c r="D44" s="2" t="s">
        <v>400</v>
      </c>
      <c r="E44" s="286">
        <v>45973.0</v>
      </c>
      <c r="F44" s="287">
        <v>0.5361111111111111</v>
      </c>
      <c r="G44" s="287">
        <v>0.94375</v>
      </c>
      <c r="H44" s="290"/>
      <c r="I44" s="287"/>
      <c r="J44" s="289"/>
      <c r="K44" s="289"/>
      <c r="L44" s="287"/>
      <c r="M44" s="289"/>
      <c r="N44" s="289"/>
      <c r="O44" s="287"/>
      <c r="P44" s="287">
        <v>0.4076388888888889</v>
      </c>
    </row>
    <row r="45">
      <c r="A45" s="2">
        <v>116.0</v>
      </c>
      <c r="B45" s="2">
        <v>217.0</v>
      </c>
      <c r="C45" s="2">
        <v>3.460188879699E12</v>
      </c>
      <c r="D45" s="2" t="s">
        <v>393</v>
      </c>
      <c r="E45" s="286">
        <v>45973.0</v>
      </c>
      <c r="F45" s="287">
        <v>0.4708333333333333</v>
      </c>
      <c r="G45" s="287">
        <v>0.84375</v>
      </c>
      <c r="H45" s="290"/>
      <c r="I45" s="287"/>
      <c r="J45" s="289"/>
      <c r="K45" s="289"/>
      <c r="L45" s="287"/>
      <c r="M45" s="289"/>
      <c r="N45" s="289"/>
      <c r="O45" s="287"/>
      <c r="P45" s="287">
        <v>0.3729166666666667</v>
      </c>
    </row>
    <row r="46">
      <c r="A46" s="2">
        <v>120.0</v>
      </c>
      <c r="B46" s="2">
        <v>221.0</v>
      </c>
      <c r="C46" s="2"/>
      <c r="D46" s="2" t="s">
        <v>390</v>
      </c>
      <c r="E46" s="286">
        <v>45973.0</v>
      </c>
      <c r="F46" s="287">
        <v>0.5</v>
      </c>
      <c r="G46" s="287">
        <v>0.8381944444444445</v>
      </c>
      <c r="H46" s="290"/>
      <c r="I46" s="287"/>
      <c r="J46" s="289"/>
      <c r="K46" s="289"/>
      <c r="L46" s="287"/>
      <c r="M46" s="289"/>
      <c r="N46" s="289"/>
      <c r="O46" s="287"/>
      <c r="P46" s="287">
        <v>0.33819444444444446</v>
      </c>
    </row>
    <row r="47">
      <c r="A47" s="2">
        <v>121.0</v>
      </c>
      <c r="B47" s="2">
        <v>222.0</v>
      </c>
      <c r="C47" s="2"/>
      <c r="D47" s="2" t="s">
        <v>391</v>
      </c>
      <c r="E47" s="286">
        <v>45973.0</v>
      </c>
      <c r="F47" s="287">
        <v>0.4</v>
      </c>
      <c r="G47" s="287">
        <v>0.7895833333333333</v>
      </c>
      <c r="H47" s="290"/>
      <c r="I47" s="287"/>
      <c r="J47" s="289"/>
      <c r="K47" s="289"/>
      <c r="L47" s="287"/>
      <c r="M47" s="289"/>
      <c r="N47" s="289"/>
      <c r="O47" s="287"/>
      <c r="P47" s="287">
        <v>0.38958333333333334</v>
      </c>
    </row>
    <row r="48">
      <c r="A48" s="2">
        <v>122.0</v>
      </c>
      <c r="B48" s="2">
        <v>223.0</v>
      </c>
      <c r="C48" s="2"/>
      <c r="D48" s="2" t="s">
        <v>392</v>
      </c>
      <c r="E48" s="286">
        <v>45973.0</v>
      </c>
      <c r="F48" s="287">
        <v>0.42986111111111114</v>
      </c>
      <c r="G48" s="287"/>
      <c r="H48" s="290"/>
      <c r="I48" s="287"/>
      <c r="J48" s="289"/>
      <c r="K48" s="289"/>
      <c r="L48" s="287"/>
      <c r="M48" s="289"/>
      <c r="N48" s="289"/>
      <c r="O48" s="287"/>
      <c r="P48" s="287"/>
    </row>
    <row r="49">
      <c r="A49" s="2">
        <v>128.0</v>
      </c>
      <c r="B49" s="2">
        <v>224.0</v>
      </c>
      <c r="C49" s="2"/>
      <c r="D49" s="2" t="s">
        <v>413</v>
      </c>
      <c r="E49" s="286">
        <v>45973.0</v>
      </c>
      <c r="F49" s="287"/>
      <c r="G49" s="287"/>
      <c r="H49" s="290"/>
      <c r="I49" s="287"/>
      <c r="J49" s="289"/>
      <c r="K49" s="289"/>
      <c r="L49" s="287"/>
      <c r="M49" s="289"/>
      <c r="N49" s="289"/>
      <c r="O49" s="287"/>
      <c r="P49" s="287"/>
    </row>
    <row r="50">
      <c r="A50" s="2">
        <v>124.0</v>
      </c>
      <c r="B50" s="2">
        <v>225.0</v>
      </c>
      <c r="C50" s="2"/>
      <c r="D50" s="2" t="s">
        <v>397</v>
      </c>
      <c r="E50" s="286">
        <v>45973.0</v>
      </c>
      <c r="F50" s="287">
        <v>0.5270833333333333</v>
      </c>
      <c r="G50" s="287">
        <v>0.8083333333333333</v>
      </c>
      <c r="H50" s="290"/>
      <c r="I50" s="287"/>
      <c r="J50" s="289"/>
      <c r="K50" s="289"/>
      <c r="L50" s="287"/>
      <c r="M50" s="289"/>
      <c r="N50" s="289"/>
      <c r="O50" s="287"/>
      <c r="P50" s="287">
        <v>0.28125</v>
      </c>
    </row>
    <row r="51">
      <c r="A51" s="2">
        <v>129.0</v>
      </c>
      <c r="B51" s="2">
        <v>227.0</v>
      </c>
      <c r="C51" s="2"/>
      <c r="D51" s="2" t="s">
        <v>403</v>
      </c>
      <c r="E51" s="286">
        <v>45973.0</v>
      </c>
      <c r="F51" s="287">
        <v>0.4548611111111111</v>
      </c>
      <c r="G51" s="287">
        <v>0.8131944444444444</v>
      </c>
      <c r="H51" s="290"/>
      <c r="I51" s="287"/>
      <c r="J51" s="289"/>
      <c r="K51" s="289"/>
      <c r="L51" s="287"/>
      <c r="M51" s="289"/>
      <c r="N51" s="289"/>
      <c r="O51" s="287"/>
      <c r="P51" s="287">
        <v>0.35833333333333334</v>
      </c>
    </row>
    <row r="52">
      <c r="A52" s="2">
        <v>130.0</v>
      </c>
      <c r="B52" s="2">
        <v>228.0</v>
      </c>
      <c r="C52" s="2"/>
      <c r="D52" s="2" t="s">
        <v>411</v>
      </c>
      <c r="E52" s="286">
        <v>45973.0</v>
      </c>
      <c r="F52" s="287">
        <v>0.41458333333333336</v>
      </c>
      <c r="G52" s="287">
        <v>0.8138888888888889</v>
      </c>
      <c r="H52" s="290"/>
      <c r="I52" s="287"/>
      <c r="J52" s="289"/>
      <c r="K52" s="289"/>
      <c r="L52" s="287"/>
      <c r="M52" s="289"/>
      <c r="N52" s="289"/>
      <c r="O52" s="287"/>
      <c r="P52" s="287">
        <v>0.3993055555555556</v>
      </c>
    </row>
    <row r="53">
      <c r="A53" s="2">
        <v>131.0</v>
      </c>
      <c r="B53" s="2">
        <v>229.0</v>
      </c>
      <c r="C53" s="2"/>
      <c r="D53" s="2" t="s">
        <v>410</v>
      </c>
      <c r="E53" s="286">
        <v>45973.0</v>
      </c>
      <c r="F53" s="287">
        <v>0.46319444444444446</v>
      </c>
      <c r="G53" s="287">
        <v>0.8111111111111111</v>
      </c>
      <c r="H53" s="290"/>
      <c r="I53" s="287"/>
      <c r="J53" s="289"/>
      <c r="K53" s="289"/>
      <c r="L53" s="287"/>
      <c r="M53" s="289"/>
      <c r="N53" s="289"/>
      <c r="O53" s="287"/>
      <c r="P53" s="287">
        <v>0.34791666666666665</v>
      </c>
    </row>
    <row r="54">
      <c r="A54" s="2">
        <v>132.0</v>
      </c>
      <c r="B54" s="2">
        <v>230.0</v>
      </c>
      <c r="C54" s="2">
        <v>3.520160684905E12</v>
      </c>
      <c r="D54" s="2" t="s">
        <v>408</v>
      </c>
      <c r="E54" s="286">
        <v>45973.0</v>
      </c>
      <c r="F54" s="287">
        <v>0.48055555555555557</v>
      </c>
      <c r="G54" s="287">
        <v>0.8604166666666667</v>
      </c>
      <c r="H54" s="290"/>
      <c r="I54" s="287"/>
      <c r="J54" s="289"/>
      <c r="K54" s="289"/>
      <c r="L54" s="287"/>
      <c r="M54" s="289"/>
      <c r="N54" s="289"/>
      <c r="O54" s="287"/>
      <c r="P54" s="287">
        <v>0.3798611111111111</v>
      </c>
    </row>
    <row r="55">
      <c r="A55" s="2">
        <v>133.0</v>
      </c>
      <c r="B55" s="2">
        <v>231.0</v>
      </c>
      <c r="C55" s="2" t="s">
        <v>460</v>
      </c>
      <c r="D55" s="2" t="s">
        <v>407</v>
      </c>
      <c r="E55" s="286">
        <v>45973.0</v>
      </c>
      <c r="F55" s="287">
        <v>0.4222222222222222</v>
      </c>
      <c r="G55" s="287">
        <v>0.7618055555555555</v>
      </c>
      <c r="H55" s="290"/>
      <c r="I55" s="287"/>
      <c r="J55" s="289"/>
      <c r="K55" s="289"/>
      <c r="L55" s="287"/>
      <c r="M55" s="289"/>
      <c r="N55" s="289"/>
      <c r="O55" s="287"/>
      <c r="P55" s="287">
        <v>0.33958333333333335</v>
      </c>
    </row>
    <row r="56">
      <c r="A56" s="2">
        <v>134.0</v>
      </c>
      <c r="B56" s="2">
        <v>232.0</v>
      </c>
      <c r="C56" s="2" t="s">
        <v>461</v>
      </c>
      <c r="D56" s="2" t="s">
        <v>404</v>
      </c>
      <c r="E56" s="286">
        <v>45973.0</v>
      </c>
      <c r="F56" s="287">
        <v>0.41875</v>
      </c>
      <c r="G56" s="287">
        <v>0.7944444444444444</v>
      </c>
      <c r="H56" s="290"/>
      <c r="I56" s="287"/>
      <c r="J56" s="289"/>
      <c r="K56" s="289"/>
      <c r="L56" s="287"/>
      <c r="M56" s="289"/>
      <c r="N56" s="289"/>
      <c r="O56" s="287"/>
      <c r="P56" s="287">
        <v>0.37569444444444444</v>
      </c>
    </row>
    <row r="57">
      <c r="A57" s="2">
        <v>135.0</v>
      </c>
      <c r="B57" s="2">
        <v>233.0</v>
      </c>
      <c r="C57" s="2">
        <v>3.660398767205E12</v>
      </c>
      <c r="D57" s="2" t="s">
        <v>406</v>
      </c>
      <c r="E57" s="286">
        <v>45973.0</v>
      </c>
      <c r="F57" s="287">
        <v>0.51875</v>
      </c>
      <c r="G57" s="287">
        <v>0.9291666666666667</v>
      </c>
      <c r="H57" s="290"/>
      <c r="I57" s="287"/>
      <c r="J57" s="289"/>
      <c r="K57" s="289"/>
      <c r="L57" s="287"/>
      <c r="M57" s="289"/>
      <c r="N57" s="289"/>
      <c r="O57" s="287"/>
      <c r="P57" s="287">
        <v>0.41041666666666665</v>
      </c>
    </row>
    <row r="58">
      <c r="A58" s="2">
        <v>138.0</v>
      </c>
      <c r="B58" s="2">
        <v>235.0</v>
      </c>
      <c r="C58" s="2" t="s">
        <v>462</v>
      </c>
      <c r="D58" s="2" t="s">
        <v>423</v>
      </c>
      <c r="E58" s="286">
        <v>45973.0</v>
      </c>
      <c r="F58" s="287">
        <v>0.4340277777777778</v>
      </c>
      <c r="G58" s="287">
        <v>0.78125</v>
      </c>
      <c r="H58" s="290"/>
      <c r="I58" s="287"/>
      <c r="J58" s="289"/>
      <c r="K58" s="289"/>
      <c r="L58" s="287"/>
      <c r="M58" s="289"/>
      <c r="N58" s="289"/>
      <c r="O58" s="287"/>
      <c r="P58" s="287">
        <v>0.3472222222222222</v>
      </c>
    </row>
    <row r="59">
      <c r="A59" s="2">
        <v>139.0</v>
      </c>
      <c r="B59" s="2">
        <v>236.0</v>
      </c>
      <c r="C59" s="2" t="s">
        <v>463</v>
      </c>
      <c r="D59" s="2" t="s">
        <v>424</v>
      </c>
      <c r="E59" s="286">
        <v>45973.0</v>
      </c>
      <c r="F59" s="287">
        <v>0.4652777777777778</v>
      </c>
      <c r="G59" s="287">
        <v>0.78125</v>
      </c>
      <c r="H59" s="290"/>
      <c r="I59" s="287"/>
      <c r="J59" s="289"/>
      <c r="K59" s="289"/>
      <c r="L59" s="287"/>
      <c r="M59" s="289"/>
      <c r="N59" s="289"/>
      <c r="O59" s="287"/>
      <c r="P59" s="287">
        <v>0.3159722222222222</v>
      </c>
    </row>
    <row r="60">
      <c r="A60" s="2">
        <v>140.0</v>
      </c>
      <c r="B60" s="2">
        <v>237.0</v>
      </c>
      <c r="C60" s="2" t="s">
        <v>464</v>
      </c>
      <c r="D60" s="2" t="s">
        <v>427</v>
      </c>
      <c r="E60" s="286">
        <v>45973.0</v>
      </c>
      <c r="F60" s="287">
        <v>0.4263888888888889</v>
      </c>
      <c r="G60" s="287">
        <v>0.7972222222222223</v>
      </c>
      <c r="H60" s="290"/>
      <c r="I60" s="287"/>
      <c r="J60" s="289"/>
      <c r="K60" s="289"/>
      <c r="L60" s="287"/>
      <c r="M60" s="289"/>
      <c r="N60" s="289"/>
      <c r="O60" s="287"/>
      <c r="P60" s="287">
        <v>0.37083333333333335</v>
      </c>
    </row>
    <row r="61">
      <c r="A61" s="2">
        <v>141.0</v>
      </c>
      <c r="B61" s="2">
        <v>238.0</v>
      </c>
      <c r="C61" s="2" t="s">
        <v>465</v>
      </c>
      <c r="D61" s="2" t="s">
        <v>426</v>
      </c>
      <c r="E61" s="286">
        <v>45973.0</v>
      </c>
      <c r="F61" s="287">
        <v>0.4361111111111111</v>
      </c>
      <c r="G61" s="287">
        <v>0.79375</v>
      </c>
      <c r="H61" s="290"/>
      <c r="I61" s="287"/>
      <c r="J61" s="289"/>
      <c r="K61" s="289"/>
      <c r="L61" s="287"/>
      <c r="M61" s="289"/>
      <c r="N61" s="289"/>
      <c r="O61" s="287"/>
      <c r="P61" s="287">
        <v>0.3576388888888889</v>
      </c>
    </row>
    <row r="62">
      <c r="A62" s="2">
        <v>142.0</v>
      </c>
      <c r="B62" s="2">
        <v>239.0</v>
      </c>
      <c r="C62" s="2" t="s">
        <v>466</v>
      </c>
      <c r="D62" s="2" t="s">
        <v>409</v>
      </c>
      <c r="E62" s="286">
        <v>45973.0</v>
      </c>
      <c r="F62" s="287">
        <v>0.4326388888888889</v>
      </c>
      <c r="G62" s="287">
        <v>0.7805555555555556</v>
      </c>
      <c r="H62" s="290"/>
      <c r="I62" s="287"/>
      <c r="J62" s="289"/>
      <c r="K62" s="289"/>
      <c r="L62" s="287"/>
      <c r="M62" s="289"/>
      <c r="N62" s="289"/>
      <c r="O62" s="287"/>
      <c r="P62" s="287">
        <v>0.34791666666666665</v>
      </c>
    </row>
    <row r="63">
      <c r="A63" s="2">
        <v>143.0</v>
      </c>
      <c r="B63" s="2">
        <v>240.0</v>
      </c>
      <c r="C63" s="2" t="s">
        <v>467</v>
      </c>
      <c r="D63" s="2" t="s">
        <v>434</v>
      </c>
      <c r="E63" s="286">
        <v>45973.0</v>
      </c>
      <c r="F63" s="287">
        <v>0.41875</v>
      </c>
      <c r="G63" s="287">
        <v>0.8506944444444444</v>
      </c>
      <c r="H63" s="290"/>
      <c r="I63" s="288"/>
      <c r="L63" s="288"/>
      <c r="O63" s="288"/>
      <c r="P63" s="288">
        <v>0.43194444444444446</v>
      </c>
    </row>
    <row r="64">
      <c r="A64" s="2">
        <v>144.0</v>
      </c>
      <c r="B64" s="2">
        <v>241.0</v>
      </c>
      <c r="C64" s="2" t="s">
        <v>468</v>
      </c>
      <c r="D64" s="2" t="s">
        <v>437</v>
      </c>
      <c r="E64" s="286">
        <v>45973.0</v>
      </c>
      <c r="F64" s="287">
        <v>0.4270833333333333</v>
      </c>
      <c r="G64" s="287">
        <v>0.8152777777777778</v>
      </c>
      <c r="H64" s="290"/>
      <c r="I64" s="288"/>
      <c r="L64" s="288"/>
      <c r="O64" s="288"/>
      <c r="P64" s="288">
        <v>0.38819444444444445</v>
      </c>
    </row>
    <row r="65">
      <c r="A65" s="2"/>
      <c r="B65" s="2"/>
      <c r="C65" s="2"/>
      <c r="D65" s="2"/>
      <c r="E65" s="286"/>
      <c r="F65" s="287"/>
      <c r="G65" s="287"/>
      <c r="H65" s="290"/>
      <c r="I65" s="288"/>
      <c r="L65" s="288"/>
      <c r="O65" s="288"/>
      <c r="P65" s="288"/>
    </row>
    <row r="66">
      <c r="A66" s="2"/>
      <c r="B66" s="2"/>
      <c r="C66" s="2"/>
      <c r="D66" s="2"/>
      <c r="E66" s="286"/>
      <c r="F66" s="287"/>
      <c r="G66" s="287"/>
      <c r="H66" s="290"/>
      <c r="I66" s="288"/>
      <c r="L66" s="288"/>
      <c r="O66" s="288"/>
      <c r="P66" s="288"/>
    </row>
    <row r="67">
      <c r="A67" s="2"/>
      <c r="B67" s="2"/>
      <c r="C67" s="2"/>
      <c r="D67" s="2"/>
      <c r="E67" s="286"/>
      <c r="F67" s="287"/>
      <c r="G67" s="287"/>
      <c r="H67" s="290"/>
      <c r="I67" s="288"/>
      <c r="L67" s="288"/>
      <c r="O67" s="288"/>
      <c r="P67" s="288"/>
    </row>
    <row r="68">
      <c r="A68" s="2"/>
      <c r="B68" s="2"/>
      <c r="C68" s="2"/>
      <c r="D68" s="2"/>
      <c r="E68" s="286"/>
      <c r="F68" s="287"/>
      <c r="G68" s="287"/>
      <c r="H68" s="290"/>
      <c r="I68" s="288"/>
      <c r="L68" s="288"/>
      <c r="O68" s="288"/>
      <c r="P68" s="288"/>
    </row>
    <row r="69">
      <c r="A69" s="2"/>
      <c r="B69" s="2"/>
      <c r="C69" s="2"/>
      <c r="D69" s="2"/>
      <c r="E69" s="286"/>
      <c r="F69" s="287"/>
      <c r="G69" s="287"/>
      <c r="H69" s="290"/>
      <c r="I69" s="288"/>
      <c r="L69" s="288"/>
      <c r="O69" s="288"/>
      <c r="P69" s="288"/>
    </row>
    <row r="70">
      <c r="A70" s="2"/>
      <c r="B70" s="2"/>
      <c r="C70" s="2"/>
      <c r="D70" s="2"/>
      <c r="E70" s="286"/>
      <c r="F70" s="287"/>
      <c r="G70" s="287"/>
      <c r="H70" s="290"/>
      <c r="I70" s="288"/>
      <c r="L70" s="288"/>
      <c r="O70" s="288"/>
      <c r="P70" s="288"/>
    </row>
    <row r="71">
      <c r="A71" s="2"/>
      <c r="B71" s="2"/>
      <c r="C71" s="2"/>
      <c r="D71" s="2"/>
      <c r="E71" s="286"/>
      <c r="F71" s="287"/>
      <c r="G71" s="287"/>
      <c r="H71" s="290"/>
      <c r="I71" s="288"/>
      <c r="L71" s="288"/>
      <c r="O71" s="288"/>
      <c r="P71" s="288"/>
    </row>
    <row r="72">
      <c r="A72" s="2"/>
      <c r="B72" s="2"/>
      <c r="C72" s="2"/>
      <c r="D72" s="2"/>
      <c r="E72" s="2"/>
      <c r="F72" s="2"/>
      <c r="G72" s="2"/>
      <c r="H72" s="290"/>
      <c r="I72" s="288"/>
      <c r="L72" s="288"/>
      <c r="O72" s="288"/>
    </row>
    <row r="73">
      <c r="A73" s="2"/>
      <c r="B73" s="2"/>
      <c r="C73" s="2"/>
      <c r="D73" s="2"/>
      <c r="E73" s="2"/>
      <c r="F73" s="2"/>
      <c r="G73" s="2"/>
      <c r="H73" s="290"/>
      <c r="I73" s="288"/>
      <c r="L73" s="288"/>
      <c r="O73" s="288"/>
    </row>
    <row r="74">
      <c r="A74" s="2"/>
      <c r="B74" s="2"/>
      <c r="C74" s="2"/>
      <c r="D74" s="2"/>
      <c r="E74" s="2"/>
      <c r="F74" s="2"/>
      <c r="G74" s="2"/>
      <c r="H74" s="290"/>
      <c r="I74" s="288"/>
      <c r="L74" s="288"/>
      <c r="O74" s="288"/>
    </row>
    <row r="75">
      <c r="A75" s="2"/>
      <c r="B75" s="2"/>
      <c r="C75" s="2"/>
      <c r="D75" s="2"/>
      <c r="E75" s="2"/>
      <c r="F75" s="2"/>
      <c r="G75" s="2"/>
      <c r="H75" s="290"/>
      <c r="I75" s="288"/>
      <c r="L75" s="288"/>
      <c r="O75" s="288"/>
    </row>
    <row r="76">
      <c r="A76" s="2"/>
      <c r="B76" s="2"/>
      <c r="C76" s="2"/>
      <c r="D76" s="2"/>
      <c r="E76" s="2"/>
      <c r="F76" s="2"/>
      <c r="G76" s="2"/>
      <c r="H76" s="290"/>
      <c r="I76" s="288"/>
      <c r="L76" s="288"/>
      <c r="O76" s="288"/>
    </row>
    <row r="77">
      <c r="A77" s="2"/>
      <c r="B77" s="2"/>
      <c r="C77" s="2"/>
      <c r="D77" s="2"/>
      <c r="E77" s="2"/>
      <c r="F77" s="2"/>
      <c r="G77" s="2"/>
      <c r="H77" s="290"/>
      <c r="I77" s="288"/>
      <c r="L77" s="288"/>
      <c r="O77" s="288"/>
    </row>
    <row r="78">
      <c r="A78" s="2"/>
      <c r="B78" s="2"/>
      <c r="C78" s="2"/>
      <c r="D78" s="2"/>
      <c r="E78" s="2"/>
      <c r="F78" s="2"/>
      <c r="G78" s="2"/>
      <c r="H78" s="290"/>
      <c r="I78" s="288"/>
      <c r="L78" s="288"/>
      <c r="O78" s="288"/>
    </row>
    <row r="79">
      <c r="A79" s="2"/>
      <c r="B79" s="2"/>
      <c r="C79" s="2"/>
      <c r="D79" s="2"/>
      <c r="E79" s="2"/>
      <c r="F79" s="2"/>
      <c r="G79" s="2"/>
      <c r="H79" s="290"/>
      <c r="I79" s="288"/>
      <c r="L79" s="288"/>
      <c r="O79" s="288"/>
    </row>
    <row r="80">
      <c r="A80" s="2"/>
      <c r="B80" s="2"/>
      <c r="C80" s="2"/>
      <c r="D80" s="2"/>
      <c r="E80" s="2"/>
      <c r="F80" s="2"/>
      <c r="G80" s="2"/>
      <c r="H80" s="290"/>
      <c r="I80" s="288"/>
      <c r="L80" s="288"/>
      <c r="O80" s="288"/>
    </row>
    <row r="81">
      <c r="A81" s="2"/>
      <c r="B81" s="2"/>
      <c r="C81" s="2"/>
      <c r="D81" s="2"/>
      <c r="E81" s="2"/>
      <c r="F81" s="2"/>
      <c r="G81" s="2"/>
      <c r="H81" s="290"/>
      <c r="I81" s="288"/>
      <c r="L81" s="288"/>
      <c r="O81" s="288"/>
    </row>
    <row r="82">
      <c r="A82" s="2"/>
      <c r="B82" s="2"/>
      <c r="C82" s="2"/>
      <c r="D82" s="2"/>
      <c r="E82" s="2"/>
      <c r="F82" s="2"/>
      <c r="G82" s="2"/>
      <c r="H82" s="290"/>
      <c r="I82" s="288"/>
      <c r="L82" s="288"/>
      <c r="O82" s="288"/>
    </row>
    <row r="83">
      <c r="A83" s="2"/>
      <c r="B83" s="2"/>
      <c r="C83" s="2"/>
      <c r="D83" s="2"/>
      <c r="E83" s="2"/>
      <c r="F83" s="2"/>
      <c r="G83" s="2"/>
      <c r="H83" s="290"/>
      <c r="I83" s="288"/>
      <c r="L83" s="288"/>
      <c r="O83" s="288"/>
    </row>
    <row r="84">
      <c r="A84" s="2"/>
      <c r="B84" s="2"/>
      <c r="C84" s="2"/>
      <c r="D84" s="2"/>
      <c r="E84" s="2"/>
      <c r="F84" s="2"/>
      <c r="G84" s="2"/>
      <c r="H84" s="290"/>
      <c r="I84" s="288"/>
      <c r="L84" s="288"/>
      <c r="O84" s="288"/>
    </row>
    <row r="85">
      <c r="A85" s="2"/>
      <c r="B85" s="2"/>
      <c r="C85" s="2"/>
      <c r="D85" s="2"/>
      <c r="E85" s="2"/>
      <c r="F85" s="2"/>
      <c r="G85" s="2"/>
      <c r="H85" s="290"/>
      <c r="I85" s="288"/>
      <c r="L85" s="288"/>
      <c r="O85" s="288"/>
    </row>
    <row r="86">
      <c r="A86" s="2"/>
      <c r="B86" s="2"/>
      <c r="C86" s="2"/>
      <c r="D86" s="2"/>
      <c r="E86" s="2"/>
      <c r="F86" s="2"/>
      <c r="G86" s="2"/>
      <c r="H86" s="290"/>
      <c r="I86" s="288"/>
      <c r="L86" s="288"/>
      <c r="O86" s="288"/>
    </row>
    <row r="87">
      <c r="A87" s="2"/>
      <c r="B87" s="2"/>
      <c r="C87" s="2"/>
      <c r="D87" s="2"/>
      <c r="E87" s="2"/>
      <c r="F87" s="2"/>
      <c r="G87" s="2"/>
      <c r="H87" s="290"/>
      <c r="I87" s="288"/>
      <c r="L87" s="288"/>
      <c r="O87" s="288"/>
    </row>
    <row r="88">
      <c r="A88" s="2"/>
      <c r="B88" s="2"/>
      <c r="C88" s="2"/>
      <c r="D88" s="2"/>
      <c r="E88" s="2"/>
      <c r="F88" s="2"/>
      <c r="G88" s="2"/>
      <c r="H88" s="290"/>
      <c r="I88" s="288"/>
      <c r="L88" s="288"/>
      <c r="O88" s="288"/>
    </row>
    <row r="89">
      <c r="A89" s="2"/>
      <c r="B89" s="2"/>
      <c r="C89" s="2"/>
      <c r="D89" s="2"/>
      <c r="E89" s="2"/>
      <c r="F89" s="2"/>
      <c r="G89" s="2"/>
      <c r="H89" s="290"/>
      <c r="I89" s="288"/>
      <c r="L89" s="288"/>
      <c r="O89" s="288"/>
    </row>
    <row r="90">
      <c r="A90" s="2"/>
      <c r="B90" s="291"/>
      <c r="C90" s="2"/>
      <c r="D90" s="2"/>
      <c r="E90" s="2"/>
      <c r="F90" s="291"/>
      <c r="G90" s="2"/>
      <c r="H90" s="290"/>
      <c r="I90" s="288"/>
      <c r="L90" s="288"/>
      <c r="O90" s="288"/>
    </row>
    <row r="91">
      <c r="A91" s="2"/>
      <c r="B91" s="291"/>
      <c r="C91" s="2"/>
      <c r="D91" s="2"/>
      <c r="E91" s="2"/>
      <c r="F91" s="2"/>
      <c r="G91" s="2"/>
      <c r="H91" s="290"/>
      <c r="I91" s="288"/>
      <c r="L91" s="288"/>
      <c r="O91" s="288"/>
    </row>
    <row r="92">
      <c r="A92" s="2"/>
      <c r="B92" s="291"/>
      <c r="C92" s="2"/>
      <c r="D92" s="2"/>
      <c r="E92" s="2"/>
      <c r="F92" s="2"/>
      <c r="G92" s="2"/>
      <c r="H92" s="290"/>
      <c r="I92" s="288"/>
      <c r="L92" s="288"/>
      <c r="O92" s="288"/>
    </row>
    <row r="93">
      <c r="A93" s="2"/>
      <c r="B93" s="291"/>
      <c r="C93" s="2"/>
      <c r="D93" s="2"/>
      <c r="E93" s="2"/>
      <c r="F93" s="291"/>
      <c r="G93" s="2"/>
      <c r="H93" s="290"/>
      <c r="I93" s="288"/>
      <c r="L93" s="288"/>
      <c r="O93" s="288"/>
    </row>
    <row r="94">
      <c r="A94" s="2"/>
      <c r="B94" s="291"/>
      <c r="C94" s="2"/>
      <c r="D94" s="2"/>
      <c r="E94" s="2"/>
      <c r="F94" s="2"/>
      <c r="G94" s="2"/>
      <c r="H94" s="290"/>
      <c r="I94" s="288"/>
      <c r="L94" s="288"/>
      <c r="O94" s="288"/>
    </row>
    <row r="95">
      <c r="A95" s="2"/>
      <c r="B95" s="291"/>
      <c r="C95" s="2"/>
      <c r="D95" s="2"/>
      <c r="E95" s="2"/>
      <c r="F95" s="2"/>
      <c r="G95" s="2"/>
      <c r="H95" s="290"/>
      <c r="I95" s="288"/>
      <c r="L95" s="288"/>
      <c r="O95" s="288"/>
    </row>
    <row r="96">
      <c r="A96" s="2"/>
      <c r="B96" s="291"/>
      <c r="C96" s="2"/>
      <c r="D96" s="2"/>
      <c r="E96" s="2"/>
      <c r="F96" s="291"/>
      <c r="G96" s="2"/>
      <c r="H96" s="290"/>
      <c r="I96" s="288"/>
      <c r="L96" s="288"/>
      <c r="O96" s="288"/>
    </row>
    <row r="97">
      <c r="A97" s="2"/>
      <c r="B97" s="291"/>
      <c r="C97" s="2"/>
      <c r="D97" s="2"/>
      <c r="E97" s="2"/>
      <c r="F97" s="291"/>
      <c r="G97" s="2"/>
      <c r="H97" s="290"/>
      <c r="I97" s="288"/>
      <c r="L97" s="288"/>
      <c r="O97" s="288"/>
    </row>
    <row r="98">
      <c r="A98" s="2"/>
      <c r="B98" s="291"/>
      <c r="C98" s="2"/>
      <c r="D98" s="2"/>
      <c r="E98" s="2"/>
      <c r="F98" s="2"/>
      <c r="G98" s="2"/>
      <c r="H98" s="290"/>
      <c r="I98" s="288"/>
      <c r="L98" s="288"/>
      <c r="O98" s="288"/>
    </row>
    <row r="99">
      <c r="A99" s="2"/>
      <c r="B99" s="291"/>
      <c r="C99" s="2"/>
      <c r="D99" s="2"/>
      <c r="E99" s="2"/>
      <c r="F99" s="2"/>
      <c r="G99" s="2"/>
      <c r="H99" s="290"/>
      <c r="I99" s="288"/>
      <c r="L99" s="288"/>
      <c r="O99" s="288"/>
    </row>
    <row r="100">
      <c r="A100" s="2"/>
      <c r="B100" s="291"/>
      <c r="C100" s="2"/>
      <c r="D100" s="2"/>
      <c r="E100" s="2"/>
      <c r="F100" s="2"/>
      <c r="G100" s="2"/>
      <c r="H100" s="290"/>
      <c r="I100" s="288"/>
      <c r="L100" s="288"/>
      <c r="O100" s="288"/>
    </row>
    <row r="101">
      <c r="A101" s="2"/>
      <c r="B101" s="291"/>
      <c r="C101" s="2"/>
      <c r="D101" s="2"/>
      <c r="E101" s="2"/>
      <c r="F101" s="2"/>
      <c r="G101" s="2"/>
      <c r="H101" s="290"/>
      <c r="I101" s="288"/>
      <c r="L101" s="288"/>
      <c r="O101" s="288"/>
    </row>
    <row r="102">
      <c r="A102" s="2"/>
      <c r="B102" s="291"/>
      <c r="C102" s="2"/>
      <c r="D102" s="2"/>
      <c r="E102" s="2"/>
      <c r="F102" s="2"/>
      <c r="G102" s="2"/>
      <c r="H102" s="290"/>
      <c r="I102" s="288"/>
      <c r="L102" s="288"/>
      <c r="O102" s="288"/>
    </row>
    <row r="103">
      <c r="A103" s="2"/>
      <c r="B103" s="291"/>
      <c r="C103" s="2"/>
      <c r="D103" s="2"/>
      <c r="E103" s="2"/>
      <c r="F103" s="2"/>
      <c r="G103" s="2"/>
      <c r="H103" s="290"/>
      <c r="I103" s="288"/>
      <c r="L103" s="288"/>
      <c r="O103" s="288"/>
    </row>
    <row r="104">
      <c r="A104" s="2"/>
      <c r="B104" s="291"/>
      <c r="C104" s="2"/>
      <c r="D104" s="2"/>
      <c r="E104" s="2"/>
      <c r="F104" s="2"/>
      <c r="G104" s="2"/>
      <c r="H104" s="290"/>
      <c r="I104" s="288"/>
      <c r="L104" s="288"/>
      <c r="O104" s="288"/>
    </row>
    <row r="105">
      <c r="A105" s="2"/>
      <c r="B105" s="291"/>
      <c r="C105" s="2"/>
      <c r="D105" s="2"/>
      <c r="E105" s="2"/>
      <c r="F105" s="2"/>
      <c r="G105" s="2"/>
      <c r="H105" s="290"/>
      <c r="I105" s="288"/>
      <c r="L105" s="288"/>
      <c r="O105" s="288"/>
    </row>
    <row r="106">
      <c r="A106" s="2"/>
      <c r="B106" s="291"/>
      <c r="C106" s="2"/>
      <c r="D106" s="2"/>
      <c r="E106" s="2"/>
      <c r="F106" s="2"/>
      <c r="G106" s="2"/>
      <c r="H106" s="290"/>
      <c r="I106" s="288"/>
      <c r="L106" s="288"/>
      <c r="O106" s="288"/>
    </row>
    <row r="107">
      <c r="A107" s="2"/>
      <c r="B107" s="291"/>
      <c r="C107" s="2"/>
      <c r="D107" s="2"/>
      <c r="E107" s="2"/>
      <c r="F107" s="2"/>
      <c r="G107" s="2"/>
      <c r="H107" s="290"/>
      <c r="I107" s="288"/>
      <c r="L107" s="288"/>
      <c r="O107" s="288"/>
    </row>
    <row r="108">
      <c r="A108" s="2"/>
      <c r="B108" s="291"/>
      <c r="C108" s="2"/>
      <c r="D108" s="2"/>
      <c r="E108" s="2"/>
      <c r="F108" s="2"/>
      <c r="G108" s="2"/>
      <c r="H108" s="290"/>
      <c r="I108" s="288"/>
      <c r="L108" s="288"/>
      <c r="O108" s="288"/>
    </row>
    <row r="109">
      <c r="A109" s="2"/>
      <c r="B109" s="291"/>
      <c r="C109" s="2"/>
      <c r="D109" s="2"/>
      <c r="E109" s="2"/>
      <c r="F109" s="2"/>
      <c r="G109" s="2"/>
      <c r="H109" s="290"/>
      <c r="I109" s="288"/>
      <c r="L109" s="288"/>
      <c r="O109" s="288"/>
    </row>
    <row r="110">
      <c r="A110" s="2"/>
      <c r="B110" s="291"/>
      <c r="C110" s="2"/>
      <c r="D110" s="2"/>
      <c r="E110" s="2"/>
      <c r="F110" s="2"/>
      <c r="G110" s="2"/>
      <c r="H110" s="290"/>
      <c r="I110" s="288"/>
      <c r="L110" s="288"/>
      <c r="O110" s="288"/>
    </row>
    <row r="111">
      <c r="A111" s="2"/>
      <c r="B111" s="291"/>
      <c r="C111" s="2"/>
      <c r="D111" s="2"/>
      <c r="E111" s="2"/>
      <c r="F111" s="2"/>
      <c r="G111" s="2"/>
      <c r="H111" s="290"/>
      <c r="I111" s="288"/>
      <c r="L111" s="288"/>
      <c r="O111" s="288"/>
    </row>
    <row r="112">
      <c r="A112" s="2"/>
      <c r="B112" s="2"/>
      <c r="C112" s="2"/>
      <c r="D112" s="2"/>
      <c r="E112" s="2"/>
      <c r="F112" s="2"/>
      <c r="G112" s="2"/>
      <c r="H112" s="290"/>
      <c r="I112" s="288"/>
      <c r="L112" s="288"/>
      <c r="O112" s="288"/>
    </row>
    <row r="113">
      <c r="A113" s="2"/>
      <c r="B113" s="2"/>
      <c r="C113" s="2"/>
      <c r="D113" s="2"/>
      <c r="E113" s="2"/>
      <c r="F113" s="2"/>
      <c r="G113" s="2"/>
      <c r="H113" s="290"/>
      <c r="I113" s="288"/>
      <c r="L113" s="288"/>
      <c r="O113" s="288"/>
    </row>
    <row r="114">
      <c r="A114" s="2"/>
      <c r="B114" s="2"/>
      <c r="C114" s="2"/>
      <c r="D114" s="2"/>
      <c r="E114" s="2"/>
      <c r="F114" s="2"/>
      <c r="G114" s="2"/>
      <c r="H114" s="290"/>
      <c r="I114" s="288"/>
      <c r="L114" s="288"/>
      <c r="O114" s="288"/>
    </row>
    <row r="115">
      <c r="A115" s="2"/>
      <c r="B115" s="2"/>
      <c r="C115" s="2"/>
      <c r="D115" s="2"/>
      <c r="E115" s="2"/>
      <c r="F115" s="2"/>
      <c r="G115" s="2"/>
      <c r="H115" s="290"/>
      <c r="I115" s="288"/>
      <c r="L115" s="288"/>
      <c r="O115" s="288"/>
    </row>
    <row r="116">
      <c r="A116" s="2"/>
      <c r="B116" s="2"/>
      <c r="C116" s="2"/>
      <c r="D116" s="2"/>
      <c r="E116" s="2"/>
      <c r="F116" s="2"/>
      <c r="G116" s="2"/>
      <c r="H116" s="290"/>
      <c r="I116" s="288"/>
      <c r="L116" s="288"/>
      <c r="O116" s="288"/>
    </row>
    <row r="117">
      <c r="A117" s="2"/>
      <c r="B117" s="2"/>
      <c r="C117" s="2"/>
      <c r="D117" s="2"/>
      <c r="E117" s="2"/>
      <c r="F117" s="2"/>
      <c r="G117" s="2"/>
      <c r="H117" s="290"/>
      <c r="I117" s="288"/>
      <c r="L117" s="288"/>
      <c r="O117" s="288"/>
    </row>
    <row r="118">
      <c r="A118" s="2"/>
      <c r="B118" s="2"/>
      <c r="C118" s="2"/>
      <c r="D118" s="2"/>
      <c r="E118" s="2"/>
      <c r="F118" s="2"/>
      <c r="G118" s="2"/>
      <c r="H118" s="290"/>
      <c r="I118" s="288"/>
      <c r="L118" s="288"/>
      <c r="O118" s="288"/>
    </row>
    <row r="119">
      <c r="A119" s="2"/>
      <c r="B119" s="2"/>
      <c r="C119" s="2"/>
      <c r="D119" s="2"/>
      <c r="E119" s="2"/>
      <c r="F119" s="2"/>
      <c r="G119" s="2"/>
      <c r="H119" s="290"/>
      <c r="I119" s="288"/>
      <c r="L119" s="288"/>
      <c r="O119" s="288"/>
    </row>
    <row r="120">
      <c r="A120" s="2"/>
      <c r="B120" s="2"/>
      <c r="C120" s="2"/>
      <c r="D120" s="2"/>
      <c r="E120" s="2"/>
      <c r="F120" s="2"/>
      <c r="G120" s="2"/>
      <c r="H120" s="290"/>
      <c r="I120" s="288"/>
      <c r="L120" s="288"/>
      <c r="O120" s="288"/>
    </row>
    <row r="121">
      <c r="A121" s="2"/>
      <c r="B121" s="2"/>
      <c r="C121" s="2"/>
      <c r="D121" s="2"/>
      <c r="E121" s="2"/>
      <c r="F121" s="2"/>
      <c r="G121" s="2"/>
      <c r="H121" s="290"/>
      <c r="I121" s="288"/>
      <c r="L121" s="288"/>
      <c r="O121" s="288"/>
    </row>
    <row r="122">
      <c r="A122" s="2"/>
      <c r="B122" s="289"/>
      <c r="C122" s="2"/>
      <c r="D122" s="292"/>
      <c r="E122" s="2"/>
      <c r="F122" s="2"/>
      <c r="G122" s="2"/>
      <c r="H122" s="290"/>
      <c r="I122" s="288"/>
      <c r="L122" s="288"/>
      <c r="O122" s="288"/>
    </row>
    <row r="123">
      <c r="A123" s="2"/>
      <c r="B123" s="289"/>
      <c r="C123" s="2"/>
      <c r="D123" s="292"/>
      <c r="E123" s="2"/>
      <c r="F123" s="289"/>
      <c r="G123" s="2"/>
      <c r="H123" s="290"/>
      <c r="I123" s="288"/>
      <c r="L123" s="288"/>
      <c r="O123" s="288"/>
    </row>
    <row r="124">
      <c r="A124" s="2"/>
      <c r="B124" s="289"/>
      <c r="C124" s="2"/>
      <c r="D124" s="292"/>
      <c r="E124" s="2"/>
      <c r="F124" s="2"/>
      <c r="G124" s="2"/>
      <c r="H124" s="290"/>
      <c r="I124" s="288"/>
      <c r="L124" s="288"/>
      <c r="O124" s="288"/>
    </row>
    <row r="125">
      <c r="A125" s="2"/>
      <c r="B125" s="289"/>
      <c r="C125" s="2"/>
      <c r="D125" s="292"/>
      <c r="E125" s="2"/>
      <c r="F125" s="2"/>
      <c r="G125" s="2"/>
      <c r="H125" s="290"/>
      <c r="I125" s="288"/>
      <c r="L125" s="288"/>
      <c r="O125" s="288"/>
    </row>
    <row r="126">
      <c r="A126" s="2"/>
      <c r="B126" s="289"/>
      <c r="C126" s="2"/>
      <c r="D126" s="292"/>
      <c r="E126" s="2"/>
      <c r="F126" s="2"/>
      <c r="G126" s="2"/>
      <c r="H126" s="290"/>
      <c r="I126" s="288"/>
      <c r="L126" s="288"/>
      <c r="O126" s="288"/>
    </row>
    <row r="127">
      <c r="A127" s="2"/>
      <c r="B127" s="289"/>
      <c r="C127" s="2"/>
      <c r="D127" s="292"/>
      <c r="E127" s="2"/>
      <c r="F127" s="2"/>
      <c r="G127" s="2"/>
      <c r="H127" s="290"/>
      <c r="I127" s="288"/>
      <c r="L127" s="288"/>
      <c r="O127" s="288"/>
    </row>
    <row r="128">
      <c r="A128" s="2"/>
      <c r="B128" s="289"/>
      <c r="C128" s="2"/>
      <c r="D128" s="292"/>
      <c r="E128" s="2"/>
      <c r="F128" s="2"/>
      <c r="G128" s="2"/>
      <c r="H128" s="290"/>
      <c r="I128" s="288"/>
      <c r="L128" s="288"/>
      <c r="O128" s="288"/>
    </row>
    <row r="129">
      <c r="A129" s="2"/>
      <c r="B129" s="289"/>
      <c r="C129" s="2"/>
      <c r="D129" s="292"/>
      <c r="E129" s="2"/>
      <c r="F129" s="2"/>
      <c r="G129" s="2"/>
      <c r="H129" s="290"/>
      <c r="I129" s="288"/>
      <c r="L129" s="288"/>
      <c r="O129" s="288"/>
    </row>
    <row r="130">
      <c r="A130" s="2"/>
      <c r="B130" s="289"/>
      <c r="C130" s="2"/>
      <c r="D130" s="292"/>
      <c r="E130" s="2"/>
      <c r="F130" s="2"/>
      <c r="G130" s="2"/>
      <c r="H130" s="290"/>
      <c r="I130" s="288"/>
      <c r="L130" s="288"/>
      <c r="O130" s="288"/>
    </row>
    <row r="131">
      <c r="A131" s="2"/>
      <c r="B131" s="289"/>
      <c r="C131" s="2"/>
      <c r="D131" s="292"/>
      <c r="E131" s="2"/>
      <c r="F131" s="2"/>
      <c r="G131" s="2"/>
      <c r="H131" s="290"/>
      <c r="I131" s="288"/>
      <c r="L131" s="288"/>
      <c r="O131" s="288"/>
    </row>
    <row r="132">
      <c r="A132" s="2"/>
      <c r="B132" s="289"/>
      <c r="C132" s="2"/>
      <c r="D132" s="292"/>
      <c r="E132" s="2"/>
      <c r="F132" s="2"/>
      <c r="G132" s="2"/>
      <c r="H132" s="290"/>
      <c r="I132" s="288"/>
      <c r="L132" s="288"/>
      <c r="O132" s="288"/>
    </row>
    <row r="133">
      <c r="A133" s="2"/>
      <c r="B133" s="289"/>
      <c r="C133" s="2"/>
      <c r="D133" s="292"/>
      <c r="E133" s="2"/>
      <c r="F133" s="2"/>
      <c r="G133" s="2"/>
      <c r="H133" s="290"/>
      <c r="I133" s="288"/>
      <c r="L133" s="288"/>
      <c r="O133" s="288"/>
    </row>
    <row r="134">
      <c r="D134" s="293"/>
      <c r="G134" s="288"/>
      <c r="H134" s="288"/>
      <c r="I134" s="288"/>
      <c r="L134" s="288"/>
      <c r="O134" s="288"/>
    </row>
    <row r="135">
      <c r="D135" s="293"/>
      <c r="G135" s="288"/>
      <c r="H135" s="288"/>
      <c r="I135" s="288"/>
      <c r="L135" s="288"/>
      <c r="O135" s="288"/>
    </row>
    <row r="136">
      <c r="D136" s="293"/>
      <c r="G136" s="288"/>
      <c r="H136" s="288"/>
      <c r="I136" s="288"/>
      <c r="L136" s="288"/>
      <c r="O136" s="288"/>
    </row>
    <row r="137">
      <c r="D137" s="293"/>
      <c r="G137" s="288"/>
      <c r="H137" s="288"/>
      <c r="I137" s="288"/>
      <c r="L137" s="288"/>
      <c r="O137" s="288"/>
    </row>
    <row r="138">
      <c r="D138" s="293"/>
      <c r="G138" s="288"/>
      <c r="H138" s="288"/>
      <c r="I138" s="288"/>
      <c r="L138" s="288"/>
      <c r="O138" s="288"/>
    </row>
    <row r="139">
      <c r="D139" s="293"/>
      <c r="G139" s="288"/>
      <c r="H139" s="288"/>
      <c r="I139" s="288"/>
      <c r="L139" s="288"/>
      <c r="O139" s="288"/>
    </row>
    <row r="140">
      <c r="D140" s="293"/>
      <c r="G140" s="288"/>
      <c r="H140" s="288"/>
      <c r="I140" s="288"/>
      <c r="L140" s="288"/>
      <c r="O140" s="288"/>
    </row>
    <row r="141">
      <c r="D141" s="293"/>
      <c r="G141" s="288"/>
      <c r="H141" s="288"/>
      <c r="I141" s="288"/>
      <c r="L141" s="288"/>
      <c r="O141" s="288"/>
    </row>
    <row r="142">
      <c r="D142" s="293"/>
      <c r="G142" s="288"/>
      <c r="H142" s="288"/>
      <c r="I142" s="288"/>
      <c r="L142" s="288"/>
      <c r="O142" s="288"/>
    </row>
    <row r="143">
      <c r="D143" s="293"/>
      <c r="G143" s="288"/>
      <c r="H143" s="288"/>
      <c r="I143" s="288"/>
      <c r="L143" s="288"/>
      <c r="O143" s="288"/>
    </row>
    <row r="144">
      <c r="D144" s="293"/>
      <c r="G144" s="288"/>
      <c r="H144" s="288"/>
      <c r="I144" s="288"/>
      <c r="L144" s="288"/>
      <c r="O144" s="288"/>
    </row>
    <row r="145">
      <c r="D145" s="293"/>
      <c r="G145" s="288"/>
      <c r="H145" s="288"/>
      <c r="I145" s="288"/>
      <c r="L145" s="288"/>
      <c r="O145" s="288"/>
    </row>
    <row r="146">
      <c r="D146" s="293"/>
      <c r="G146" s="288"/>
      <c r="H146" s="288"/>
      <c r="I146" s="288"/>
      <c r="L146" s="288"/>
      <c r="O146" s="288"/>
    </row>
    <row r="147">
      <c r="D147" s="293"/>
      <c r="G147" s="288"/>
      <c r="H147" s="288"/>
      <c r="I147" s="288"/>
      <c r="L147" s="288"/>
      <c r="O147" s="288"/>
    </row>
    <row r="148">
      <c r="D148" s="293"/>
      <c r="G148" s="288"/>
      <c r="H148" s="288"/>
      <c r="I148" s="288"/>
      <c r="L148" s="288"/>
      <c r="O148" s="288"/>
    </row>
    <row r="149">
      <c r="D149" s="293"/>
      <c r="G149" s="288"/>
      <c r="H149" s="288"/>
      <c r="I149" s="288"/>
      <c r="L149" s="288"/>
      <c r="O149" s="288"/>
    </row>
    <row r="150">
      <c r="D150" s="293"/>
      <c r="G150" s="288"/>
      <c r="H150" s="288"/>
      <c r="I150" s="288"/>
      <c r="L150" s="288"/>
      <c r="O150" s="288"/>
    </row>
    <row r="151">
      <c r="D151" s="293"/>
      <c r="G151" s="288"/>
      <c r="H151" s="288"/>
      <c r="I151" s="288"/>
      <c r="L151" s="288"/>
      <c r="O151" s="288"/>
    </row>
    <row r="152">
      <c r="D152" s="293"/>
      <c r="G152" s="288"/>
      <c r="H152" s="288"/>
      <c r="I152" s="288"/>
      <c r="L152" s="288"/>
      <c r="O152" s="288"/>
    </row>
    <row r="153">
      <c r="D153" s="293"/>
      <c r="G153" s="288"/>
      <c r="H153" s="288"/>
      <c r="I153" s="288"/>
      <c r="L153" s="288"/>
      <c r="O153" s="288"/>
    </row>
    <row r="154">
      <c r="D154" s="293"/>
      <c r="G154" s="288"/>
      <c r="H154" s="288"/>
      <c r="I154" s="288"/>
      <c r="L154" s="288"/>
      <c r="O154" s="288"/>
    </row>
    <row r="155">
      <c r="D155" s="293"/>
      <c r="G155" s="288"/>
      <c r="H155" s="288"/>
      <c r="I155" s="288"/>
      <c r="L155" s="288"/>
      <c r="O155" s="288"/>
    </row>
    <row r="156">
      <c r="D156" s="293"/>
      <c r="G156" s="288"/>
      <c r="H156" s="288"/>
      <c r="I156" s="288"/>
      <c r="L156" s="288"/>
      <c r="O156" s="288"/>
    </row>
    <row r="157">
      <c r="D157" s="293"/>
      <c r="G157" s="288"/>
      <c r="H157" s="288"/>
      <c r="I157" s="288"/>
      <c r="L157" s="288"/>
      <c r="O157" s="288"/>
    </row>
    <row r="158">
      <c r="D158" s="293"/>
      <c r="G158" s="288"/>
      <c r="H158" s="288"/>
      <c r="I158" s="288"/>
      <c r="L158" s="288"/>
      <c r="O158" s="288"/>
    </row>
    <row r="159">
      <c r="D159" s="293"/>
      <c r="G159" s="288"/>
      <c r="H159" s="288"/>
      <c r="I159" s="288"/>
      <c r="L159" s="288"/>
      <c r="O159" s="288"/>
    </row>
    <row r="160">
      <c r="D160" s="293"/>
      <c r="G160" s="288"/>
      <c r="H160" s="288"/>
      <c r="I160" s="288"/>
      <c r="L160" s="288"/>
      <c r="O160" s="288"/>
    </row>
    <row r="161">
      <c r="D161" s="293"/>
      <c r="G161" s="288"/>
      <c r="H161" s="288"/>
      <c r="I161" s="288"/>
      <c r="L161" s="288"/>
      <c r="O161" s="288"/>
    </row>
    <row r="162">
      <c r="D162" s="293"/>
      <c r="G162" s="288"/>
      <c r="H162" s="288"/>
      <c r="I162" s="288"/>
      <c r="L162" s="288"/>
      <c r="O162" s="288"/>
    </row>
    <row r="163">
      <c r="D163" s="293"/>
      <c r="G163" s="288"/>
      <c r="H163" s="288"/>
      <c r="I163" s="288"/>
      <c r="L163" s="288"/>
      <c r="O163" s="288"/>
    </row>
    <row r="164">
      <c r="D164" s="293"/>
      <c r="G164" s="288"/>
      <c r="H164" s="288"/>
      <c r="I164" s="288"/>
      <c r="L164" s="288"/>
      <c r="O164" s="288"/>
    </row>
    <row r="165">
      <c r="D165" s="293"/>
      <c r="G165" s="288"/>
      <c r="H165" s="288"/>
      <c r="I165" s="288"/>
      <c r="L165" s="288"/>
      <c r="O165" s="288"/>
    </row>
    <row r="166">
      <c r="D166" s="293"/>
      <c r="G166" s="288"/>
      <c r="H166" s="288"/>
      <c r="I166" s="288"/>
      <c r="L166" s="288"/>
      <c r="O166" s="288"/>
    </row>
    <row r="167">
      <c r="D167" s="293"/>
      <c r="G167" s="288"/>
      <c r="H167" s="288"/>
      <c r="I167" s="288"/>
      <c r="L167" s="288"/>
      <c r="O167" s="288"/>
    </row>
    <row r="168">
      <c r="D168" s="293"/>
      <c r="G168" s="288"/>
      <c r="H168" s="288"/>
      <c r="I168" s="288"/>
      <c r="L168" s="288"/>
      <c r="O168" s="288"/>
    </row>
    <row r="169">
      <c r="D169" s="293"/>
      <c r="G169" s="288"/>
      <c r="H169" s="288"/>
      <c r="I169" s="288"/>
      <c r="L169" s="288"/>
      <c r="O169" s="288"/>
    </row>
    <row r="170">
      <c r="D170" s="293"/>
      <c r="G170" s="288"/>
      <c r="H170" s="288"/>
      <c r="I170" s="288"/>
      <c r="L170" s="288"/>
      <c r="O170" s="288"/>
    </row>
    <row r="171">
      <c r="D171" s="293"/>
      <c r="G171" s="288"/>
      <c r="H171" s="288"/>
      <c r="I171" s="288"/>
      <c r="L171" s="288"/>
      <c r="O171" s="288"/>
    </row>
    <row r="172">
      <c r="D172" s="293"/>
      <c r="G172" s="288"/>
      <c r="H172" s="288"/>
      <c r="I172" s="288"/>
      <c r="L172" s="288"/>
      <c r="O172" s="288"/>
    </row>
    <row r="173">
      <c r="D173" s="293"/>
      <c r="G173" s="288"/>
      <c r="H173" s="288"/>
      <c r="I173" s="288"/>
      <c r="L173" s="288"/>
      <c r="O173" s="288"/>
    </row>
    <row r="174">
      <c r="D174" s="293"/>
      <c r="G174" s="288"/>
      <c r="H174" s="288"/>
      <c r="I174" s="288"/>
      <c r="L174" s="288"/>
      <c r="O174" s="288"/>
    </row>
    <row r="175">
      <c r="D175" s="293"/>
      <c r="G175" s="288"/>
      <c r="H175" s="288"/>
      <c r="I175" s="288"/>
      <c r="L175" s="288"/>
      <c r="O175" s="288"/>
    </row>
    <row r="176">
      <c r="D176" s="293"/>
      <c r="G176" s="288"/>
      <c r="H176" s="288"/>
      <c r="I176" s="288"/>
      <c r="L176" s="288"/>
      <c r="O176" s="288"/>
    </row>
    <row r="177">
      <c r="D177" s="293"/>
      <c r="G177" s="288"/>
      <c r="H177" s="288"/>
      <c r="I177" s="288"/>
      <c r="L177" s="288"/>
      <c r="O177" s="288"/>
    </row>
    <row r="178">
      <c r="D178" s="293"/>
      <c r="G178" s="288"/>
      <c r="H178" s="288"/>
      <c r="I178" s="288"/>
      <c r="L178" s="288"/>
      <c r="O178" s="288"/>
    </row>
    <row r="179">
      <c r="D179" s="293"/>
      <c r="G179" s="288"/>
      <c r="H179" s="288"/>
      <c r="I179" s="288"/>
      <c r="L179" s="288"/>
      <c r="O179" s="288"/>
    </row>
    <row r="180">
      <c r="D180" s="293"/>
      <c r="G180" s="288"/>
      <c r="H180" s="288"/>
      <c r="I180" s="288"/>
      <c r="L180" s="288"/>
      <c r="O180" s="288"/>
    </row>
    <row r="181">
      <c r="D181" s="293"/>
      <c r="G181" s="288"/>
      <c r="H181" s="288"/>
      <c r="I181" s="288"/>
      <c r="L181" s="288"/>
      <c r="O181" s="288"/>
    </row>
    <row r="182">
      <c r="D182" s="293"/>
      <c r="G182" s="288"/>
      <c r="H182" s="288"/>
      <c r="I182" s="288"/>
      <c r="L182" s="288"/>
      <c r="O182" s="288"/>
    </row>
    <row r="183">
      <c r="D183" s="293"/>
      <c r="G183" s="288"/>
      <c r="H183" s="288"/>
      <c r="I183" s="288"/>
      <c r="L183" s="288"/>
      <c r="O183" s="288"/>
    </row>
    <row r="184">
      <c r="D184" s="293"/>
      <c r="G184" s="288"/>
      <c r="H184" s="288"/>
      <c r="I184" s="288"/>
      <c r="L184" s="288"/>
      <c r="O184" s="288"/>
    </row>
    <row r="185">
      <c r="D185" s="293"/>
      <c r="G185" s="288"/>
      <c r="H185" s="288"/>
      <c r="I185" s="288"/>
      <c r="L185" s="288"/>
      <c r="O185" s="288"/>
    </row>
    <row r="186">
      <c r="D186" s="293"/>
      <c r="G186" s="288"/>
      <c r="H186" s="288"/>
      <c r="I186" s="288"/>
      <c r="L186" s="288"/>
      <c r="O186" s="288"/>
    </row>
    <row r="187">
      <c r="D187" s="293"/>
      <c r="G187" s="288"/>
      <c r="H187" s="288"/>
      <c r="I187" s="288"/>
      <c r="L187" s="288"/>
      <c r="O187" s="288"/>
    </row>
    <row r="188">
      <c r="D188" s="293"/>
      <c r="G188" s="288"/>
      <c r="H188" s="288"/>
      <c r="I188" s="288"/>
      <c r="L188" s="288"/>
      <c r="O188" s="288"/>
    </row>
    <row r="189">
      <c r="D189" s="293"/>
      <c r="G189" s="288"/>
      <c r="H189" s="288"/>
      <c r="I189" s="288"/>
      <c r="L189" s="288"/>
      <c r="O189" s="288"/>
    </row>
    <row r="190">
      <c r="D190" s="293"/>
      <c r="G190" s="288"/>
      <c r="H190" s="288"/>
      <c r="I190" s="288"/>
      <c r="L190" s="288"/>
      <c r="O190" s="288"/>
    </row>
    <row r="191">
      <c r="D191" s="293"/>
      <c r="G191" s="288"/>
      <c r="H191" s="288"/>
      <c r="I191" s="288"/>
      <c r="L191" s="288"/>
      <c r="O191" s="288"/>
    </row>
    <row r="192">
      <c r="D192" s="293"/>
      <c r="G192" s="288"/>
      <c r="H192" s="288"/>
      <c r="I192" s="288"/>
      <c r="L192" s="288"/>
      <c r="O192" s="288"/>
    </row>
    <row r="193">
      <c r="D193" s="293"/>
      <c r="G193" s="288"/>
      <c r="H193" s="288"/>
      <c r="I193" s="288"/>
      <c r="L193" s="288"/>
      <c r="O193" s="288"/>
    </row>
    <row r="194">
      <c r="D194" s="293"/>
      <c r="G194" s="288"/>
      <c r="H194" s="288"/>
      <c r="I194" s="288"/>
      <c r="L194" s="288"/>
      <c r="O194" s="288"/>
    </row>
    <row r="195">
      <c r="D195" s="293"/>
      <c r="G195" s="288"/>
      <c r="H195" s="288"/>
      <c r="I195" s="288"/>
      <c r="L195" s="288"/>
      <c r="O195" s="288"/>
    </row>
    <row r="196">
      <c r="D196" s="293"/>
      <c r="G196" s="288"/>
      <c r="H196" s="288"/>
      <c r="I196" s="288"/>
      <c r="L196" s="288"/>
      <c r="O196" s="288"/>
    </row>
    <row r="197">
      <c r="D197" s="293"/>
      <c r="G197" s="288"/>
      <c r="H197" s="288"/>
      <c r="I197" s="288"/>
      <c r="L197" s="288"/>
      <c r="O197" s="288"/>
    </row>
    <row r="198">
      <c r="D198" s="293"/>
      <c r="G198" s="288"/>
      <c r="H198" s="288"/>
      <c r="I198" s="288"/>
      <c r="L198" s="288"/>
      <c r="O198" s="288"/>
    </row>
    <row r="199">
      <c r="D199" s="293"/>
      <c r="G199" s="288"/>
      <c r="H199" s="288"/>
      <c r="I199" s="288"/>
      <c r="L199" s="288"/>
      <c r="O199" s="288"/>
    </row>
    <row r="200">
      <c r="D200" s="293"/>
      <c r="G200" s="288"/>
      <c r="H200" s="288"/>
      <c r="I200" s="288"/>
      <c r="L200" s="288"/>
      <c r="O200" s="288"/>
    </row>
    <row r="201">
      <c r="D201" s="293"/>
      <c r="G201" s="288"/>
      <c r="H201" s="288"/>
      <c r="I201" s="288"/>
      <c r="L201" s="288"/>
      <c r="O201" s="288"/>
    </row>
    <row r="202">
      <c r="D202" s="293"/>
      <c r="G202" s="288"/>
      <c r="H202" s="288"/>
      <c r="I202" s="288"/>
      <c r="L202" s="288"/>
      <c r="O202" s="288"/>
    </row>
    <row r="203">
      <c r="D203" s="293"/>
      <c r="G203" s="288"/>
      <c r="H203" s="288"/>
      <c r="I203" s="288"/>
      <c r="L203" s="288"/>
      <c r="O203" s="288"/>
    </row>
    <row r="204">
      <c r="D204" s="293"/>
      <c r="G204" s="288"/>
      <c r="H204" s="288"/>
      <c r="I204" s="288"/>
      <c r="L204" s="288"/>
      <c r="O204" s="288"/>
    </row>
    <row r="205">
      <c r="D205" s="293"/>
      <c r="G205" s="288"/>
      <c r="H205" s="288"/>
      <c r="I205" s="288"/>
      <c r="L205" s="288"/>
      <c r="O205" s="288"/>
    </row>
    <row r="206">
      <c r="D206" s="293"/>
      <c r="G206" s="288"/>
      <c r="H206" s="288"/>
      <c r="I206" s="288"/>
      <c r="L206" s="288"/>
      <c r="O206" s="288"/>
    </row>
    <row r="207">
      <c r="D207" s="293"/>
      <c r="G207" s="288"/>
      <c r="H207" s="288"/>
      <c r="I207" s="288"/>
      <c r="L207" s="288"/>
      <c r="O207" s="288"/>
    </row>
    <row r="208">
      <c r="D208" s="293"/>
      <c r="G208" s="288"/>
      <c r="H208" s="288"/>
      <c r="I208" s="288"/>
      <c r="L208" s="288"/>
      <c r="O208" s="288"/>
    </row>
    <row r="209">
      <c r="D209" s="293"/>
      <c r="G209" s="288"/>
      <c r="H209" s="288"/>
      <c r="I209" s="288"/>
      <c r="L209" s="288"/>
      <c r="O209" s="288"/>
    </row>
    <row r="210">
      <c r="D210" s="293"/>
      <c r="G210" s="288"/>
      <c r="H210" s="288"/>
      <c r="I210" s="288"/>
      <c r="L210" s="288"/>
      <c r="O210" s="288"/>
    </row>
    <row r="211">
      <c r="D211" s="293"/>
      <c r="G211" s="288"/>
      <c r="H211" s="288"/>
      <c r="I211" s="288"/>
      <c r="L211" s="288"/>
      <c r="O211" s="288"/>
    </row>
    <row r="212">
      <c r="D212" s="293"/>
      <c r="G212" s="288"/>
      <c r="H212" s="288"/>
      <c r="I212" s="288"/>
      <c r="L212" s="288"/>
      <c r="O212" s="288"/>
    </row>
    <row r="213">
      <c r="D213" s="293"/>
      <c r="G213" s="288"/>
      <c r="H213" s="288"/>
      <c r="I213" s="288"/>
      <c r="L213" s="288"/>
      <c r="O213" s="288"/>
    </row>
    <row r="214">
      <c r="D214" s="293"/>
      <c r="G214" s="288"/>
      <c r="H214" s="288"/>
      <c r="I214" s="288"/>
      <c r="L214" s="288"/>
      <c r="O214" s="288"/>
    </row>
    <row r="215">
      <c r="D215" s="293"/>
      <c r="G215" s="288"/>
      <c r="H215" s="288"/>
      <c r="I215" s="288"/>
      <c r="L215" s="288"/>
      <c r="O215" s="288"/>
    </row>
    <row r="216">
      <c r="D216" s="293"/>
      <c r="G216" s="288"/>
      <c r="H216" s="288"/>
      <c r="I216" s="288"/>
      <c r="L216" s="288"/>
      <c r="O216" s="288"/>
    </row>
    <row r="217">
      <c r="D217" s="293"/>
      <c r="G217" s="288"/>
      <c r="H217" s="288"/>
      <c r="I217" s="288"/>
      <c r="L217" s="288"/>
      <c r="O217" s="288"/>
    </row>
    <row r="218">
      <c r="D218" s="293"/>
      <c r="G218" s="288"/>
      <c r="H218" s="288"/>
      <c r="I218" s="288"/>
      <c r="L218" s="288"/>
      <c r="O218" s="288"/>
    </row>
    <row r="219">
      <c r="D219" s="293"/>
      <c r="G219" s="288"/>
      <c r="H219" s="288"/>
      <c r="I219" s="288"/>
      <c r="L219" s="288"/>
      <c r="O219" s="288"/>
    </row>
    <row r="220">
      <c r="D220" s="293"/>
      <c r="G220" s="288"/>
      <c r="H220" s="288"/>
      <c r="I220" s="288"/>
      <c r="L220" s="288"/>
      <c r="O220" s="288"/>
    </row>
    <row r="221">
      <c r="D221" s="293"/>
      <c r="G221" s="288"/>
      <c r="H221" s="288"/>
      <c r="I221" s="288"/>
      <c r="L221" s="288"/>
      <c r="O221" s="288"/>
    </row>
    <row r="222">
      <c r="D222" s="293"/>
      <c r="G222" s="288"/>
      <c r="H222" s="288"/>
      <c r="I222" s="288"/>
      <c r="L222" s="288"/>
      <c r="O222" s="288"/>
    </row>
    <row r="223">
      <c r="D223" s="293"/>
      <c r="G223" s="288"/>
      <c r="H223" s="288"/>
      <c r="I223" s="288"/>
      <c r="L223" s="288"/>
      <c r="O223" s="288"/>
    </row>
    <row r="224">
      <c r="D224" s="293"/>
      <c r="G224" s="288"/>
      <c r="H224" s="288"/>
      <c r="I224" s="288"/>
      <c r="L224" s="288"/>
      <c r="O224" s="288"/>
    </row>
    <row r="225">
      <c r="D225" s="293"/>
      <c r="G225" s="288"/>
      <c r="H225" s="288"/>
      <c r="I225" s="288"/>
      <c r="L225" s="288"/>
      <c r="O225" s="288"/>
    </row>
    <row r="226">
      <c r="D226" s="293"/>
      <c r="G226" s="288"/>
      <c r="H226" s="288"/>
      <c r="I226" s="288"/>
      <c r="L226" s="288"/>
      <c r="O226" s="288"/>
    </row>
    <row r="227">
      <c r="D227" s="293"/>
      <c r="G227" s="288"/>
      <c r="H227" s="288"/>
      <c r="I227" s="288"/>
      <c r="L227" s="288"/>
      <c r="O227" s="288"/>
    </row>
    <row r="228">
      <c r="D228" s="293"/>
      <c r="G228" s="288"/>
      <c r="H228" s="288"/>
      <c r="I228" s="288"/>
      <c r="L228" s="288"/>
      <c r="O228" s="288"/>
    </row>
    <row r="229">
      <c r="D229" s="293"/>
      <c r="G229" s="288"/>
      <c r="H229" s="288"/>
      <c r="I229" s="288"/>
      <c r="L229" s="288"/>
      <c r="O229" s="288"/>
    </row>
    <row r="230">
      <c r="D230" s="293"/>
      <c r="G230" s="288"/>
      <c r="H230" s="288"/>
      <c r="I230" s="288"/>
      <c r="L230" s="288"/>
      <c r="O230" s="288"/>
    </row>
    <row r="231">
      <c r="D231" s="293"/>
      <c r="G231" s="288"/>
      <c r="H231" s="288"/>
      <c r="I231" s="288"/>
      <c r="L231" s="288"/>
      <c r="O231" s="288"/>
    </row>
    <row r="232">
      <c r="D232" s="293"/>
      <c r="G232" s="288"/>
      <c r="H232" s="288"/>
      <c r="I232" s="288"/>
      <c r="L232" s="288"/>
      <c r="O232" s="288"/>
    </row>
    <row r="233">
      <c r="D233" s="293"/>
      <c r="G233" s="288"/>
      <c r="H233" s="288"/>
      <c r="I233" s="288"/>
      <c r="L233" s="288"/>
      <c r="O233" s="288"/>
    </row>
    <row r="234">
      <c r="D234" s="293"/>
      <c r="G234" s="288"/>
      <c r="H234" s="288"/>
      <c r="I234" s="288"/>
      <c r="L234" s="288"/>
      <c r="O234" s="288"/>
    </row>
    <row r="235">
      <c r="D235" s="293"/>
      <c r="G235" s="288"/>
      <c r="H235" s="288"/>
      <c r="I235" s="288"/>
      <c r="L235" s="288"/>
      <c r="O235" s="288"/>
    </row>
    <row r="236">
      <c r="D236" s="293"/>
      <c r="G236" s="288"/>
      <c r="H236" s="288"/>
      <c r="I236" s="288"/>
      <c r="L236" s="288"/>
      <c r="O236" s="288"/>
    </row>
    <row r="237">
      <c r="D237" s="293"/>
      <c r="G237" s="288"/>
      <c r="H237" s="288"/>
      <c r="I237" s="288"/>
      <c r="L237" s="288"/>
      <c r="O237" s="288"/>
    </row>
    <row r="238">
      <c r="D238" s="293"/>
      <c r="G238" s="288"/>
      <c r="H238" s="288"/>
      <c r="I238" s="288"/>
      <c r="L238" s="288"/>
      <c r="O238" s="288"/>
    </row>
    <row r="239">
      <c r="D239" s="293"/>
      <c r="G239" s="288"/>
      <c r="H239" s="288"/>
      <c r="I239" s="288"/>
      <c r="L239" s="288"/>
      <c r="O239" s="288"/>
    </row>
    <row r="240">
      <c r="D240" s="293"/>
      <c r="G240" s="288"/>
      <c r="H240" s="288"/>
      <c r="I240" s="288"/>
      <c r="L240" s="288"/>
      <c r="O240" s="288"/>
    </row>
    <row r="241">
      <c r="D241" s="293"/>
      <c r="G241" s="288"/>
      <c r="H241" s="288"/>
      <c r="I241" s="288"/>
      <c r="L241" s="288"/>
      <c r="O241" s="288"/>
    </row>
    <row r="242">
      <c r="D242" s="293"/>
      <c r="G242" s="288"/>
      <c r="H242" s="288"/>
      <c r="I242" s="288"/>
      <c r="L242" s="288"/>
      <c r="O242" s="288"/>
    </row>
    <row r="243">
      <c r="D243" s="293"/>
      <c r="G243" s="288"/>
      <c r="H243" s="288"/>
      <c r="I243" s="288"/>
      <c r="L243" s="288"/>
      <c r="O243" s="288"/>
    </row>
    <row r="244">
      <c r="D244" s="293"/>
      <c r="G244" s="288"/>
      <c r="H244" s="288"/>
      <c r="I244" s="288"/>
      <c r="L244" s="288"/>
      <c r="O244" s="288"/>
    </row>
    <row r="245">
      <c r="D245" s="293"/>
      <c r="G245" s="288"/>
      <c r="H245" s="288"/>
      <c r="I245" s="288"/>
      <c r="L245" s="288"/>
      <c r="O245" s="288"/>
    </row>
    <row r="246">
      <c r="D246" s="293"/>
      <c r="G246" s="288"/>
      <c r="H246" s="288"/>
      <c r="I246" s="288"/>
      <c r="L246" s="288"/>
      <c r="O246" s="288"/>
    </row>
    <row r="247">
      <c r="D247" s="293"/>
      <c r="G247" s="288"/>
      <c r="H247" s="288"/>
      <c r="I247" s="288"/>
      <c r="L247" s="288"/>
      <c r="O247" s="288"/>
    </row>
    <row r="248">
      <c r="D248" s="293"/>
      <c r="G248" s="288"/>
      <c r="H248" s="288"/>
      <c r="I248" s="288"/>
      <c r="L248" s="288"/>
      <c r="O248" s="288"/>
    </row>
    <row r="249">
      <c r="D249" s="293"/>
      <c r="G249" s="288"/>
      <c r="H249" s="288"/>
      <c r="I249" s="288"/>
      <c r="L249" s="288"/>
      <c r="O249" s="288"/>
    </row>
    <row r="250">
      <c r="D250" s="293"/>
      <c r="G250" s="288"/>
      <c r="H250" s="288"/>
      <c r="I250" s="288"/>
      <c r="L250" s="288"/>
      <c r="O250" s="288"/>
    </row>
    <row r="251">
      <c r="D251" s="293"/>
      <c r="G251" s="288"/>
      <c r="H251" s="288"/>
      <c r="I251" s="288"/>
      <c r="L251" s="288"/>
      <c r="O251" s="288"/>
    </row>
    <row r="252">
      <c r="D252" s="293"/>
      <c r="G252" s="288"/>
      <c r="H252" s="288"/>
      <c r="I252" s="288"/>
      <c r="L252" s="288"/>
      <c r="O252" s="288"/>
    </row>
    <row r="253">
      <c r="D253" s="293"/>
      <c r="G253" s="288"/>
      <c r="H253" s="288"/>
      <c r="I253" s="288"/>
      <c r="L253" s="288"/>
      <c r="O253" s="288"/>
    </row>
    <row r="254">
      <c r="D254" s="293"/>
      <c r="G254" s="288"/>
      <c r="H254" s="288"/>
      <c r="I254" s="288"/>
      <c r="L254" s="288"/>
      <c r="O254" s="288"/>
    </row>
    <row r="255">
      <c r="D255" s="293"/>
      <c r="G255" s="288"/>
      <c r="H255" s="288"/>
      <c r="I255" s="288"/>
      <c r="L255" s="288"/>
      <c r="O255" s="288"/>
    </row>
    <row r="256">
      <c r="D256" s="293"/>
      <c r="G256" s="288"/>
      <c r="H256" s="288"/>
      <c r="I256" s="288"/>
      <c r="L256" s="288"/>
      <c r="O256" s="288"/>
    </row>
    <row r="257">
      <c r="D257" s="293"/>
      <c r="G257" s="288"/>
      <c r="H257" s="288"/>
      <c r="I257" s="288"/>
      <c r="L257" s="288"/>
      <c r="O257" s="288"/>
    </row>
    <row r="258">
      <c r="D258" s="293"/>
      <c r="G258" s="288"/>
      <c r="H258" s="288"/>
      <c r="I258" s="288"/>
      <c r="L258" s="288"/>
      <c r="O258" s="288"/>
    </row>
    <row r="259">
      <c r="D259" s="293"/>
      <c r="G259" s="288"/>
      <c r="H259" s="288"/>
      <c r="I259" s="288"/>
      <c r="L259" s="288"/>
      <c r="O259" s="288"/>
    </row>
    <row r="260">
      <c r="D260" s="293"/>
      <c r="G260" s="288"/>
      <c r="H260" s="288"/>
      <c r="I260" s="288"/>
      <c r="L260" s="288"/>
      <c r="O260" s="288"/>
    </row>
    <row r="261">
      <c r="D261" s="293"/>
      <c r="G261" s="288"/>
      <c r="H261" s="288"/>
      <c r="I261" s="288"/>
      <c r="L261" s="288"/>
      <c r="O261" s="288"/>
    </row>
    <row r="262">
      <c r="D262" s="293"/>
      <c r="G262" s="288"/>
      <c r="H262" s="288"/>
      <c r="I262" s="288"/>
      <c r="L262" s="288"/>
      <c r="O262" s="288"/>
    </row>
    <row r="263">
      <c r="D263" s="293"/>
      <c r="G263" s="288"/>
      <c r="H263" s="288"/>
      <c r="I263" s="288"/>
      <c r="L263" s="288"/>
      <c r="O263" s="288"/>
    </row>
    <row r="264">
      <c r="D264" s="293"/>
      <c r="G264" s="288"/>
      <c r="H264" s="288"/>
      <c r="I264" s="288"/>
      <c r="L264" s="288"/>
      <c r="O264" s="288"/>
    </row>
    <row r="265">
      <c r="D265" s="293"/>
      <c r="G265" s="288"/>
      <c r="H265" s="288"/>
      <c r="I265" s="288"/>
      <c r="L265" s="288"/>
      <c r="O265" s="288"/>
    </row>
    <row r="266">
      <c r="D266" s="293"/>
      <c r="G266" s="288"/>
      <c r="H266" s="288"/>
      <c r="I266" s="288"/>
      <c r="L266" s="288"/>
      <c r="O266" s="288"/>
    </row>
    <row r="267">
      <c r="D267" s="293"/>
      <c r="G267" s="288"/>
      <c r="H267" s="288"/>
      <c r="I267" s="288"/>
      <c r="L267" s="288"/>
      <c r="O267" s="288"/>
    </row>
  </sheetData>
  <drawing r:id="rId1"/>
</worksheet>
</file>